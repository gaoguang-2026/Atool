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E1CC73B5-710D-484B-868D-4F37FD87A2DA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0704" sheetId="2" r:id="rId1"/>
    <sheet name="0701" sheetId="22" r:id="rId2"/>
    <sheet name="情绪" sheetId="11" r:id="rId3"/>
    <sheet name="交易模式" sheetId="1" r:id="rId4"/>
    <sheet name="新能源" sheetId="19" r:id="rId5"/>
    <sheet name="周期" sheetId="14" r:id="rId6"/>
    <sheet name="0630" sheetId="21" state="hidden" r:id="rId7"/>
    <sheet name="0627" sheetId="18" state="hidden" r:id="rId8"/>
    <sheet name="0623" sheetId="17" state="hidden" r:id="rId9"/>
    <sheet name="0622" sheetId="16" state="hidden" r:id="rId10"/>
    <sheet name="0621" sheetId="15" state="hidden" r:id="rId11"/>
    <sheet name="20220617" sheetId="13" state="hidden" r:id="rId12"/>
    <sheet name="20220616" sheetId="12" state="hidden" r:id="rId13"/>
    <sheet name="20220615" sheetId="10" state="hidden" r:id="rId14"/>
    <sheet name="20220228" sheetId="5" state="hidden" r:id="rId15"/>
    <sheet name="20220221" sheetId="4" state="hidden" r:id="rId16"/>
    <sheet name="20220214" sheetId="3" state="hidden" r:id="rId17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E21" i="11" l="1"/>
  <c r="H21" i="11"/>
  <c r="H24" i="11"/>
  <c r="E24" i="11"/>
  <c r="H23" i="11"/>
  <c r="E23" i="11"/>
  <c r="H22" i="11"/>
  <c r="E22" i="11"/>
  <c r="H20" i="11"/>
  <c r="E20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<sst xmlns="http://schemas.openxmlformats.org/spreadsheetml/2006/main" count="1847" uniqueCount="1040">
  <si>
    <t>大盘</t>
    <phoneticPr fontId="1" type="noConversion"/>
  </si>
  <si>
    <t>上证指数</t>
    <phoneticPr fontId="1" type="noConversion"/>
  </si>
  <si>
    <t>创业版</t>
    <phoneticPr fontId="1" type="noConversion"/>
  </si>
  <si>
    <t>项目</t>
    <phoneticPr fontId="1" type="noConversion"/>
  </si>
  <si>
    <t>板块</t>
    <phoneticPr fontId="1" type="noConversion"/>
  </si>
  <si>
    <t>600995 文山电力</t>
    <phoneticPr fontId="1" type="noConversion"/>
  </si>
  <si>
    <t>605589 圣泉集团</t>
    <phoneticPr fontId="1" type="noConversion"/>
  </si>
  <si>
    <t>600318 新力金融</t>
    <phoneticPr fontId="1" type="noConversion"/>
  </si>
  <si>
    <t>600071 凤凰光学</t>
    <phoneticPr fontId="1" type="noConversion"/>
  </si>
  <si>
    <t>趋势</t>
    <phoneticPr fontId="1" type="noConversion"/>
  </si>
  <si>
    <t>成交量</t>
    <phoneticPr fontId="1" type="noConversion"/>
  </si>
  <si>
    <t>备注</t>
    <phoneticPr fontId="1" type="noConversion"/>
  </si>
  <si>
    <t>单边下跌</t>
    <phoneticPr fontId="1" type="noConversion"/>
  </si>
  <si>
    <t>下跌调整</t>
    <phoneticPr fontId="1" type="noConversion"/>
  </si>
  <si>
    <t>下跌中继</t>
    <phoneticPr fontId="1" type="noConversion"/>
  </si>
  <si>
    <t>价格</t>
    <phoneticPr fontId="1" type="noConversion"/>
  </si>
  <si>
    <t>D1</t>
    <phoneticPr fontId="1" type="noConversion"/>
  </si>
  <si>
    <t>D2</t>
    <phoneticPr fontId="1" type="noConversion"/>
  </si>
  <si>
    <t>支撑</t>
    <phoneticPr fontId="1" type="noConversion"/>
  </si>
  <si>
    <t>压力</t>
    <phoneticPr fontId="1" type="noConversion"/>
  </si>
  <si>
    <t>自选</t>
    <phoneticPr fontId="1" type="noConversion"/>
  </si>
  <si>
    <t>D3</t>
    <phoneticPr fontId="1" type="noConversion"/>
  </si>
  <si>
    <t>D4</t>
    <phoneticPr fontId="1" type="noConversion"/>
  </si>
  <si>
    <t>D5</t>
    <phoneticPr fontId="1" type="noConversion"/>
  </si>
  <si>
    <t>操作</t>
    <phoneticPr fontId="1" type="noConversion"/>
  </si>
  <si>
    <t>基建</t>
    <phoneticPr fontId="1" type="noConversion"/>
  </si>
  <si>
    <t>均线</t>
    <phoneticPr fontId="1" type="noConversion"/>
  </si>
  <si>
    <t>3340/3410</t>
    <phoneticPr fontId="1" type="noConversion"/>
  </si>
  <si>
    <t>60F M1 刚结束，本周回落，支撑0.5*(3480-3340), 15F M下1</t>
    <phoneticPr fontId="1" type="noConversion"/>
  </si>
  <si>
    <t>周线2019-2022完整8浪结构，目前C浪支撑2600</t>
    <phoneticPr fontId="1" type="noConversion"/>
  </si>
  <si>
    <t>颇为下跌</t>
    <phoneticPr fontId="1" type="noConversion"/>
  </si>
  <si>
    <t>等筑底</t>
    <phoneticPr fontId="1" type="noConversion"/>
  </si>
  <si>
    <t>300373 杨杰科技</t>
    <phoneticPr fontId="1" type="noConversion"/>
  </si>
  <si>
    <t>605286 同力日升</t>
    <phoneticPr fontId="1" type="noConversion"/>
  </si>
  <si>
    <t>缩量，60F M2</t>
    <phoneticPr fontId="1" type="noConversion"/>
  </si>
  <si>
    <t>T</t>
    <phoneticPr fontId="1" type="noConversion"/>
  </si>
  <si>
    <t>双底</t>
    <phoneticPr fontId="1" type="noConversion"/>
  </si>
  <si>
    <t>继续反弹</t>
    <phoneticPr fontId="1" type="noConversion"/>
  </si>
  <si>
    <t>一阳三线，可以做多</t>
    <phoneticPr fontId="1" type="noConversion"/>
  </si>
  <si>
    <t>3480有压力</t>
    <phoneticPr fontId="1" type="noConversion"/>
  </si>
  <si>
    <t>继续上行有压力</t>
    <phoneticPr fontId="1" type="noConversion"/>
  </si>
  <si>
    <t>002400 省广集团</t>
    <phoneticPr fontId="1" type="noConversion"/>
  </si>
  <si>
    <t>突破3800压力</t>
    <phoneticPr fontId="1" type="noConversion"/>
  </si>
  <si>
    <t>60F M2</t>
    <phoneticPr fontId="1" type="noConversion"/>
  </si>
  <si>
    <t>60F M2, 上半周攻击60均线</t>
    <phoneticPr fontId="1" type="noConversion"/>
  </si>
  <si>
    <t>15F M2完,上半周M3</t>
    <phoneticPr fontId="1" type="noConversion"/>
  </si>
  <si>
    <t>885957 算力概念</t>
    <phoneticPr fontId="1" type="noConversion"/>
  </si>
  <si>
    <t>881157券商</t>
    <phoneticPr fontId="1" type="noConversion"/>
  </si>
  <si>
    <t>继续下行</t>
    <phoneticPr fontId="1" type="noConversion"/>
  </si>
  <si>
    <t>885675半导体</t>
    <phoneticPr fontId="1" type="noConversion"/>
  </si>
  <si>
    <t>有反弹需求</t>
    <phoneticPr fontId="1" type="noConversion"/>
  </si>
  <si>
    <t>881115建筑材料</t>
    <phoneticPr fontId="1" type="noConversion"/>
  </si>
  <si>
    <t>热点</t>
    <phoneticPr fontId="1" type="noConversion"/>
  </si>
  <si>
    <t xml:space="preserve"> 主升SED</t>
    <phoneticPr fontId="1" type="noConversion"/>
  </si>
  <si>
    <t>3浪</t>
    <phoneticPr fontId="1" type="noConversion"/>
  </si>
  <si>
    <t>28入，30出</t>
    <phoneticPr fontId="1" type="noConversion"/>
  </si>
  <si>
    <t>600602云赛智联</t>
    <phoneticPr fontId="1" type="noConversion"/>
  </si>
  <si>
    <t>上午买下午卖</t>
    <phoneticPr fontId="1" type="noConversion"/>
  </si>
  <si>
    <t>W底</t>
    <phoneticPr fontId="1" type="noConversion"/>
  </si>
  <si>
    <t>早盘出</t>
    <phoneticPr fontId="1" type="noConversion"/>
  </si>
  <si>
    <t>5.75进</t>
    <phoneticPr fontId="1" type="noConversion"/>
  </si>
  <si>
    <t>买不进</t>
    <phoneticPr fontId="1" type="noConversion"/>
  </si>
  <si>
    <t>M3</t>
    <phoneticPr fontId="1" type="noConversion"/>
  </si>
  <si>
    <t>300205 天喻信息</t>
    <phoneticPr fontId="1" type="noConversion"/>
  </si>
  <si>
    <t>观察</t>
    <phoneticPr fontId="1" type="noConversion"/>
  </si>
  <si>
    <t>明天出</t>
    <phoneticPr fontId="1" type="noConversion"/>
  </si>
  <si>
    <t>29.50出</t>
    <phoneticPr fontId="1" type="noConversion"/>
  </si>
  <si>
    <t>7.5-8</t>
    <phoneticPr fontId="1" type="noConversion"/>
  </si>
  <si>
    <t>000815 美丽云</t>
    <phoneticPr fontId="1" type="noConversion"/>
  </si>
  <si>
    <t>5.45反T</t>
    <phoneticPr fontId="1" type="noConversion"/>
  </si>
  <si>
    <t>5.63反T</t>
    <phoneticPr fontId="1" type="noConversion"/>
  </si>
  <si>
    <t>·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</si>
  <si>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</si>
  <si>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</si>
  <si>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</si>
  <si>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</si>
  <si>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</si>
  <si>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</si>
  <si>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</si>
  <si>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</si>
  <si>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</si>
  <si>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</si>
  <si>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</si>
  <si>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</si>
  <si>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</si>
  <si>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</si>
  <si>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</si>
  <si>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</si>
  <si>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</si>
  <si>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</si>
  <si>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</si>
  <si>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</si>
  <si>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</si>
  <si>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</si>
  <si>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</si>
  <si>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</si>
  <si>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</si>
  <si>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</si>
  <si>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</si>
  <si>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</si>
  <si>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</si>
  <si>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</si>
  <si>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</si>
  <si>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</si>
  <si>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</si>
  <si>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</si>
  <si>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</si>
  <si>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</si>
  <si>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</si>
  <si>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</si>
  <si>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</si>
  <si>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</si>
  <si>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</si>
  <si>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</si>
  <si>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</si>
  <si>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</si>
  <si>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</si>
  <si>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</si>
  <si>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</si>
  <si>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</si>
  <si>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</si>
  <si>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</si>
  <si>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</si>
  <si>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</si>
  <si>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</si>
  <si>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</si>
  <si>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</si>
  <si>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</si>
  <si>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</si>
  <si>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</si>
  <si>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</si>
  <si>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</si>
  <si>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</si>
  <si>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</si>
  <si>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</si>
  <si>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</si>
  <si>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</si>
  <si>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</si>
  <si>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</si>
  <si>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市场连板情绪</t>
    <phoneticPr fontId="1" type="noConversion"/>
  </si>
  <si>
    <t>流通市值（亿）</t>
    <phoneticPr fontId="1" type="noConversion"/>
  </si>
  <si>
    <t>创业板涨幅超15%</t>
    <phoneticPr fontId="1" type="noConversion"/>
  </si>
  <si>
    <t>涨幅</t>
    <phoneticPr fontId="1" type="noConversion"/>
  </si>
  <si>
    <t>SZ001270</t>
  </si>
  <si>
    <t>铖昌科技</t>
  </si>
  <si>
    <t>煤炭</t>
  </si>
  <si>
    <t>SH600121</t>
  </si>
  <si>
    <t>郑州煤电</t>
  </si>
  <si>
    <t>换手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</si>
  <si>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</si>
  <si>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</si>
  <si>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新能源产业链 （风光电储 小金属、工业金属）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</si>
  <si>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</si>
  <si>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</si>
  <si>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SZ002909</t>
  </si>
  <si>
    <t>集泰股份</t>
  </si>
  <si>
    <t>SZ002708</t>
  </si>
  <si>
    <t>光洋股份</t>
  </si>
  <si>
    <t>汽车零部件</t>
  </si>
  <si>
    <t>SZ002703</t>
  </si>
  <si>
    <t>汽车零部件+无人驾驶</t>
  </si>
  <si>
    <t>军工电子+新股</t>
  </si>
  <si>
    <t>SZ002939</t>
  </si>
  <si>
    <t>长城证券</t>
  </si>
  <si>
    <t>证券</t>
  </si>
  <si>
    <t>SZ002666</t>
  </si>
  <si>
    <t>德联集团</t>
  </si>
  <si>
    <t>有机硅+汽车化学</t>
  </si>
  <si>
    <t>SZ002278</t>
  </si>
  <si>
    <t>神开股份</t>
  </si>
  <si>
    <t>石油化工</t>
  </si>
  <si>
    <t>SZ002094</t>
  </si>
  <si>
    <t>青岛金王</t>
  </si>
  <si>
    <t>化妆品新规+新零售+网红电商+参股银行</t>
  </si>
  <si>
    <t>SZ000622</t>
  </si>
  <si>
    <t>恒立实业</t>
  </si>
  <si>
    <t>汽车零部件+大宗贸易</t>
  </si>
  <si>
    <t>SH605068</t>
  </si>
  <si>
    <t>明新旭腾</t>
  </si>
  <si>
    <t>SH603668</t>
  </si>
  <si>
    <t>天马科技</t>
  </si>
  <si>
    <t>养鸡+饲料</t>
  </si>
  <si>
    <t>SH601788</t>
  </si>
  <si>
    <t>SH601519</t>
  </si>
  <si>
    <t>大智慧</t>
  </si>
  <si>
    <t>互联网券商</t>
  </si>
  <si>
    <t>SH601236</t>
  </si>
  <si>
    <t>红塔证券</t>
  </si>
  <si>
    <t>封成比%</t>
    <phoneticPr fontId="1" type="noConversion"/>
  </si>
  <si>
    <t>浙江世宝</t>
    <phoneticPr fontId="1" type="noConversion"/>
  </si>
  <si>
    <t>光大证券</t>
    <phoneticPr fontId="1" type="noConversion"/>
  </si>
  <si>
    <t>2+3</t>
    <phoneticPr fontId="1" type="noConversion"/>
  </si>
  <si>
    <t>现价</t>
    <phoneticPr fontId="1" type="noConversion"/>
  </si>
  <si>
    <t>SZ300010</t>
  </si>
  <si>
    <t>豆神教育</t>
  </si>
  <si>
    <t>教育</t>
  </si>
  <si>
    <t>SZ300169</t>
  </si>
  <si>
    <t>天晟新材</t>
  </si>
  <si>
    <t>新能源汽车</t>
  </si>
  <si>
    <t>SZ300803</t>
  </si>
  <si>
    <t>指南针</t>
  </si>
  <si>
    <t>互联网金融</t>
  </si>
  <si>
    <t>有机硅+光伏概念+比亚迪</t>
    <phoneticPr fontId="1" type="noConversion"/>
  </si>
  <si>
    <t>大金融  （证券、银行、保险）</t>
    <phoneticPr fontId="1" type="noConversion"/>
  </si>
  <si>
    <t>有机硅 光伏上游材料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</si>
  <si>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</si>
  <si>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</si>
  <si>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</si>
  <si>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</si>
  <si>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√√</t>
    <phoneticPr fontId="1" type="noConversion"/>
  </si>
  <si>
    <t>有机硅+光伏概念+比亚迪</t>
  </si>
  <si>
    <t>浙江世宝</t>
  </si>
  <si>
    <t>SZ000025</t>
  </si>
  <si>
    <t>汽车服务+深圳国资改革+珠宝</t>
  </si>
  <si>
    <t>SZ000627</t>
  </si>
  <si>
    <t>天茂集团</t>
  </si>
  <si>
    <t>保险</t>
  </si>
  <si>
    <t>SZ000017</t>
  </si>
  <si>
    <t>深中华A</t>
  </si>
  <si>
    <t>两轮车+黄金概念+锂电池</t>
  </si>
  <si>
    <t>SZ003026</t>
  </si>
  <si>
    <t>中晶科技</t>
  </si>
  <si>
    <t>半导体</t>
  </si>
  <si>
    <t>SH600171</t>
  </si>
  <si>
    <t>上海贝岭</t>
  </si>
  <si>
    <t>SH600173</t>
  </si>
  <si>
    <t>卧龙地产</t>
  </si>
  <si>
    <t>拟收购+房地产开发</t>
  </si>
  <si>
    <t>SH600661</t>
  </si>
  <si>
    <t>昂立教育</t>
  </si>
  <si>
    <t>SH603963</t>
  </si>
  <si>
    <t>大理药业</t>
  </si>
  <si>
    <t>中药+新冠治疗</t>
  </si>
  <si>
    <t>SZ300052</t>
  </si>
  <si>
    <t>中青宝</t>
  </si>
  <si>
    <t>元宇宙+游戏</t>
  </si>
  <si>
    <t>SZ300192</t>
  </si>
  <si>
    <t>K12教育</t>
  </si>
  <si>
    <t>SZ300260</t>
  </si>
  <si>
    <t>新莱应材</t>
  </si>
  <si>
    <t>HJT电池+光刻胶+芯片</t>
  </si>
  <si>
    <t>SZ300359</t>
  </si>
  <si>
    <t>SZ301051</t>
  </si>
  <si>
    <t>信濠光电</t>
  </si>
  <si>
    <t>消费电子+次新股</t>
  </si>
  <si>
    <t>SZ003032</t>
  </si>
  <si>
    <t>SZ003006</t>
  </si>
  <si>
    <t>百亚股份</t>
  </si>
  <si>
    <t>个护用品+三胎概念</t>
  </si>
  <si>
    <t>SZ002995</t>
  </si>
  <si>
    <t>天地在线</t>
  </si>
  <si>
    <t>传媒+抖音+元宇宙</t>
  </si>
  <si>
    <t>SZ002956</t>
  </si>
  <si>
    <t>西麦食品</t>
  </si>
  <si>
    <t>食品饮料+东方甄选</t>
  </si>
  <si>
    <t>SZ002933</t>
  </si>
  <si>
    <t>新兴装备</t>
  </si>
  <si>
    <t>军工+无人机</t>
  </si>
  <si>
    <t>SZ002931</t>
  </si>
  <si>
    <t>锋龙股份</t>
  </si>
  <si>
    <t>SZ002927</t>
  </si>
  <si>
    <t>泰永长征</t>
  </si>
  <si>
    <t>充电桩+电网设备</t>
  </si>
  <si>
    <t>SZ002864</t>
  </si>
  <si>
    <t>盘龙药业</t>
  </si>
  <si>
    <t>新冠治疗+中药</t>
  </si>
  <si>
    <t>SZ002836</t>
  </si>
  <si>
    <t>新宏泽</t>
  </si>
  <si>
    <t>烟草</t>
  </si>
  <si>
    <t>SZ002824</t>
  </si>
  <si>
    <t>和胜股份</t>
  </si>
  <si>
    <t>工业金属+新能源汽车+消费电子+比亚迪</t>
  </si>
  <si>
    <t>SZ002779</t>
  </si>
  <si>
    <t>中坚科技</t>
  </si>
  <si>
    <t>园林机械</t>
  </si>
  <si>
    <t>SZ002624</t>
  </si>
  <si>
    <t>完美世界</t>
  </si>
  <si>
    <t>游戏+影视传媒</t>
  </si>
  <si>
    <t>SZ002621</t>
  </si>
  <si>
    <t>美吉姆</t>
  </si>
  <si>
    <t>SZ002607</t>
  </si>
  <si>
    <t>中公教育</t>
  </si>
  <si>
    <t>教育+职业教育</t>
  </si>
  <si>
    <t>SZ002599</t>
  </si>
  <si>
    <t>盛通股份</t>
  </si>
  <si>
    <t>包装印刷+在线教育</t>
  </si>
  <si>
    <t>SZ002514</t>
  </si>
  <si>
    <t>宝馨科技</t>
  </si>
  <si>
    <t>光伏+通用设备</t>
  </si>
  <si>
    <t>SZ002513</t>
  </si>
  <si>
    <t>蓝丰生化</t>
  </si>
  <si>
    <t>农药</t>
  </si>
  <si>
    <t>SZ002502</t>
  </si>
  <si>
    <t>鼎龙文化</t>
  </si>
  <si>
    <t>网络游戏+影视传媒+钛</t>
  </si>
  <si>
    <t>SZ002467</t>
  </si>
  <si>
    <t>二六三</t>
  </si>
  <si>
    <t>元宇宙+在线教育</t>
  </si>
  <si>
    <t>SZ002187</t>
  </si>
  <si>
    <t>广百股份</t>
  </si>
  <si>
    <t>零售</t>
  </si>
  <si>
    <t>SZ002160</t>
  </si>
  <si>
    <t>常铝股份</t>
  </si>
  <si>
    <t>工业金属+锂电池+新能源汽车+比亚迪</t>
  </si>
  <si>
    <t>SZ002056</t>
  </si>
  <si>
    <t>横店东磁</t>
  </si>
  <si>
    <t>稀土永磁+光伏+锂电池</t>
  </si>
  <si>
    <t>SZ001212</t>
  </si>
  <si>
    <t>中旗新材</t>
  </si>
  <si>
    <t>有机硅+石英</t>
  </si>
  <si>
    <t>SZ000821</t>
  </si>
  <si>
    <t>京山轻机</t>
  </si>
  <si>
    <t>光伏+HJT电池</t>
  </si>
  <si>
    <t>SZ000815</t>
  </si>
  <si>
    <t>美利云</t>
  </si>
  <si>
    <t>造纸+东数西算</t>
  </si>
  <si>
    <t>SZ000633</t>
  </si>
  <si>
    <t>合金投资</t>
  </si>
  <si>
    <t>实控人变更+新材料概念</t>
  </si>
  <si>
    <t>SZ000526</t>
  </si>
  <si>
    <t>学大教育</t>
  </si>
  <si>
    <t>SZ000070</t>
  </si>
  <si>
    <t>特发信息</t>
  </si>
  <si>
    <t>军工+东数西算</t>
  </si>
  <si>
    <t>SH605208</t>
  </si>
  <si>
    <t>永茂泰</t>
  </si>
  <si>
    <t>SH605098</t>
  </si>
  <si>
    <t>行动教育</t>
  </si>
  <si>
    <t>SH605007</t>
  </si>
  <si>
    <t>五洲特纸</t>
  </si>
  <si>
    <t>造纸</t>
  </si>
  <si>
    <t>SH603997</t>
  </si>
  <si>
    <t>继峰股份</t>
  </si>
  <si>
    <t>SH603983</t>
  </si>
  <si>
    <t>丸美股份</t>
  </si>
  <si>
    <t>化妆品+电子商务</t>
  </si>
  <si>
    <t>SH603598</t>
  </si>
  <si>
    <t>引力传媒</t>
  </si>
  <si>
    <t>传媒+抖音+广告营销</t>
  </si>
  <si>
    <t>SH603466</t>
  </si>
  <si>
    <t>风语筑</t>
  </si>
  <si>
    <t>元宇宙+虚拟现实</t>
  </si>
  <si>
    <t>SH603096</t>
  </si>
  <si>
    <t>新经典</t>
  </si>
  <si>
    <t>传媒</t>
  </si>
  <si>
    <t>SH603078</t>
  </si>
  <si>
    <t>江化微</t>
  </si>
  <si>
    <t>芯片+光刻胶</t>
  </si>
  <si>
    <t>SH600975</t>
  </si>
  <si>
    <t>新五丰</t>
  </si>
  <si>
    <t>猪肉+饲料</t>
  </si>
  <si>
    <t>SH600793</t>
  </si>
  <si>
    <t>宜宾纸业</t>
  </si>
  <si>
    <t>造纸+地方国资改革</t>
  </si>
  <si>
    <t>SH600776</t>
  </si>
  <si>
    <t>东方通信</t>
  </si>
  <si>
    <t>5G</t>
  </si>
  <si>
    <t>SH600732</t>
  </si>
  <si>
    <t>爱旭股份</t>
  </si>
  <si>
    <t>SH600640</t>
  </si>
  <si>
    <t>新国脉</t>
  </si>
  <si>
    <t>传媒+元宇宙</t>
  </si>
  <si>
    <t>SH600556</t>
  </si>
  <si>
    <t>天下秀</t>
  </si>
  <si>
    <t>SH600551</t>
  </si>
  <si>
    <t>时代出版</t>
  </si>
  <si>
    <t>传媒+在线教育</t>
  </si>
  <si>
    <t>SH600393</t>
  </si>
  <si>
    <t>粤泰股份</t>
  </si>
  <si>
    <t>摘帽+房地产开发</t>
  </si>
  <si>
    <t>SH600351</t>
  </si>
  <si>
    <t>亚宝药业</t>
  </si>
  <si>
    <t>新冠治疗+医药</t>
  </si>
  <si>
    <t>SH600255</t>
  </si>
  <si>
    <t>鑫科材料</t>
  </si>
  <si>
    <t>新材料+铜</t>
  </si>
  <si>
    <t>教育/游戏/网络平台电商</t>
    <phoneticPr fontId="1" type="noConversion"/>
  </si>
  <si>
    <t>2.63万</t>
    <phoneticPr fontId="1" type="noConversion"/>
  </si>
  <si>
    <t>特  力Ａ</t>
    <phoneticPr fontId="1" type="noConversion"/>
  </si>
  <si>
    <t>自选股</t>
    <phoneticPr fontId="1" type="noConversion"/>
  </si>
  <si>
    <t>顺控发展</t>
  </si>
  <si>
    <t>中航电子</t>
  </si>
  <si>
    <t>圣泉集团</t>
  </si>
  <si>
    <t>上证指数</t>
  </si>
  <si>
    <t>科德教育</t>
    <phoneticPr fontId="1" type="noConversion"/>
  </si>
  <si>
    <t>全通教育</t>
    <phoneticPr fontId="1" type="noConversion"/>
  </si>
  <si>
    <t>传智教育</t>
    <phoneticPr fontId="1" type="noConversion"/>
  </si>
  <si>
    <t>龙头豆神，跟风科德教育、全通教育、传智教育</t>
    <phoneticPr fontId="1" type="noConversion"/>
  </si>
  <si>
    <t>二板放量分歧</t>
    <phoneticPr fontId="1" type="noConversion"/>
  </si>
  <si>
    <t>MA5, 22.00</t>
    <phoneticPr fontId="1" type="noConversion"/>
  </si>
  <si>
    <t>冲高突破前高反T，回踩MA5买回</t>
    <phoneticPr fontId="1" type="noConversion"/>
  </si>
  <si>
    <t>F15 M3</t>
    <phoneticPr fontId="1" type="noConversion"/>
  </si>
  <si>
    <t>回调B</t>
    <phoneticPr fontId="1" type="noConversion"/>
  </si>
  <si>
    <t>封单很大</t>
    <phoneticPr fontId="1" type="noConversion"/>
  </si>
  <si>
    <t>MA10 3263</t>
    <phoneticPr fontId="1" type="noConversion"/>
  </si>
  <si>
    <t>挂涨停进</t>
    <phoneticPr fontId="1" type="noConversion"/>
  </si>
  <si>
    <t>回抽MA10出</t>
    <phoneticPr fontId="1" type="noConversion"/>
  </si>
  <si>
    <t>锚定点</t>
    <phoneticPr fontId="1" type="noConversion"/>
  </si>
  <si>
    <t>鸭嘴上翘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</si>
  <si>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</si>
  <si>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</si>
  <si>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SZ300337</t>
  </si>
  <si>
    <t>银邦股份</t>
  </si>
  <si>
    <t>宁德时代+新能源汽车</t>
  </si>
  <si>
    <t>SZ300602</t>
  </si>
  <si>
    <t>飞荣达</t>
  </si>
  <si>
    <t>宁德时代+光伏</t>
  </si>
  <si>
    <t>SZ300660</t>
  </si>
  <si>
    <t>江苏雷利</t>
  </si>
  <si>
    <t>新能源汽车+宁德时代概念</t>
  </si>
  <si>
    <t>SZ300731</t>
  </si>
  <si>
    <t>科创新源</t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</si>
  <si>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</si>
  <si>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</si>
  <si>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</si>
  <si>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</si>
  <si>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</si>
  <si>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</si>
  <si>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</si>
  <si>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</si>
  <si>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</si>
  <si>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</si>
  <si>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</si>
  <si>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</si>
  <si>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</si>
  <si>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</si>
  <si>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</si>
  <si>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</si>
  <si>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</si>
  <si>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</si>
  <si>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</si>
  <si>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</si>
  <si>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</si>
  <si>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</si>
  <si>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</si>
  <si>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</si>
  <si>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</si>
  <si>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</si>
  <si>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</si>
  <si>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</si>
  <si>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</si>
  <si>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</si>
  <si>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</si>
  <si>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</si>
  <si>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</si>
  <si>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黄金+两轮车+锂电池</t>
  </si>
  <si>
    <t>充电桩+智能电网</t>
  </si>
  <si>
    <t>SZ002126</t>
  </si>
  <si>
    <t>银轮股份</t>
  </si>
  <si>
    <t>--</t>
  </si>
  <si>
    <t>汽车零部件+宁德时代</t>
  </si>
  <si>
    <t>SZ002239</t>
  </si>
  <si>
    <t>奥特佳</t>
  </si>
  <si>
    <t>SZ002454</t>
  </si>
  <si>
    <t>松芝股份</t>
  </si>
  <si>
    <t>SZ002487</t>
  </si>
  <si>
    <t>大金重工</t>
  </si>
  <si>
    <t>SZ000678</t>
  </si>
  <si>
    <t>襄阳轴承</t>
  </si>
  <si>
    <t>汽车零部件+比亚迪</t>
  </si>
  <si>
    <t>SZ002576</t>
  </si>
  <si>
    <t>通达动力</t>
  </si>
  <si>
    <t>新能源汽车+比亚迪+风电</t>
  </si>
  <si>
    <t>SZ000816</t>
  </si>
  <si>
    <t>智慧农业</t>
  </si>
  <si>
    <t>盐湖提锂+农机</t>
  </si>
  <si>
    <t>SZ000957</t>
  </si>
  <si>
    <t>中通客车</t>
  </si>
  <si>
    <t>SZ000037</t>
  </si>
  <si>
    <t>深南电A</t>
  </si>
  <si>
    <t>储能+电力</t>
  </si>
  <si>
    <t>SH600207</t>
  </si>
  <si>
    <t>安彩高科</t>
  </si>
  <si>
    <t>光伏+天然气</t>
  </si>
  <si>
    <t>SH600973</t>
  </si>
  <si>
    <t>宝胜股份</t>
  </si>
  <si>
    <t>光伏+智能电网</t>
  </si>
  <si>
    <t>SH601702</t>
  </si>
  <si>
    <t>华峰铝业</t>
  </si>
  <si>
    <t>工业金属+新能源汽车</t>
  </si>
  <si>
    <t>SH603507</t>
  </si>
  <si>
    <t>振江股份</t>
  </si>
  <si>
    <t>SH603530</t>
  </si>
  <si>
    <t>神马电力</t>
  </si>
  <si>
    <t>特高压+智能电网</t>
  </si>
  <si>
    <t>SH603985</t>
  </si>
  <si>
    <t>恒润股份</t>
  </si>
  <si>
    <t>风电+高端装备</t>
  </si>
  <si>
    <t>新能源汽车+家电</t>
    <phoneticPr fontId="1" type="noConversion"/>
  </si>
  <si>
    <t>新能源汽车</t>
    <phoneticPr fontId="1" type="noConversion"/>
  </si>
  <si>
    <t>13+2</t>
    <phoneticPr fontId="1" type="noConversion"/>
  </si>
  <si>
    <t>√√√√</t>
    <phoneticPr fontId="1" type="noConversion"/>
  </si>
  <si>
    <t>银邦股份</t>
    <phoneticPr fontId="1" type="noConversion"/>
  </si>
  <si>
    <t xml:space="preserve">新能源产业链 </t>
    <phoneticPr fontId="1" type="noConversion"/>
  </si>
  <si>
    <t>光伏</t>
    <phoneticPr fontId="1" type="noConversion"/>
  </si>
  <si>
    <t>风电</t>
    <phoneticPr fontId="1" type="noConversion"/>
  </si>
  <si>
    <t>锂电池</t>
    <phoneticPr fontId="1" type="noConversion"/>
  </si>
  <si>
    <t>封成比</t>
    <phoneticPr fontId="1" type="noConversion"/>
  </si>
  <si>
    <t>汽车零部件+宁德时代</t>
    <phoneticPr fontId="1" type="noConversion"/>
  </si>
  <si>
    <t>光伏+通用设备</t>
    <phoneticPr fontId="1" type="noConversion"/>
  </si>
  <si>
    <t>光伏+风电</t>
    <phoneticPr fontId="1" type="noConversion"/>
  </si>
  <si>
    <t>智网/充电桩</t>
    <phoneticPr fontId="1" type="noConversion"/>
  </si>
  <si>
    <t>打板尝试</t>
    <phoneticPr fontId="1" type="noConversion"/>
  </si>
  <si>
    <t>换手30%</t>
    <phoneticPr fontId="1" type="noConversion"/>
  </si>
  <si>
    <t>√√√</t>
    <phoneticPr fontId="1" type="noConversion"/>
  </si>
  <si>
    <t>机器人</t>
  </si>
  <si>
    <t>机器人</t>
    <phoneticPr fontId="1" type="noConversion"/>
  </si>
  <si>
    <t>新能源汽车+家电+汽车热管理</t>
  </si>
  <si>
    <t>汽车零部件+宁德时代+汽车热管理</t>
  </si>
  <si>
    <t>特高压</t>
  </si>
  <si>
    <t>SZ003028</t>
  </si>
  <si>
    <t>振邦智能</t>
  </si>
  <si>
    <t>光伏+储能+汽车电子</t>
  </si>
  <si>
    <t>SZ002988</t>
  </si>
  <si>
    <t>豪美新材</t>
  </si>
  <si>
    <t>装修装饰+新能源汽车</t>
  </si>
  <si>
    <t>SZ002638</t>
  </si>
  <si>
    <t>勤上股份</t>
  </si>
  <si>
    <t>实控人拟变更+教育</t>
  </si>
  <si>
    <t>SZ002380</t>
  </si>
  <si>
    <t>科远智慧</t>
  </si>
  <si>
    <t>机器人+超超临界发电</t>
  </si>
  <si>
    <t>SZ002347</t>
  </si>
  <si>
    <t>泰尔股份</t>
  </si>
  <si>
    <t>锂电池+机器人概念</t>
  </si>
  <si>
    <t>SZ002204</t>
  </si>
  <si>
    <t>大连重工</t>
  </si>
  <si>
    <t>中报预增+风电</t>
  </si>
  <si>
    <t>SH600215</t>
  </si>
  <si>
    <t>派斯林</t>
  </si>
  <si>
    <t>SZ301199</t>
  </si>
  <si>
    <t>迈赫股份</t>
  </si>
  <si>
    <t>智能制造+机器人+新能源汽车</t>
  </si>
  <si>
    <t>SZ300479</t>
  </si>
  <si>
    <t>神思电子</t>
  </si>
  <si>
    <t>机器人+数字货币</t>
  </si>
  <si>
    <t>SZ002896</t>
  </si>
  <si>
    <t>中大力德</t>
  </si>
  <si>
    <t>SZ002848</t>
  </si>
  <si>
    <t>高斯贝尔</t>
  </si>
  <si>
    <t>家电+5G</t>
  </si>
  <si>
    <t>SZ002731</t>
  </si>
  <si>
    <t>萃华珠宝</t>
  </si>
  <si>
    <t>实控人变更+黄金+珠宝</t>
  </si>
  <si>
    <t>SZ002657</t>
  </si>
  <si>
    <t>中科金财</t>
  </si>
  <si>
    <t>数字货币+国产软件</t>
  </si>
  <si>
    <t>SZ002587</t>
  </si>
  <si>
    <t>奥拓电子</t>
  </si>
  <si>
    <t>Mini LED+虚拟现实+机器人</t>
  </si>
  <si>
    <t>SZ002559</t>
  </si>
  <si>
    <t>亚威股份</t>
  </si>
  <si>
    <t>工业母机+智能制造+机器人概念</t>
  </si>
  <si>
    <t>SZ002527</t>
  </si>
  <si>
    <t>新时达</t>
  </si>
  <si>
    <t>机器人概念+智能制造+比亚迪</t>
  </si>
  <si>
    <t>SZ002519</t>
  </si>
  <si>
    <t>银河电子</t>
  </si>
  <si>
    <t>家电+军工+新能源汽车</t>
  </si>
  <si>
    <t>SZ002482</t>
  </si>
  <si>
    <t>广田集团</t>
  </si>
  <si>
    <t>建筑装饰</t>
  </si>
  <si>
    <t>SZ002403</t>
  </si>
  <si>
    <t>爱仕达</t>
  </si>
  <si>
    <t>家用电器+机器人</t>
  </si>
  <si>
    <t>SZ002174</t>
  </si>
  <si>
    <t>游族网络</t>
  </si>
  <si>
    <t>游戏+虚拟现实</t>
  </si>
  <si>
    <t>SZ002047</t>
  </si>
  <si>
    <t>宝鹰股份</t>
  </si>
  <si>
    <t>SZ002031</t>
  </si>
  <si>
    <t>巨轮智能</t>
  </si>
  <si>
    <t>机器人+工业母机+高端装备</t>
  </si>
  <si>
    <t>SZ000880</t>
  </si>
  <si>
    <t>潍柴重机</t>
  </si>
  <si>
    <t>汽车零部件+海工装备+地方国资</t>
  </si>
  <si>
    <t>SZ300024</t>
  </si>
  <si>
    <t>SZ300293</t>
  </si>
  <si>
    <t>蓝英装备</t>
  </si>
  <si>
    <t>SZ300836</t>
  </si>
  <si>
    <t>佰奥智能</t>
  </si>
  <si>
    <t>SZ001270</t>
    <phoneticPr fontId="1" type="noConversion"/>
  </si>
  <si>
    <t>机器人+数字货币</t>
    <phoneticPr fontId="1" type="noConversion"/>
  </si>
  <si>
    <t>机器人+高端装备</t>
    <phoneticPr fontId="1" type="noConversion"/>
  </si>
  <si>
    <t>汽车零部件+无人驾驶+机器人</t>
    <phoneticPr fontId="1" type="noConversion"/>
  </si>
  <si>
    <t>新能源汽车+房地产+机器人</t>
    <phoneticPr fontId="1" type="noConversion"/>
  </si>
  <si>
    <t>有机硅+光伏+比亚迪</t>
  </si>
  <si>
    <t>实控人变更+教育</t>
  </si>
  <si>
    <t>新能源汽车+机器人概念</t>
  </si>
  <si>
    <t>华控赛格</t>
  </si>
  <si>
    <t>环保+锂电池</t>
  </si>
  <si>
    <t>深华发Ａ</t>
  </si>
  <si>
    <t>光学光电子+物业管理</t>
  </si>
  <si>
    <t>中广天择</t>
  </si>
  <si>
    <t>传媒+网络直播</t>
  </si>
  <si>
    <t>天域生态</t>
  </si>
  <si>
    <t>基建+猪肉</t>
  </si>
  <si>
    <t>国机汽车</t>
  </si>
  <si>
    <t>汽车服务+新能源汽车</t>
  </si>
  <si>
    <t>罗博特科</t>
  </si>
  <si>
    <t>药易购</t>
  </si>
  <si>
    <t>医药商业</t>
  </si>
  <si>
    <t>流值(亿）</t>
    <phoneticPr fontId="1" type="noConversion"/>
  </si>
  <si>
    <t>√√√</t>
  </si>
  <si>
    <t>√√</t>
  </si>
  <si>
    <t>充电桩智能电网</t>
    <phoneticPr fontId="1" type="noConversion"/>
  </si>
  <si>
    <t>科远智慧</t>
    <phoneticPr fontId="1" type="noConversion"/>
  </si>
  <si>
    <t>正T</t>
    <phoneticPr fontId="1" type="noConversion"/>
  </si>
  <si>
    <t>老鸭头</t>
    <phoneticPr fontId="1" type="noConversion"/>
  </si>
  <si>
    <t>进攻形态</t>
    <phoneticPr fontId="1" type="noConversion"/>
  </si>
  <si>
    <t>冲高买出</t>
    <phoneticPr fontId="1" type="noConversion"/>
  </si>
  <si>
    <t>泰尔股份</t>
    <phoneticPr fontId="1" type="noConversion"/>
  </si>
  <si>
    <t>启动</t>
    <phoneticPr fontId="1" type="noConversion"/>
  </si>
  <si>
    <t>确认</t>
    <phoneticPr fontId="1" type="noConversion"/>
  </si>
  <si>
    <t>发酵</t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</si>
  <si>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</si>
  <si>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</si>
  <si>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</si>
  <si>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</si>
  <si>
    <t>放量</t>
    <phoneticPr fontId="1" type="noConversion"/>
  </si>
  <si>
    <t>分歧</t>
    <phoneticPr fontId="1" type="noConversion"/>
  </si>
  <si>
    <t>反包</t>
    <phoneticPr fontId="1" type="noConversion"/>
  </si>
  <si>
    <t>龙回头</t>
    <phoneticPr fontId="1" type="noConversion"/>
  </si>
  <si>
    <t>衰退</t>
    <phoneticPr fontId="1" type="noConversion"/>
  </si>
  <si>
    <t>5-7</t>
    <phoneticPr fontId="1" type="noConversion"/>
  </si>
  <si>
    <t>盘顶</t>
    <phoneticPr fontId="1" type="noConversion"/>
  </si>
  <si>
    <t>电力</t>
    <phoneticPr fontId="1" type="noConversion"/>
  </si>
  <si>
    <t>芯片</t>
    <phoneticPr fontId="1" type="noConversion"/>
  </si>
  <si>
    <t>首阴</t>
    <phoneticPr fontId="1" type="noConversion"/>
  </si>
  <si>
    <t>新能车</t>
    <phoneticPr fontId="1" type="noConversion"/>
  </si>
  <si>
    <t>京山轻机</t>
    <phoneticPr fontId="1" type="noConversion"/>
  </si>
  <si>
    <t>氢化丁腈橡胶+特高压+智能电网</t>
  </si>
  <si>
    <t>星帅尔</t>
  </si>
  <si>
    <t>威尔泰</t>
  </si>
  <si>
    <t>电网设备+特斯拉</t>
  </si>
  <si>
    <t>拓山重工</t>
  </si>
  <si>
    <t>工程机械+新股</t>
  </si>
  <si>
    <t>安凯客车</t>
  </si>
  <si>
    <t>汽车整车+无人驾驶</t>
  </si>
  <si>
    <t>秦安股份</t>
  </si>
  <si>
    <t>汽车零部件+新能源汽车</t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</si>
  <si>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</si>
  <si>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</si>
  <si>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</si>
  <si>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</si>
  <si>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</si>
  <si>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</si>
  <si>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道明光学</t>
  </si>
  <si>
    <t>锂电池+新能源汽车</t>
  </si>
  <si>
    <t>兴民智通</t>
  </si>
  <si>
    <t>汽车零部件+新型烟草</t>
  </si>
  <si>
    <t>海陆重工</t>
  </si>
  <si>
    <t>光伏+三元电池</t>
  </si>
  <si>
    <t>巴士在线</t>
  </si>
  <si>
    <t>摘帽+物业管理</t>
  </si>
  <si>
    <t>盾安环境</t>
  </si>
  <si>
    <t>汽车热管理+家电零部件</t>
  </si>
  <si>
    <t>中国中期</t>
  </si>
  <si>
    <t>汽车服务+期货概念</t>
  </si>
  <si>
    <t>合力科技</t>
  </si>
  <si>
    <t>朗博科技</t>
  </si>
  <si>
    <t>橡胶汽车零部件</t>
  </si>
  <si>
    <t>联明股份</t>
  </si>
  <si>
    <t>汽车零部件+冷链物流</t>
  </si>
  <si>
    <t>小康股份</t>
  </si>
  <si>
    <t>汽车整车</t>
  </si>
  <si>
    <t>华鑫股份</t>
  </si>
  <si>
    <t>证券+期货</t>
  </si>
  <si>
    <t>抚顺特钢</t>
  </si>
  <si>
    <t>军工+钢铁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</si>
  <si>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</si>
  <si>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</si>
  <si>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</si>
  <si>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</si>
  <si>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</si>
  <si>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</si>
  <si>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</si>
  <si>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</si>
  <si>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</si>
  <si>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</si>
  <si>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</si>
  <si>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</si>
  <si>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</si>
  <si>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</si>
  <si>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</si>
  <si>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</si>
  <si>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</si>
  <si>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</si>
  <si>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</si>
  <si>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</si>
  <si>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</si>
  <si>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</si>
  <si>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</si>
  <si>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</si>
  <si>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</si>
  <si>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</si>
  <si>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</si>
  <si>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</si>
  <si>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</si>
  <si>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</si>
  <si>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</si>
  <si>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</si>
  <si>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</si>
  <si>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</si>
  <si>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</si>
  <si>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</si>
  <si>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</si>
  <si>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>1.主流品种
2.不接一致再一致
3.盘子大，价投波段太多
4.筹码结构，压力不能太大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</si>
  <si>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</si>
  <si>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</si>
  <si>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</si>
  <si>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</si>
  <si>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奥拓电子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</si>
  <si>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</si>
  <si>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</si>
  <si>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一致</t>
    <phoneticPr fontId="1" type="noConversion"/>
  </si>
  <si>
    <t>冰点1</t>
    <phoneticPr fontId="1" type="noConversion"/>
  </si>
  <si>
    <t>冰点加速</t>
    <phoneticPr fontId="1" type="noConversion"/>
  </si>
  <si>
    <t>回流</t>
    <phoneticPr fontId="1" type="noConversion"/>
  </si>
  <si>
    <t>SZ长上影线低位连扳下降</t>
    <phoneticPr fontId="1" type="noConversion"/>
  </si>
  <si>
    <t>兑现日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</si>
  <si>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</si>
  <si>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</si>
  <si>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</si>
  <si>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</si>
  <si>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</si>
  <si>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</si>
  <si>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</si>
  <si>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</si>
  <si>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</si>
  <si>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</si>
  <si>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</si>
  <si>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</si>
  <si>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</si>
  <si>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</si>
  <si>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</si>
  <si>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</si>
  <si>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</si>
  <si>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</si>
  <si>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</si>
  <si>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加速</t>
  </si>
  <si>
    <t>高潮</t>
    <phoneticPr fontId="1" type="noConversion"/>
  </si>
  <si>
    <t>预期分歧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</si>
  <si>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</si>
  <si>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</si>
  <si>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</si>
  <si>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</si>
  <si>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</si>
  <si>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</si>
  <si>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</si>
  <si>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</si>
  <si>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</si>
  <si>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</si>
  <si>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</si>
  <si>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</si>
  <si>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</si>
  <si>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</si>
  <si>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</si>
  <si>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</si>
  <si>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</si>
  <si>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</si>
  <si>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</si>
  <si>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</si>
  <si>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</si>
  <si>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</si>
  <si>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</si>
  <si>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</si>
  <si>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</si>
  <si>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</si>
  <si>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</si>
  <si>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</si>
  <si>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</si>
  <si>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</si>
  <si>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</si>
  <si>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</si>
  <si>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</si>
  <si>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</si>
  <si>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</si>
  <si>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</si>
  <si>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</si>
  <si>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</si>
  <si>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</si>
  <si>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</si>
  <si>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11+1</t>
    <phoneticPr fontId="1" type="noConversion"/>
  </si>
  <si>
    <t>10+1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</si>
  <si>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</si>
  <si>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</si>
  <si>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</si>
  <si>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</si>
  <si>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</si>
  <si>
    <t>&lt;发酵分歧&gt;</t>
    <phoneticPr fontId="1" type="noConversion"/>
  </si>
  <si>
    <t>连扳总数：43</t>
    <phoneticPr fontId="1" type="noConversion"/>
  </si>
  <si>
    <t>超预期</t>
    <phoneticPr fontId="1" type="noConversion"/>
  </si>
  <si>
    <t>预期退潮</t>
    <phoneticPr fontId="1" type="noConversion"/>
  </si>
  <si>
    <t>汽车零部件+汽车热管理+家电零部件</t>
  </si>
  <si>
    <t>日丰股份</t>
  </si>
  <si>
    <t>风电+充电桩+高压快充</t>
  </si>
  <si>
    <t>远大智能</t>
  </si>
  <si>
    <t>机器人+电梯</t>
  </si>
  <si>
    <t>丽江股份</t>
  </si>
  <si>
    <t>景点及旅游</t>
  </si>
  <si>
    <t>赣能股份</t>
  </si>
  <si>
    <t>抽水蓄能+光伏+电力</t>
  </si>
  <si>
    <t>汽车热管理+汽车零部件</t>
  </si>
  <si>
    <t>华天酒店</t>
  </si>
  <si>
    <t>酒店及餐饮+预制菜</t>
  </si>
  <si>
    <t>1.高开：预期回流说明强势容易上板，平开低开上板成本太高。预期分歧高开没有性价比，容易被核。
2.市场分化一致更容易胜出</t>
    <phoneticPr fontId="1" type="noConversion"/>
  </si>
  <si>
    <t>分化</t>
    <phoneticPr fontId="1" type="noConversion"/>
  </si>
  <si>
    <t>神剑股份</t>
  </si>
  <si>
    <t>军工+塑料</t>
  </si>
  <si>
    <t>奥维通信</t>
  </si>
  <si>
    <t>5G+军工</t>
  </si>
  <si>
    <t>一鸣食品</t>
  </si>
  <si>
    <t>食品加工+乳业</t>
  </si>
  <si>
    <t>雪天盐业</t>
  </si>
  <si>
    <t>中报预增+食盐+化工</t>
  </si>
  <si>
    <t>国中水务</t>
  </si>
  <si>
    <t>重组+水务</t>
  </si>
  <si>
    <t>退1</t>
  </si>
  <si>
    <t>退1</t>
    <phoneticPr fontId="1" type="noConversion"/>
  </si>
  <si>
    <t>连扳总数：13</t>
    <phoneticPr fontId="1" type="noConversion"/>
  </si>
  <si>
    <t>冰点</t>
    <phoneticPr fontId="1" type="noConversion"/>
  </si>
  <si>
    <t>预期修复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</si>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</sst>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20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sz val="11"/>
      <color rgb="FF3F3F3F"/>
      <name val="等线"/>
      <family val="3"/>
      <charset val="134"/>
      <scheme val="minor"/>
    </font>
    <font>
      <b/>
      <sz val="11"/>
      <color rgb="FF3F3F3F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</fills>
  <borders count="8">
    <border>
      <left/>
      <right/>
      <top/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/>
      <top style="thin">
        <color rgb="FF3F3F3F"/>
      </top>
      <bottom style="thin">
        <color rgb="FF3F3F3F"/>
      </bottom>
      <diagonal/>
    </border>
    <border>
      <left/>
      <right/>
      <top style="thin">
        <color rgb="FF3F3F3F"/>
      </top>
      <bottom style="thin">
        <color rgb="FF3F3F3F"/>
      </bottom>
      <diagonal/>
    </border>
    <border>
      <left/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/>
      <diagonal/>
    </border>
    <border>
      <left style="thin">
        <color rgb="FF3F3F3F"/>
      </left>
      <right style="thin">
        <color rgb="FF3F3F3F"/>
      </right>
      <top/>
      <bottom style="thin">
        <color rgb="FF3F3F3F"/>
      </bottom>
      <diagonal/>
    </border>
    <border>
      <left style="thin">
        <color rgb="FF3F3F3F"/>
      </left>
      <right style="thin">
        <color rgb="FF3F3F3F"/>
      </right>
      <top/>
      <bottom/>
      <diagonal/>
    </border>
  </borders>
  <cellStyleXfs count="3">
    <xf numFmtId="0" fontId="0" fillId="0" borderId="0"/>
    <xf numFmtId="0" fontId="2" fillId="2" borderId="1" applyNumberFormat="0" applyAlignment="0" applyProtection="0">
      <alignment vertical="center"/>
    </xf>
    <xf numFmtId="0" fontId="7" fillId="0" borderId="0" applyNumberFormat="0" applyFill="0" applyBorder="0" applyAlignment="0" applyProtection="0"/>
  </cellStyleXfs>
  <cellXfs count="206">
    <xf numFmtId="0" fontId="0" fillId="0" borderId="0" xfId="0"/>
    <xf numFmtId="0" fontId="0" fillId="0" borderId="0" xfId="0" applyAlignment="1">
      <alignment horizontal="center"/>
    </xf>
    <xf numFmtId="0" fontId="2" fillId="2" borderId="1" xfId="1" applyAlignment="1"/>
    <xf numFmtId="0" fontId="2" fillId="2" borderId="1" xfId="1" applyAlignment="1">
      <alignment horizontal="center"/>
    </xf>
    <xf numFmtId="0" fontId="2" fillId="4" borderId="1" xfId="1" applyFill="1" applyAlignment="1">
      <alignment horizontal="center"/>
    </xf>
    <xf numFmtId="0" fontId="3" fillId="4" borderId="1" xfId="1" applyFont="1" applyFill="1" applyAlignment="1">
      <alignment horizontal="center"/>
    </xf>
    <xf numFmtId="0" fontId="2" fillId="5" borderId="1" xfId="1" applyFill="1" applyAlignment="1">
      <alignment horizontal="center"/>
    </xf>
    <xf numFmtId="0" fontId="3" fillId="5" borderId="1" xfId="1" applyFont="1" applyFill="1" applyAlignment="1">
      <alignment horizontal="center"/>
    </xf>
    <xf numFmtId="0" fontId="2" fillId="7" borderId="1" xfId="1" applyFill="1" applyAlignment="1">
      <alignment horizontal="center"/>
    </xf>
    <xf numFmtId="0" fontId="2" fillId="8" borderId="1" xfId="1" applyFill="1" applyAlignment="1">
      <alignment horizontal="center"/>
    </xf>
    <xf numFmtId="0" fontId="4" fillId="4" borderId="1" xfId="1" applyFont="1" applyFill="1" applyAlignment="1">
      <alignment horizontal="center"/>
    </xf>
    <xf numFmtId="10" fontId="4" fillId="4" borderId="1" xfId="1" applyNumberFormat="1" applyFont="1" applyFill="1" applyAlignment="1">
      <alignment horizontal="center"/>
    </xf>
    <xf numFmtId="0" fontId="4" fillId="3" borderId="1" xfId="1" applyFont="1" applyFill="1" applyAlignment="1">
      <alignment horizontal="center"/>
    </xf>
    <xf numFmtId="0" fontId="2" fillId="6" borderId="3" xfId="1" applyFill="1" applyBorder="1" applyAlignment="1">
      <alignment horizontal="center" vertical="center"/>
    </xf>
    <xf numFmtId="0" fontId="4" fillId="5" borderId="1" xfId="1" applyFont="1" applyFill="1" applyAlignment="1">
      <alignment horizontal="center"/>
    </xf>
    <xf numFmtId="0" fontId="4" fillId="2" borderId="1" xfId="1" applyFont="1" applyAlignment="1">
      <alignment horizontal="center"/>
    </xf>
    <xf numFmtId="0" fontId="4" fillId="2" borderId="1" xfId="1" applyFont="1" applyAlignment="1"/>
    <xf numFmtId="0" fontId="5" fillId="0" borderId="0" xfId="0" applyFont="1"/>
    <xf numFmtId="9" fontId="2" fillId="5" borderId="1" xfId="1" applyNumberFormat="1" applyFill="1" applyAlignment="1">
      <alignment horizontal="center"/>
    </xf>
    <xf numFmtId="9" fontId="2" fillId="4" borderId="1" xfId="1" applyNumberFormat="1" applyFill="1" applyAlignment="1">
      <alignment horizontal="center"/>
    </xf>
    <xf numFmtId="0" fontId="6" fillId="0" borderId="0" xfId="0" applyFont="1"/>
    <xf numFmtId="10" fontId="2" fillId="4" borderId="1" xfId="1" applyNumberFormat="1" applyFill="1" applyAlignment="1">
      <alignment horizontal="center"/>
    </xf>
    <xf numFmtId="0" fontId="2" fillId="6" borderId="3" xfId="1" applyFill="1" applyBorder="1" applyAlignment="1">
      <alignment horizontal="center" vertical="center"/>
    </xf>
    <xf numFmtId="10" fontId="2" fillId="5" borderId="1" xfId="1" applyNumberFormat="1" applyFill="1" applyAlignment="1">
      <alignment horizontal="center"/>
    </xf>
    <xf numFmtId="0" fontId="4" fillId="9" borderId="1" xfId="1" applyFont="1" applyFill="1" applyAlignment="1">
      <alignment horizontal="center"/>
    </xf>
    <xf numFmtId="0" fontId="2" fillId="9" borderId="1" xfId="1" applyFill="1" applyAlignment="1">
      <alignment horizontal="center"/>
    </xf>
    <xf numFmtId="0" fontId="2" fillId="0" borderId="0" xfId="0" applyFont="1"/>
    <xf numFmtId="0" fontId="2" fillId="6" borderId="3" xfId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0" fillId="17" borderId="0" xfId="0" applyFont="1" applyFill="1" applyAlignment="1"/>
    <xf numFmtId="0" fontId="10" fillId="17" borderId="0" xfId="0" applyFont="1" applyFill="1" applyAlignment="1">
      <alignment horizontal="center" vertical="center"/>
    </xf>
    <xf numFmtId="0" fontId="11" fillId="17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6" fillId="18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ill="1" applyAlignment="1">
      <alignment horizontal="center" vertical="center"/>
    </xf>
    <xf numFmtId="10" fontId="0" fillId="5" borderId="0" xfId="0" applyNumberFormat="1" applyFill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0" fillId="5" borderId="0" xfId="0" applyNumberFormat="1" applyFill="1" applyAlignment="1">
      <alignment horizontal="center" vertical="center"/>
    </xf>
    <xf numFmtId="0" fontId="0" fillId="0" borderId="0" xfId="0" applyAlignment="1">
      <alignment wrapText="1"/>
    </xf>
    <xf numFmtId="9" fontId="0" fillId="19" borderId="0" xfId="0" applyNumberForma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6" fillId="18" borderId="0" xfId="0" applyFont="1" applyFill="1" applyAlignment="1">
      <alignment vertical="center"/>
    </xf>
    <xf numFmtId="0" fontId="5" fillId="21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/>
    </xf>
    <xf numFmtId="0" fontId="14" fillId="5" borderId="0" xfId="0" applyFont="1" applyFill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22" borderId="0" xfId="0" applyFill="1" applyAlignment="1">
      <alignment horizontal="center"/>
    </xf>
    <xf numFmtId="0" fontId="0" fillId="23" borderId="0" xfId="0" applyFill="1"/>
    <xf numFmtId="0" fontId="0" fillId="5" borderId="0" xfId="0" applyFill="1"/>
    <xf numFmtId="0" fontId="0" fillId="0" borderId="0" xfId="0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3" borderId="0" xfId="0" applyFill="1" applyAlignment="1">
      <alignment horizontal="center" vertical="center"/>
    </xf>
    <xf numFmtId="178" fontId="0" fillId="3" borderId="0" xfId="0" applyNumberFormat="1" applyFill="1" applyAlignment="1">
      <alignment horizontal="center" vertical="center"/>
    </xf>
    <xf numFmtId="10" fontId="0" fillId="3" borderId="0" xfId="0" applyNumberFormat="1" applyFill="1" applyAlignment="1">
      <alignment horizontal="center" vertical="center"/>
    </xf>
    <xf numFmtId="0" fontId="13" fillId="6" borderId="1" xfId="1" applyFont="1" applyFill="1" applyAlignment="1">
      <alignment horizontal="center"/>
    </xf>
    <xf numFmtId="0" fontId="13" fillId="6" borderId="5" xfId="1" applyFont="1" applyFill="1" applyBorder="1" applyAlignment="1">
      <alignment horizontal="center" vertical="center"/>
    </xf>
    <xf numFmtId="0" fontId="13" fillId="6" borderId="7" xfId="1" applyFont="1" applyFill="1" applyBorder="1" applyAlignment="1">
      <alignment horizontal="center" vertical="center"/>
    </xf>
    <xf numFmtId="31" fontId="0" fillId="0" borderId="0" xfId="0" applyNumberFormat="1" applyAlignment="1">
      <alignment horizontal="center"/>
    </xf>
    <xf numFmtId="0" fontId="0" fillId="22" borderId="0" xfId="0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21" borderId="0" xfId="0" applyNumberFormat="1" applyFill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14" fillId="18" borderId="0" xfId="0" applyFont="1" applyFill="1"/>
    <xf numFmtId="10" fontId="0" fillId="18" borderId="0" xfId="0" applyNumberFormat="1" applyFill="1" applyAlignment="1">
      <alignment horizontal="center" vertical="center"/>
    </xf>
    <xf numFmtId="0" fontId="5" fillId="0" borderId="0" xfId="0" applyFont="1" applyAlignment="1">
      <alignment horizontal="center"/>
    </xf>
    <xf numFmtId="0" fontId="0" fillId="18" borderId="0" xfId="0" applyFill="1"/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25" borderId="0" xfId="0" applyFill="1" applyAlignment="1">
      <alignment horizontal="center" vertical="center"/>
    </xf>
    <xf numFmtId="178" fontId="0" fillId="25" borderId="0" xfId="0" applyNumberFormat="1" applyFill="1" applyAlignment="1">
      <alignment horizontal="center" vertical="center"/>
    </xf>
    <xf numFmtId="10" fontId="0" fillId="25" borderId="0" xfId="0" applyNumberFormat="1" applyFill="1" applyAlignment="1">
      <alignment horizontal="center" vertical="center"/>
    </xf>
    <xf numFmtId="0" fontId="0" fillId="16" borderId="0" xfId="0" applyFill="1" applyAlignment="1">
      <alignment horizontal="center"/>
    </xf>
    <xf numFmtId="10" fontId="0" fillId="16" borderId="0" xfId="0" applyNumberFormat="1" applyFill="1" applyAlignment="1">
      <alignment horizontal="center" vertical="center"/>
    </xf>
    <xf numFmtId="0" fontId="0" fillId="16" borderId="0" xfId="0" applyFill="1"/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6" fillId="18" borderId="5" xfId="1" applyFont="1" applyFill="1" applyBorder="1" applyAlignment="1">
      <alignment horizontal="center" vertical="center"/>
    </xf>
    <xf numFmtId="0" fontId="6" fillId="18" borderId="1" xfId="1" applyFont="1" applyFill="1" applyAlignment="1">
      <alignment horizontal="center"/>
    </xf>
    <xf numFmtId="0" fontId="6" fillId="18" borderId="7" xfId="1" applyFont="1" applyFill="1" applyBorder="1" applyAlignment="1">
      <alignment horizontal="center" vertical="center"/>
    </xf>
    <xf numFmtId="0" fontId="5" fillId="0" borderId="0" xfId="0" applyFont="1" applyAlignment="1">
      <alignment horizontal="center" wrapText="1"/>
    </xf>
    <xf numFmtId="0" fontId="6" fillId="22" borderId="0" xfId="0" applyFont="1" applyFill="1"/>
    <xf numFmtId="0" fontId="8" fillId="0" borderId="0" xfId="0" applyFont="1"/>
    <xf numFmtId="49" fontId="0" fillId="0" borderId="0" xfId="0" applyNumberFormat="1"/>
    <xf numFmtId="0" fontId="5" fillId="5" borderId="0" xfId="0" applyFont="1" applyFill="1"/>
    <xf numFmtId="0" fontId="14" fillId="0" borderId="0" xfId="0" applyFont="1"/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1" borderId="0" xfId="0" applyFill="1" applyAlignment="1">
      <alignment horizontal="center" vertical="center" wrapText="1"/>
    </xf>
    <xf numFmtId="0" fontId="0" fillId="4" borderId="0" xfId="0" applyFill="1" applyAlignment="1">
      <alignment horizontal="center" vertical="center"/>
    </xf>
    <xf numFmtId="9" fontId="0" fillId="26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7" fillId="0" borderId="0" xfId="2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7" fillId="0" borderId="0" xfId="0" applyFont="1"/>
    <xf numFmtId="0" fontId="18" fillId="0" borderId="0" xfId="0" applyFont="1"/>
    <xf numFmtId="0" fontId="8" fillId="0" borderId="0" xfId="0" applyFont="1" applyAlignment="1">
      <alignment horizontal="left" vertical="center" wrapText="1"/>
    </xf>
    <xf numFmtId="0" fontId="0" fillId="27" borderId="0" xfId="0" applyFill="1" applyAlignment="1">
      <alignment horizontal="center" vertical="center"/>
    </xf>
    <xf numFmtId="0" fontId="8" fillId="27" borderId="0" xfId="0" applyFont="1" applyFill="1" applyAlignment="1">
      <alignment horizontal="center" vertical="center"/>
    </xf>
    <xf numFmtId="0" fontId="8" fillId="27" borderId="0" xfId="0" applyFont="1" applyFill="1" applyAlignment="1">
      <alignment horizontal="center" vertical="center"/>
    </xf>
    <xf numFmtId="0" fontId="10" fillId="17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10" fillId="17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5" fillId="25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9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0" fontId="5" fillId="6" borderId="0" xfId="0" applyFont="1" applyFill="1" applyAlignment="1">
      <alignment horizontal="center" vertical="center"/>
    </xf>
    <xf numFmtId="9" fontId="0" fillId="6" borderId="0" xfId="0" applyNumberFormat="1" applyFont="1" applyFill="1" applyAlignment="1">
      <alignment horizontal="center" vertical="center"/>
    </xf>
    <xf numFmtId="10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9" fontId="0" fillId="26" borderId="0" xfId="0" applyNumberFormat="1" applyFont="1" applyFill="1" applyAlignment="1">
      <alignment horizontal="center" vertical="center"/>
    </xf>
    <xf numFmtId="0" fontId="0" fillId="28" borderId="0" xfId="0" applyFill="1" applyAlignment="1">
      <alignment horizontal="center" vertical="center"/>
    </xf>
    <xf numFmtId="178" fontId="0" fillId="28" borderId="0" xfId="0" applyNumberFormat="1" applyFill="1" applyAlignment="1">
      <alignment horizontal="center" vertical="center"/>
    </xf>
    <xf numFmtId="10" fontId="0" fillId="28" borderId="0" xfId="0" applyNumberFormat="1" applyFill="1" applyAlignment="1">
      <alignment horizontal="center" vertical="center"/>
    </xf>
    <xf numFmtId="0" fontId="5" fillId="26" borderId="0" xfId="0" applyFont="1" applyFill="1" applyAlignment="1">
      <alignment horizontal="center" vertical="center"/>
    </xf>
    <xf numFmtId="0" fontId="15" fillId="20" borderId="0" xfId="0" applyFont="1" applyFill="1" applyAlignment="1">
      <alignment vertical="center"/>
    </xf>
    <xf numFmtId="10" fontId="0" fillId="26" borderId="0" xfId="0" applyNumberFormat="1" applyFill="1" applyAlignment="1">
      <alignment horizontal="center" vertical="center"/>
    </xf>
    <xf numFmtId="0" fontId="6" fillId="1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6" borderId="0" xfId="0" applyFont="1" applyFill="1"/>
    <xf numFmtId="0" fontId="15" fillId="20" borderId="0" xfId="0" applyFont="1" applyFill="1" applyAlignment="1">
      <alignment horizontal="center" vertical="center"/>
    </xf>
    <xf numFmtId="0" fontId="13" fillId="6" borderId="0" xfId="0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9" fillId="6" borderId="0" xfId="0" applyFont="1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0" fillId="5" borderId="0" xfId="0" applyFill="1" applyAlignment="1">
      <alignment horizontal="center" vertical="center" wrapText="1"/>
    </xf>
    <xf numFmtId="0" fontId="0" fillId="15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10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8" fillId="27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12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4" borderId="0" xfId="0" applyFill="1" applyAlignment="1">
      <alignment horizontal="center" vertical="center" wrapText="1"/>
    </xf>
    <xf numFmtId="0" fontId="0" fillId="21" borderId="0" xfId="0" applyFill="1" applyAlignment="1">
      <alignment horizontal="center" vertical="center" wrapText="1"/>
    </xf>
    <xf numFmtId="0" fontId="0" fillId="21" borderId="0" xfId="0" applyFill="1" applyAlignment="1">
      <alignment horizontal="center" vertical="center"/>
    </xf>
    <xf numFmtId="0" fontId="8" fillId="4" borderId="0" xfId="0" applyFont="1" applyFill="1" applyAlignment="1">
      <alignment horizontal="center" vertical="center" wrapText="1"/>
    </xf>
    <xf numFmtId="0" fontId="8" fillId="13" borderId="0" xfId="0" applyFont="1" applyFill="1" applyAlignment="1">
      <alignment horizontal="center" vertical="center" wrapText="1"/>
    </xf>
    <xf numFmtId="0" fontId="0" fillId="13" borderId="0" xfId="0" applyFill="1" applyAlignment="1">
      <alignment horizontal="center" vertical="center" wrapText="1"/>
    </xf>
    <xf numFmtId="0" fontId="8" fillId="21" borderId="0" xfId="0" applyFont="1" applyFill="1" applyAlignment="1">
      <alignment horizontal="center" vertical="center" wrapText="1"/>
    </xf>
    <xf numFmtId="0" fontId="8" fillId="14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 wrapText="1"/>
    </xf>
    <xf numFmtId="0" fontId="0" fillId="11" borderId="0" xfId="0" applyFill="1" applyAlignment="1">
      <alignment horizontal="center" vertical="center"/>
    </xf>
    <xf numFmtId="0" fontId="0" fillId="24" borderId="0" xfId="0" applyFill="1" applyAlignment="1">
      <alignment horizontal="center" vertical="center" wrapText="1"/>
    </xf>
    <xf numFmtId="0" fontId="0" fillId="24" borderId="0" xfId="0" applyFill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0" fillId="11" borderId="0" xfId="0" applyFill="1" applyAlignment="1">
      <alignment horizontal="center" vertical="center" wrapText="1"/>
    </xf>
    <xf numFmtId="0" fontId="13" fillId="6" borderId="0" xfId="0" applyFont="1" applyFill="1" applyAlignment="1">
      <alignment horizontal="center"/>
    </xf>
    <xf numFmtId="0" fontId="15" fillId="20" borderId="0" xfId="0" applyFont="1" applyFill="1" applyAlignment="1">
      <alignment horizontal="center"/>
    </xf>
    <xf numFmtId="0" fontId="5" fillId="5" borderId="0" xfId="0" applyFont="1" applyFill="1" applyAlignment="1">
      <alignment horizontal="center" vertical="center" wrapText="1"/>
    </xf>
    <xf numFmtId="0" fontId="6" fillId="18" borderId="0" xfId="0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7" borderId="1" xfId="1" applyFill="1" applyAlignment="1">
      <alignment horizontal="center" vertical="center"/>
    </xf>
    <xf numFmtId="0" fontId="2" fillId="6" borderId="2" xfId="1" applyFill="1" applyBorder="1" applyAlignment="1">
      <alignment horizontal="center" vertical="center"/>
    </xf>
    <xf numFmtId="0" fontId="2" fillId="6" borderId="3" xfId="1" applyFill="1" applyBorder="1" applyAlignment="1">
      <alignment horizontal="center" vertical="center"/>
    </xf>
    <xf numFmtId="0" fontId="2" fillId="6" borderId="4" xfId="1" applyFill="1" applyBorder="1" applyAlignment="1">
      <alignment horizontal="center" vertical="center"/>
    </xf>
    <xf numFmtId="0" fontId="2" fillId="6" borderId="5" xfId="1" applyFill="1" applyBorder="1" applyAlignment="1">
      <alignment horizontal="center" vertical="center"/>
    </xf>
    <xf numFmtId="0" fontId="2" fillId="6" borderId="6" xfId="1" applyFill="1" applyBorder="1" applyAlignment="1">
      <alignment horizontal="center" vertical="center"/>
    </xf>
    <xf numFmtId="0" fontId="2" fillId="7" borderId="5" xfId="1" applyFill="1" applyBorder="1" applyAlignment="1">
      <alignment horizontal="center" vertical="center"/>
    </xf>
    <xf numFmtId="0" fontId="2" fillId="7" borderId="6" xfId="1" applyFill="1" applyBorder="1" applyAlignment="1">
      <alignment horizontal="center" vertical="center"/>
    </xf>
    <xf numFmtId="0" fontId="2" fillId="9" borderId="5" xfId="1" applyFill="1" applyBorder="1" applyAlignment="1">
      <alignment horizontal="center" vertical="center"/>
    </xf>
    <xf numFmtId="0" fontId="2" fillId="9" borderId="7" xfId="1" applyFill="1" applyBorder="1" applyAlignment="1">
      <alignment horizontal="center" vertical="center"/>
    </xf>
    <xf numFmtId="0" fontId="2" fillId="9" borderId="6" xfId="1" applyFill="1" applyBorder="1" applyAlignment="1">
      <alignment horizontal="center" vertical="center"/>
    </xf>
  </cellXfs>
  <cellStyles count="3">
    <cellStyle name="常规" xfId="0" builtinId="0"/>
    <cellStyle name="超链接" xfId="2" builtinId="8"/>
    <cellStyle name="输出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data.eastmoney.com/stock/lhb/yyb/10657404.html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E80"/>
  <sheetViews>
    <sheetView tabSelected="1" topLeftCell="A28" workbookViewId="0">
      <selection activeCell="H48" sqref="H48"/>
    </sheetView>
  </sheetViews>
  <sheetFormatPr defaultRowHeight="14.15" x14ac:dyDescent="0.35"/>
  <cols>
    <col min="1" max="3" width="9.140625" style="33"/>
    <col min="4" max="4" width="24.92578125" style="33" bestFit="1" customWidth="1"/>
    <col min="5" max="5" width="13.78515625" style="33" customWidth="1"/>
    <col min="6" max="16384" width="9.140625" style="33"/>
  </cols>
  <sheetData>
    <row r="1" spans="1:5" x14ac:dyDescent="0.35">
      <c r="A1" s="33" t="s">
        <v>848</v>
      </c>
      <c r="B1" s="33" t="s">
        <v>129</v>
      </c>
      <c r="C1" s="33" t="s">
        <v>849</v>
      </c>
      <c r="D1" s="33" t="s">
        <v>850</v>
      </c>
      <c r="E1" s="33" t="s">
        <v>851</v>
      </c>
    </row>
    <row r="2" spans="1:5" x14ac:dyDescent="0.35">
      <c r="A2" s="33" t="s">
        <v>852</v>
      </c>
      <c r="B2" s="33" t="s">
        <v>853</v>
      </c>
      <c r="C2" s="33">
        <v>8003070000</v>
      </c>
      <c r="D2" s="33" t="s">
        <v>854</v>
      </c>
      <c r="E2" s="33">
        <v>1</v>
      </c>
    </row>
    <row r="3" spans="1:5" x14ac:dyDescent="0.35">
      <c r="A3" s="33" t="s">
        <v>855</v>
      </c>
      <c r="B3" s="33" t="s">
        <v>856</v>
      </c>
      <c r="C3" s="33">
        <v>9166428700</v>
      </c>
      <c r="D3" s="33" t="s">
        <v>665</v>
      </c>
      <c r="E3" s="33">
        <v>1</v>
      </c>
    </row>
    <row r="4" spans="1:5" x14ac:dyDescent="0.35">
      <c r="A4" s="33" t="s">
        <v>857</v>
      </c>
      <c r="B4" s="33" t="s">
        <v>842</v>
      </c>
      <c r="C4" s="33">
        <v>39511384000</v>
      </c>
      <c r="D4" s="33" t="s">
        <v>843</v>
      </c>
      <c r="E4" s="33">
        <v>2</v>
      </c>
    </row>
    <row r="5" spans="1:5" x14ac:dyDescent="0.35">
      <c r="A5" s="33" t="s">
        <v>858</v>
      </c>
      <c r="B5" s="33" t="s">
        <v>859</v>
      </c>
      <c r="C5" s="33">
        <v>4995856400</v>
      </c>
      <c r="D5" s="33" t="s">
        <v>860</v>
      </c>
      <c r="E5" s="33">
        <v>1</v>
      </c>
    </row>
    <row r="6" spans="1:5" x14ac:dyDescent="0.35">
      <c r="A6" s="33" t="s">
        <v>861</v>
      </c>
      <c r="B6" s="33" t="s">
        <v>862</v>
      </c>
      <c r="C6" s="33">
        <v>1602473800</v>
      </c>
      <c r="D6" s="33" t="s">
        <v>863</v>
      </c>
      <c r="E6" s="33">
        <v>1</v>
      </c>
    </row>
    <row r="7" spans="1:5" x14ac:dyDescent="0.35">
      <c r="A7" s="33" t="s">
        <v>864</v>
      </c>
      <c r="B7" s="33" t="s">
        <v>865</v>
      </c>
      <c r="C7" s="33">
        <v>14856411000</v>
      </c>
      <c r="D7" s="33" t="s">
        <v>866</v>
      </c>
      <c r="E7" s="33">
        <v>1</v>
      </c>
    </row>
    <row r="8" spans="1:5" x14ac:dyDescent="0.35">
      <c r="A8" s="33" t="s">
        <v>867</v>
      </c>
      <c r="B8" s="33" t="s">
        <v>868</v>
      </c>
      <c r="C8" s="33">
        <v>3910096500</v>
      </c>
      <c r="D8" s="33" t="s">
        <v>869</v>
      </c>
      <c r="E8" s="33">
        <v>1</v>
      </c>
    </row>
    <row r="9" spans="1:5" x14ac:dyDescent="0.35">
      <c r="A9" s="33" t="s">
        <v>870</v>
      </c>
      <c r="B9" s="33" t="s">
        <v>871</v>
      </c>
      <c r="C9" s="33">
        <v>11639850600</v>
      </c>
      <c r="D9" s="33" t="s">
        <v>863</v>
      </c>
      <c r="E9" s="33">
        <v>1</v>
      </c>
    </row>
    <row r="10" spans="1:5" x14ac:dyDescent="0.35">
      <c r="A10" s="33" t="s">
        <v>872</v>
      </c>
      <c r="B10" s="33" t="s">
        <v>873</v>
      </c>
      <c r="C10" s="33">
        <v>18204322000</v>
      </c>
      <c r="D10" s="33" t="s">
        <v>874</v>
      </c>
      <c r="E10" s="33">
        <v>1</v>
      </c>
    </row>
    <row r="11" spans="1:5" x14ac:dyDescent="0.35">
      <c r="A11" s="33" t="s">
        <v>525</v>
      </c>
      <c r="B11" s="33" t="s">
        <v>526</v>
      </c>
      <c r="C11" s="33">
        <v>10216947500</v>
      </c>
      <c r="D11" s="33" t="s">
        <v>837</v>
      </c>
      <c r="E11" s="33">
        <v>2</v>
      </c>
    </row>
    <row r="12" spans="1:5" x14ac:dyDescent="0.35">
      <c r="A12" s="33" t="s">
        <v>875</v>
      </c>
      <c r="B12" s="33" t="s">
        <v>876</v>
      </c>
      <c r="C12" s="33">
        <v>2024544700</v>
      </c>
      <c r="D12" s="33" t="s">
        <v>877</v>
      </c>
      <c r="E12" s="33">
        <v>1</v>
      </c>
    </row>
    <row r="13" spans="1:5" x14ac:dyDescent="0.35">
      <c r="A13" s="33" t="s">
        <v>878</v>
      </c>
      <c r="B13" s="33" t="s">
        <v>879</v>
      </c>
      <c r="C13" s="33">
        <v>36500244000</v>
      </c>
      <c r="D13" s="33" t="s">
        <v>880</v>
      </c>
      <c r="E13" s="33">
        <v>1</v>
      </c>
    </row>
    <row r="14" spans="1:5" x14ac:dyDescent="0.35">
      <c r="A14" s="33" t="s">
        <v>881</v>
      </c>
      <c r="B14" s="33" t="s">
        <v>882</v>
      </c>
      <c r="C14" s="33">
        <v>7082439700</v>
      </c>
      <c r="D14" s="33" t="s">
        <v>866</v>
      </c>
      <c r="E14" s="33">
        <v>1</v>
      </c>
    </row>
    <row r="15" spans="1:5" x14ac:dyDescent="0.35">
      <c r="A15" s="33" t="s">
        <v>883</v>
      </c>
      <c r="B15" s="33" t="s">
        <v>835</v>
      </c>
      <c r="C15" s="33">
        <v>2654553300</v>
      </c>
      <c r="D15" s="33" t="s">
        <v>836</v>
      </c>
      <c r="E15" s="33">
        <v>2</v>
      </c>
    </row>
    <row r="16" spans="1:5" x14ac:dyDescent="0.35">
      <c r="A16" s="33" t="s">
        <v>884</v>
      </c>
      <c r="B16" s="33" t="s">
        <v>833</v>
      </c>
      <c r="C16" s="33">
        <v>3095433800</v>
      </c>
      <c r="D16" s="33" t="s">
        <v>834</v>
      </c>
      <c r="E16" s="33">
        <v>2</v>
      </c>
    </row>
    <row r="17" spans="1:5" x14ac:dyDescent="0.35">
      <c r="A17" s="33" t="s">
        <v>885</v>
      </c>
      <c r="B17" s="33" t="s">
        <v>886</v>
      </c>
      <c r="C17" s="33">
        <v>221788630000</v>
      </c>
      <c r="D17" s="33" t="s">
        <v>863</v>
      </c>
      <c r="E17" s="33">
        <v>1</v>
      </c>
    </row>
    <row r="18" spans="1:5" x14ac:dyDescent="0.35">
      <c r="A18" s="33" t="s">
        <v>887</v>
      </c>
      <c r="B18" s="33" t="s">
        <v>888</v>
      </c>
      <c r="C18" s="33">
        <v>1782078000</v>
      </c>
      <c r="D18" s="33" t="s">
        <v>889</v>
      </c>
      <c r="E18" s="33">
        <v>1</v>
      </c>
    </row>
    <row r="19" spans="1:5" x14ac:dyDescent="0.35">
      <c r="A19" s="33" t="s">
        <v>890</v>
      </c>
      <c r="B19" s="33" t="s">
        <v>844</v>
      </c>
      <c r="C19" s="33">
        <v>5559225000</v>
      </c>
      <c r="D19" s="33" t="s">
        <v>845</v>
      </c>
      <c r="E19" s="33">
        <v>2</v>
      </c>
    </row>
    <row r="20" spans="1:5" x14ac:dyDescent="0.35">
      <c r="A20" s="33" t="s">
        <v>891</v>
      </c>
      <c r="B20" s="33" t="s">
        <v>892</v>
      </c>
      <c r="C20" s="33">
        <v>7952377900</v>
      </c>
      <c r="D20" s="33" t="s">
        <v>893</v>
      </c>
      <c r="E20" s="33">
        <v>1</v>
      </c>
    </row>
    <row r="21" spans="1:5" x14ac:dyDescent="0.35">
      <c r="A21" s="33" t="s">
        <v>894</v>
      </c>
      <c r="B21" s="33" t="s">
        <v>895</v>
      </c>
      <c r="C21" s="33">
        <v>4371388600</v>
      </c>
      <c r="D21" s="33" t="s">
        <v>896</v>
      </c>
      <c r="E21" s="33">
        <v>1</v>
      </c>
    </row>
    <row r="22" spans="1:5" x14ac:dyDescent="0.35">
      <c r="A22" s="33" t="s">
        <v>897</v>
      </c>
      <c r="B22" s="33" t="s">
        <v>898</v>
      </c>
      <c r="C22" s="33">
        <v>73889672000</v>
      </c>
      <c r="D22" s="33" t="s">
        <v>899</v>
      </c>
      <c r="E22" s="33">
        <v>1</v>
      </c>
    </row>
    <row r="23" spans="1:5" x14ac:dyDescent="0.35">
      <c r="A23" s="33" t="s">
        <v>900</v>
      </c>
      <c r="B23" s="33" t="s">
        <v>801</v>
      </c>
      <c r="C23" s="33">
        <v>9298182200</v>
      </c>
      <c r="D23" s="33" t="s">
        <v>802</v>
      </c>
      <c r="E23" s="33">
        <v>5</v>
      </c>
    </row>
    <row r="24" spans="1:5" x14ac:dyDescent="0.35">
      <c r="A24" s="33" t="s">
        <v>901</v>
      </c>
      <c r="B24" s="33" t="s">
        <v>902</v>
      </c>
      <c r="C24" s="33">
        <v>9345733900</v>
      </c>
      <c r="D24" s="33" t="s">
        <v>899</v>
      </c>
      <c r="E24" s="33">
        <v>1</v>
      </c>
    </row>
    <row r="25" spans="1:5" x14ac:dyDescent="0.35">
      <c r="A25" s="33" t="s">
        <v>903</v>
      </c>
      <c r="B25" s="33" t="s">
        <v>831</v>
      </c>
      <c r="C25" s="33">
        <v>3557342800</v>
      </c>
      <c r="D25" s="33" t="s">
        <v>832</v>
      </c>
      <c r="E25" s="33">
        <v>2</v>
      </c>
    </row>
    <row r="26" spans="1:5" x14ac:dyDescent="0.35">
      <c r="A26" s="33" t="s">
        <v>904</v>
      </c>
      <c r="B26" s="33" t="s">
        <v>905</v>
      </c>
      <c r="C26" s="33">
        <v>22056132000</v>
      </c>
      <c r="D26" s="33" t="s">
        <v>906</v>
      </c>
      <c r="E26" s="33">
        <v>1</v>
      </c>
    </row>
    <row r="27" spans="1:5" x14ac:dyDescent="0.35">
      <c r="A27" s="33" t="s">
        <v>907</v>
      </c>
      <c r="B27" s="33" t="s">
        <v>908</v>
      </c>
      <c r="C27" s="33">
        <v>8064488800</v>
      </c>
      <c r="D27" s="33" t="s">
        <v>909</v>
      </c>
      <c r="E27" s="33">
        <v>1</v>
      </c>
    </row>
    <row r="28" spans="1:5" x14ac:dyDescent="0.35">
      <c r="A28" s="33" t="s">
        <v>910</v>
      </c>
      <c r="B28" s="33" t="s">
        <v>838</v>
      </c>
      <c r="C28" s="33">
        <v>4502516900</v>
      </c>
      <c r="D28" s="33" t="s">
        <v>839</v>
      </c>
      <c r="E28" s="33">
        <v>2</v>
      </c>
    </row>
    <row r="29" spans="1:5" x14ac:dyDescent="0.35">
      <c r="A29" s="33" t="s">
        <v>911</v>
      </c>
      <c r="B29" s="33" t="s">
        <v>912</v>
      </c>
      <c r="C29" s="33">
        <v>12148276000</v>
      </c>
      <c r="D29" s="33" t="s">
        <v>913</v>
      </c>
      <c r="E29" s="33">
        <v>1</v>
      </c>
    </row>
    <row r="30" spans="1:5" x14ac:dyDescent="0.35">
      <c r="A30" s="33" t="s">
        <v>914</v>
      </c>
      <c r="B30" s="33" t="s">
        <v>915</v>
      </c>
      <c r="C30" s="33">
        <v>15650389000</v>
      </c>
      <c r="D30" s="33" t="s">
        <v>916</v>
      </c>
      <c r="E30" s="33">
        <v>1</v>
      </c>
    </row>
    <row r="31" spans="1:5" x14ac:dyDescent="0.35">
      <c r="A31" s="33" t="s">
        <v>917</v>
      </c>
      <c r="B31" s="33" t="s">
        <v>918</v>
      </c>
      <c r="C31" s="33">
        <v>11869555900</v>
      </c>
      <c r="D31" s="33" t="s">
        <v>919</v>
      </c>
      <c r="E31" s="33">
        <v>7</v>
      </c>
    </row>
    <row r="32" spans="1:5" x14ac:dyDescent="0.35">
      <c r="A32" s="33" t="s">
        <v>920</v>
      </c>
      <c r="B32" s="33" t="s">
        <v>921</v>
      </c>
      <c r="C32" s="33">
        <v>6027690300</v>
      </c>
      <c r="D32" s="33" t="s">
        <v>922</v>
      </c>
      <c r="E32" s="33">
        <v>1</v>
      </c>
    </row>
    <row r="33" spans="1:5" x14ac:dyDescent="0.35">
      <c r="A33" s="33" t="s">
        <v>923</v>
      </c>
      <c r="B33" s="33" t="s">
        <v>924</v>
      </c>
      <c r="C33" s="33">
        <v>295436610000</v>
      </c>
      <c r="D33" s="33" t="s">
        <v>312</v>
      </c>
      <c r="E33" s="33">
        <v>1</v>
      </c>
    </row>
    <row r="34" spans="1:5" x14ac:dyDescent="0.35">
      <c r="A34" s="33" t="s">
        <v>925</v>
      </c>
      <c r="B34" s="33" t="s">
        <v>926</v>
      </c>
      <c r="C34" s="33">
        <v>3175437400</v>
      </c>
      <c r="D34" s="33" t="s">
        <v>927</v>
      </c>
      <c r="E34" s="33">
        <v>1</v>
      </c>
    </row>
    <row r="35" spans="1:5" x14ac:dyDescent="0.35">
      <c r="A35" s="33" t="s">
        <v>928</v>
      </c>
      <c r="B35" s="33" t="s">
        <v>929</v>
      </c>
      <c r="C35" s="33">
        <v>9161414500</v>
      </c>
      <c r="D35" s="33" t="s">
        <v>930</v>
      </c>
      <c r="E35" s="33">
        <v>2</v>
      </c>
    </row>
    <row r="36" spans="1:5" x14ac:dyDescent="0.35">
      <c r="A36" s="33" t="s">
        <v>931</v>
      </c>
      <c r="B36" s="33" t="s">
        <v>823</v>
      </c>
      <c r="C36" s="33">
        <v>4981050800</v>
      </c>
      <c r="D36" s="33" t="s">
        <v>824</v>
      </c>
      <c r="E36" s="33">
        <v>3</v>
      </c>
    </row>
    <row r="37" spans="1:5" x14ac:dyDescent="0.35">
      <c r="A37" s="33" t="s">
        <v>932</v>
      </c>
      <c r="B37" s="33" t="s">
        <v>933</v>
      </c>
      <c r="C37" s="33">
        <v>11673548500</v>
      </c>
      <c r="D37" s="33" t="s">
        <v>350</v>
      </c>
      <c r="E37" s="33">
        <v>1</v>
      </c>
    </row>
    <row r="38" spans="1:5" x14ac:dyDescent="0.35">
      <c r="A38" s="33" t="s">
        <v>934</v>
      </c>
      <c r="B38" s="33" t="s">
        <v>935</v>
      </c>
      <c r="C38" s="33">
        <v>2492098500</v>
      </c>
      <c r="D38" s="33" t="s">
        <v>936</v>
      </c>
      <c r="E38" s="33">
        <v>1</v>
      </c>
    </row>
    <row r="39" spans="1:5" x14ac:dyDescent="0.35">
      <c r="A39" s="33" t="s">
        <v>937</v>
      </c>
      <c r="B39" s="33" t="s">
        <v>938</v>
      </c>
      <c r="C39" s="33">
        <v>4096133300</v>
      </c>
      <c r="D39" s="33" t="s">
        <v>350</v>
      </c>
      <c r="E39" s="33">
        <v>1</v>
      </c>
    </row>
    <row r="40" spans="1:5" x14ac:dyDescent="0.35">
      <c r="A40" s="33" t="s">
        <v>939</v>
      </c>
      <c r="B40" s="33" t="s">
        <v>940</v>
      </c>
      <c r="C40" s="33">
        <v>3530685300</v>
      </c>
      <c r="D40" s="33" t="s">
        <v>927</v>
      </c>
      <c r="E40" s="33">
        <v>1</v>
      </c>
    </row>
    <row r="41" spans="1:5" x14ac:dyDescent="0.35">
      <c r="A41" s="33" t="s">
        <v>941</v>
      </c>
      <c r="B41" s="33" t="s">
        <v>942</v>
      </c>
      <c r="C41" s="33">
        <v>5038069100</v>
      </c>
      <c r="D41" s="33" t="s">
        <v>943</v>
      </c>
      <c r="E41" s="33">
        <v>1</v>
      </c>
    </row>
    <row r="42" spans="1:5" x14ac:dyDescent="0.35">
      <c r="A42" s="33" t="s">
        <v>944</v>
      </c>
      <c r="B42" s="33" t="s">
        <v>945</v>
      </c>
      <c r="C42" s="33">
        <v>2270730200</v>
      </c>
      <c r="D42" s="33" t="s">
        <v>946</v>
      </c>
      <c r="E42" s="33">
        <v>1</v>
      </c>
    </row>
    <row r="43" spans="1:5" x14ac:dyDescent="0.35">
      <c r="A43" s="33" t="s">
        <v>947</v>
      </c>
      <c r="B43" s="33" t="s">
        <v>948</v>
      </c>
      <c r="C43" s="33">
        <v>3937160100</v>
      </c>
      <c r="D43" s="33" t="s">
        <v>949</v>
      </c>
      <c r="E43" s="33">
        <v>1</v>
      </c>
    </row>
    <row r="44" spans="1:5" x14ac:dyDescent="0.35">
      <c r="A44" s="33" t="s">
        <v>950</v>
      </c>
      <c r="B44" s="33" t="s">
        <v>645</v>
      </c>
      <c r="C44" s="33">
        <v>9011187800</v>
      </c>
      <c r="D44" s="33" t="s">
        <v>646</v>
      </c>
      <c r="E44" s="33">
        <v>1</v>
      </c>
    </row>
    <row r="45" spans="1:5" x14ac:dyDescent="0.35">
      <c r="A45" s="33" t="s">
        <v>348</v>
      </c>
      <c r="B45" s="33" t="s">
        <v>349</v>
      </c>
      <c r="C45" s="33">
        <v>6370113700</v>
      </c>
      <c r="D45" s="33" t="s">
        <v>863</v>
      </c>
      <c r="E45" s="33">
        <v>1</v>
      </c>
    </row>
    <row r="46" spans="1:5" x14ac:dyDescent="0.35">
      <c r="A46" s="33" t="s">
        <v>951</v>
      </c>
      <c r="B46" s="33" t="s">
        <v>846</v>
      </c>
      <c r="C46" s="33">
        <v>23421648000</v>
      </c>
      <c r="D46" s="33" t="s">
        <v>847</v>
      </c>
      <c r="E46" s="33">
        <v>2</v>
      </c>
    </row>
    <row r="47" spans="1:5" x14ac:dyDescent="0.35">
      <c r="A47" s="33" t="s">
        <v>952</v>
      </c>
      <c r="B47" s="33" t="s">
        <v>953</v>
      </c>
      <c r="C47" s="33">
        <v>2460727200</v>
      </c>
      <c r="D47" s="33" t="s">
        <v>954</v>
      </c>
      <c r="E47" s="33">
        <v>1</v>
      </c>
    </row>
    <row r="48" spans="1:5" x14ac:dyDescent="0.35">
      <c r="A48" s="33" t="s">
        <v>955</v>
      </c>
      <c r="B48" s="33" t="s">
        <v>956</v>
      </c>
      <c r="C48" s="33">
        <v>10587574800</v>
      </c>
      <c r="D48" s="33" t="s">
        <v>957</v>
      </c>
      <c r="E48" s="33">
        <v>1</v>
      </c>
    </row>
    <row r="49" spans="1:5" x14ac:dyDescent="0.35">
      <c r="A49" s="33" t="s">
        <v>958</v>
      </c>
      <c r="B49" s="33" t="s">
        <v>959</v>
      </c>
      <c r="C49" s="33">
        <v>2367902200</v>
      </c>
      <c r="D49" s="33" t="s">
        <v>960</v>
      </c>
      <c r="E49" s="33">
        <v>1</v>
      </c>
    </row>
    <row r="50" spans="1:5" x14ac:dyDescent="0.35">
      <c r="A50" s="33" t="s">
        <v>961</v>
      </c>
      <c r="B50" s="33" t="s">
        <v>962</v>
      </c>
      <c r="C50" s="33">
        <v>35271067000</v>
      </c>
      <c r="D50" s="33" t="s">
        <v>963</v>
      </c>
      <c r="E50" s="33">
        <v>1</v>
      </c>
    </row>
    <row r="51" spans="1:5" x14ac:dyDescent="0.35">
      <c r="A51" s="33" t="s">
        <v>964</v>
      </c>
      <c r="B51" s="33" t="s">
        <v>965</v>
      </c>
      <c r="C51" s="33">
        <v>13020105600</v>
      </c>
      <c r="D51" s="33" t="s">
        <v>265</v>
      </c>
      <c r="E51" s="33">
        <v>1</v>
      </c>
    </row>
    <row r="52" spans="1:5" x14ac:dyDescent="0.35">
      <c r="A52" s="33" t="s">
        <v>966</v>
      </c>
      <c r="B52" s="33" t="s">
        <v>967</v>
      </c>
      <c r="C52" s="33">
        <v>5701042000</v>
      </c>
      <c r="D52" s="33" t="s">
        <v>968</v>
      </c>
      <c r="E52" s="33">
        <v>1</v>
      </c>
    </row>
    <row r="53" spans="1:5" x14ac:dyDescent="0.35">
      <c r="A53" s="33" t="s">
        <v>969</v>
      </c>
      <c r="B53" s="33" t="s">
        <v>970</v>
      </c>
      <c r="C53" s="33">
        <v>11321854000</v>
      </c>
      <c r="D53" s="33" t="s">
        <v>971</v>
      </c>
      <c r="E53" s="33">
        <v>1</v>
      </c>
    </row>
    <row r="54" spans="1:5" x14ac:dyDescent="0.35">
      <c r="A54" s="33" t="s">
        <v>972</v>
      </c>
      <c r="B54" s="33" t="s">
        <v>973</v>
      </c>
      <c r="C54" s="33">
        <v>11069465000</v>
      </c>
      <c r="D54" s="33" t="s">
        <v>974</v>
      </c>
      <c r="E54" s="33">
        <v>1</v>
      </c>
    </row>
    <row r="55" spans="1:5" x14ac:dyDescent="0.35">
      <c r="A55" s="33" t="s">
        <v>975</v>
      </c>
      <c r="B55" s="33" t="s">
        <v>976</v>
      </c>
      <c r="C55" s="33">
        <v>4856720900</v>
      </c>
      <c r="D55" s="33" t="s">
        <v>977</v>
      </c>
      <c r="E55" s="33">
        <v>1</v>
      </c>
    </row>
    <row r="56" spans="1:5" x14ac:dyDescent="0.35">
      <c r="A56" s="33" t="s">
        <v>978</v>
      </c>
      <c r="B56" s="33" t="s">
        <v>979</v>
      </c>
      <c r="C56" s="33">
        <v>17725575000</v>
      </c>
      <c r="D56" s="33" t="s">
        <v>980</v>
      </c>
      <c r="E56" s="33">
        <v>1</v>
      </c>
    </row>
    <row r="57" spans="1:5" x14ac:dyDescent="0.35">
      <c r="A57" s="33" t="s">
        <v>981</v>
      </c>
      <c r="B57" s="33" t="s">
        <v>982</v>
      </c>
      <c r="C57" s="33">
        <v>38101932000</v>
      </c>
      <c r="D57" s="33" t="s">
        <v>983</v>
      </c>
      <c r="E57" s="33">
        <v>1</v>
      </c>
    </row>
    <row r="58" spans="1:5" x14ac:dyDescent="0.35">
      <c r="A58" s="33" t="s">
        <v>984</v>
      </c>
      <c r="B58" s="33" t="s">
        <v>985</v>
      </c>
      <c r="C58" s="33">
        <v>11000505200</v>
      </c>
      <c r="D58" s="33" t="s">
        <v>986</v>
      </c>
      <c r="E58" s="33">
        <v>1</v>
      </c>
    </row>
    <row r="59" spans="1:5" x14ac:dyDescent="0.35">
      <c r="A59" s="33" t="s">
        <v>987</v>
      </c>
      <c r="B59" s="33" t="s">
        <v>988</v>
      </c>
      <c r="C59" s="33">
        <v>15091803000</v>
      </c>
      <c r="D59" s="33" t="s">
        <v>989</v>
      </c>
      <c r="E59" s="33">
        <v>1</v>
      </c>
    </row>
    <row r="60" spans="1:5" x14ac:dyDescent="0.35">
      <c r="A60" s="33" t="s">
        <v>990</v>
      </c>
      <c r="B60" s="33" t="s">
        <v>991</v>
      </c>
      <c r="C60" s="33">
        <v>3967629800</v>
      </c>
      <c r="D60" s="33" t="s">
        <v>992</v>
      </c>
      <c r="E60" s="33">
        <v>1</v>
      </c>
    </row>
    <row r="61" spans="1:5" x14ac:dyDescent="0.35">
      <c r="A61" s="33" t="s">
        <v>993</v>
      </c>
      <c r="B61" s="33" t="s">
        <v>830</v>
      </c>
      <c r="C61" s="33">
        <v>3312103100</v>
      </c>
      <c r="D61" s="33" t="s">
        <v>505</v>
      </c>
      <c r="E61" s="33">
        <v>2</v>
      </c>
    </row>
    <row r="62" spans="1:5" x14ac:dyDescent="0.35">
      <c r="A62" s="33" t="s">
        <v>994</v>
      </c>
      <c r="B62" s="33" t="s">
        <v>995</v>
      </c>
      <c r="C62" s="33">
        <v>40552884000</v>
      </c>
      <c r="D62" s="33" t="s">
        <v>996</v>
      </c>
      <c r="E62" s="33">
        <v>1</v>
      </c>
    </row>
    <row r="63" spans="1:5" x14ac:dyDescent="0.35">
      <c r="A63" s="33" t="s">
        <v>230</v>
      </c>
      <c r="B63" s="33" t="s">
        <v>231</v>
      </c>
      <c r="C63" s="33">
        <v>3792022000</v>
      </c>
      <c r="D63" s="33" t="s">
        <v>232</v>
      </c>
      <c r="E63" s="33">
        <v>1</v>
      </c>
    </row>
    <row r="64" spans="1:5" x14ac:dyDescent="0.35">
      <c r="A64" s="33" t="s">
        <v>997</v>
      </c>
      <c r="B64" s="33" t="s">
        <v>998</v>
      </c>
      <c r="C64" s="33">
        <v>14099312000</v>
      </c>
      <c r="D64" s="33" t="s">
        <v>863</v>
      </c>
      <c r="E64" s="33">
        <v>1</v>
      </c>
    </row>
    <row r="65" spans="1:5" x14ac:dyDescent="0.35">
      <c r="A65" s="33" t="s">
        <v>999</v>
      </c>
      <c r="B65" s="33" t="s">
        <v>1000</v>
      </c>
      <c r="C65" s="33">
        <v>9322740000</v>
      </c>
      <c r="D65" s="33" t="s">
        <v>1001</v>
      </c>
      <c r="E65" s="33">
        <v>1</v>
      </c>
    </row>
    <row r="66" spans="1:5" x14ac:dyDescent="0.35">
      <c r="A66" s="33" t="s">
        <v>1002</v>
      </c>
      <c r="B66" s="33" t="s">
        <v>1003</v>
      </c>
      <c r="C66" s="33">
        <v>13734103000</v>
      </c>
      <c r="D66" s="33" t="s">
        <v>1004</v>
      </c>
      <c r="E66" s="33">
        <v>1</v>
      </c>
    </row>
    <row r="67" spans="1:5" x14ac:dyDescent="0.35">
      <c r="A67" s="33" t="s">
        <v>1005</v>
      </c>
      <c r="B67" s="33" t="s">
        <v>1006</v>
      </c>
      <c r="C67" s="33">
        <v>5300681300</v>
      </c>
      <c r="D67" s="33" t="s">
        <v>1007</v>
      </c>
      <c r="E67" s="33">
        <v>1</v>
      </c>
    </row>
    <row r="68" spans="1:5" x14ac:dyDescent="0.35">
      <c r="A68" s="33" t="s">
        <v>1008</v>
      </c>
      <c r="B68" s="33" t="s">
        <v>1009</v>
      </c>
      <c r="C68" s="33">
        <v>3240338200</v>
      </c>
      <c r="D68" s="33" t="s">
        <v>1010</v>
      </c>
      <c r="E68" s="33">
        <v>1</v>
      </c>
    </row>
    <row r="69" spans="1:5" x14ac:dyDescent="0.35">
      <c r="A69" s="33" t="s">
        <v>1011</v>
      </c>
      <c r="B69" s="33" t="s">
        <v>1012</v>
      </c>
      <c r="C69" s="33">
        <v>5487086700</v>
      </c>
      <c r="D69" s="33" t="s">
        <v>1013</v>
      </c>
      <c r="E69" s="33">
        <v>1</v>
      </c>
    </row>
    <row r="70" spans="1:5" x14ac:dyDescent="0.35">
      <c r="A70" s="33" t="s">
        <v>1014</v>
      </c>
      <c r="B70" s="33" t="s">
        <v>1015</v>
      </c>
      <c r="C70" s="33">
        <v>2484087200</v>
      </c>
      <c r="D70" s="33" t="s">
        <v>1016</v>
      </c>
      <c r="E70" s="33">
        <v>1</v>
      </c>
    </row>
    <row r="71" spans="1:5" x14ac:dyDescent="0.35">
      <c r="A71" s="33" t="s">
        <v>1017</v>
      </c>
      <c r="B71" s="33" t="s">
        <v>1018</v>
      </c>
      <c r="C71" s="33">
        <v>2671000000</v>
      </c>
      <c r="D71" s="33" t="s">
        <v>957</v>
      </c>
      <c r="E71" s="33">
        <v>1</v>
      </c>
    </row>
    <row r="72" spans="1:5" x14ac:dyDescent="0.35">
      <c r="A72" s="33" t="s">
        <v>1019</v>
      </c>
      <c r="B72" s="33" t="s">
        <v>828</v>
      </c>
      <c r="C72" s="33">
        <v>1598559600</v>
      </c>
      <c r="D72" s="33" t="s">
        <v>829</v>
      </c>
      <c r="E72" s="33">
        <v>2</v>
      </c>
    </row>
    <row r="73" spans="1:5" x14ac:dyDescent="0.35">
      <c r="A73" s="33" t="s">
        <v>1020</v>
      </c>
      <c r="B73" s="33" t="s">
        <v>1021</v>
      </c>
      <c r="C73" s="33">
        <v>10927578500</v>
      </c>
      <c r="D73" s="33" t="s">
        <v>1022</v>
      </c>
      <c r="E73" s="33">
        <v>1</v>
      </c>
    </row>
    <row r="74" spans="1:5" x14ac:dyDescent="0.35">
      <c r="A74" s="33" t="s">
        <v>1023</v>
      </c>
      <c r="B74" s="33" t="s">
        <v>1024</v>
      </c>
      <c r="C74" s="33">
        <v>5558406500</v>
      </c>
      <c r="D74" s="33" t="s">
        <v>1025</v>
      </c>
      <c r="E74" s="33">
        <v>1</v>
      </c>
    </row>
    <row r="75" spans="1:5" x14ac:dyDescent="0.35">
      <c r="A75" s="33" t="s">
        <v>1026</v>
      </c>
      <c r="B75" s="33" t="s">
        <v>1027</v>
      </c>
      <c r="C75" s="33">
        <v>1628406000</v>
      </c>
      <c r="D75" s="33" t="s">
        <v>1028</v>
      </c>
      <c r="E75" s="33">
        <v>1</v>
      </c>
    </row>
    <row r="76" spans="1:5" x14ac:dyDescent="0.35">
      <c r="A76" s="33" t="s">
        <v>1029</v>
      </c>
      <c r="B76" s="33" t="s">
        <v>1030</v>
      </c>
      <c r="C76" s="33">
        <v>1115100000</v>
      </c>
      <c r="D76" s="33" t="s">
        <v>1031</v>
      </c>
      <c r="E76" s="33">
        <v>1</v>
      </c>
    </row>
    <row r="77" spans="1:5" x14ac:dyDescent="0.35">
      <c r="A77" s="33" t="s">
        <v>1032</v>
      </c>
      <c r="B77" s="33" t="s">
        <v>1033</v>
      </c>
      <c r="C77" s="33">
        <v>870321580</v>
      </c>
      <c r="D77" s="33" t="s">
        <v>1034</v>
      </c>
      <c r="E77" s="33">
        <v>1</v>
      </c>
    </row>
    <row r="78" spans="1:5" x14ac:dyDescent="0.35">
      <c r="A78" s="33" t="s">
        <v>1035</v>
      </c>
      <c r="B78" s="33" t="s">
        <v>1036</v>
      </c>
      <c r="C78" s="33">
        <v>1364326000</v>
      </c>
      <c r="D78" s="33" t="s">
        <v>1037</v>
      </c>
      <c r="E78" s="33">
        <v>1</v>
      </c>
    </row>
    <row r="79" spans="1:5" x14ac:dyDescent="0.35">
      <c r="A79" s="33" t="s">
        <v>1038</v>
      </c>
      <c r="B79" s="33" t="s">
        <v>825</v>
      </c>
      <c r="C79" s="33">
        <v>905021020</v>
      </c>
      <c r="D79" s="33" t="s">
        <v>826</v>
      </c>
      <c r="E79" s="33">
        <v>3</v>
      </c>
    </row>
    <row r="80" spans="1:5" x14ac:dyDescent="0.35">
      <c r="A80" s="33" t="s">
        <v>1039</v>
      </c>
      <c r="B80" s="33" t="s">
        <v>840</v>
      </c>
      <c r="C80" s="33">
        <v>840800000</v>
      </c>
      <c r="D80" s="33" t="s">
        <v>841</v>
      </c>
      <c r="E80" s="33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6" sqref="H2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134" bestFit="1" customWidth="1"/>
  </cols>
  <sheetData>
    <row r="1" spans="1:19" ht="14.15" customHeight="1" x14ac:dyDescent="0.35">
      <c r="A1" s="163" t="s">
        <v>138</v>
      </c>
      <c r="B1" s="163"/>
      <c r="C1" s="163"/>
      <c r="D1" s="163"/>
      <c r="E1" s="162" t="s">
        <v>4</v>
      </c>
      <c r="F1" s="162"/>
      <c r="G1" s="162"/>
      <c r="H1" s="162"/>
      <c r="I1" s="162"/>
      <c r="J1" s="162"/>
      <c r="K1" s="162"/>
      <c r="L1" s="162"/>
      <c r="M1" s="162"/>
      <c r="N1" s="162"/>
      <c r="O1" s="154"/>
      <c r="P1" s="154"/>
      <c r="Q1" s="154"/>
    </row>
    <row r="2" spans="1:19" ht="13.75" customHeight="1" x14ac:dyDescent="0.35">
      <c r="A2" s="156" t="s">
        <v>130</v>
      </c>
      <c r="B2" s="156" t="s">
        <v>137</v>
      </c>
      <c r="C2" s="156" t="s">
        <v>602</v>
      </c>
      <c r="D2" s="156" t="s">
        <v>131</v>
      </c>
      <c r="E2" s="104" t="s">
        <v>629</v>
      </c>
      <c r="F2" s="104" t="s">
        <v>782</v>
      </c>
      <c r="G2" s="87" t="s">
        <v>627</v>
      </c>
      <c r="H2" s="87" t="s">
        <v>506</v>
      </c>
      <c r="I2" s="51" t="s">
        <v>203</v>
      </c>
      <c r="J2" s="51" t="s">
        <v>149</v>
      </c>
      <c r="K2" s="51" t="s">
        <v>152</v>
      </c>
      <c r="L2" s="51" t="s">
        <v>153</v>
      </c>
      <c r="M2" s="51" t="s">
        <v>376</v>
      </c>
      <c r="N2" s="51" t="s">
        <v>150</v>
      </c>
      <c r="O2" s="17" t="s">
        <v>612</v>
      </c>
      <c r="P2" s="134">
        <v>1</v>
      </c>
      <c r="S2"/>
    </row>
    <row r="3" spans="1:19" x14ac:dyDescent="0.35">
      <c r="A3" s="92" t="s">
        <v>643</v>
      </c>
      <c r="B3" s="92">
        <v>7</v>
      </c>
      <c r="C3" s="93">
        <v>4176780500</v>
      </c>
      <c r="D3" s="92" t="s">
        <v>644</v>
      </c>
      <c r="L3" t="s">
        <v>620</v>
      </c>
      <c r="O3" s="17" t="s">
        <v>613</v>
      </c>
      <c r="P3" s="134">
        <v>2</v>
      </c>
      <c r="S3"/>
    </row>
    <row r="4" spans="1:19" x14ac:dyDescent="0.35">
      <c r="A4" s="92" t="s">
        <v>571</v>
      </c>
      <c r="B4" s="92">
        <v>7</v>
      </c>
      <c r="C4" s="93">
        <v>5118709000</v>
      </c>
      <c r="D4" s="92" t="s">
        <v>572</v>
      </c>
      <c r="H4" t="s">
        <v>620</v>
      </c>
      <c r="O4" s="17" t="s">
        <v>615</v>
      </c>
      <c r="P4" s="141" t="s">
        <v>616</v>
      </c>
      <c r="S4"/>
    </row>
    <row r="5" spans="1:19" x14ac:dyDescent="0.35">
      <c r="A5" s="33" t="s">
        <v>801</v>
      </c>
      <c r="B5" s="33">
        <v>5</v>
      </c>
      <c r="C5" s="93">
        <v>9298182200</v>
      </c>
      <c r="D5" s="33" t="s">
        <v>802</v>
      </c>
      <c r="F5" s="161" t="s">
        <v>617</v>
      </c>
      <c r="O5" s="17" t="s">
        <v>788</v>
      </c>
      <c r="P5" s="134"/>
      <c r="S5"/>
    </row>
    <row r="6" spans="1:19" ht="14.15" customHeight="1" x14ac:dyDescent="0.35">
      <c r="A6" s="33" t="s">
        <v>823</v>
      </c>
      <c r="B6" s="33">
        <v>3</v>
      </c>
      <c r="C6" s="93">
        <v>4981050800</v>
      </c>
      <c r="D6" s="33" t="s">
        <v>824</v>
      </c>
      <c r="O6" s="17" t="s">
        <v>790</v>
      </c>
      <c r="P6" s="134"/>
      <c r="S6"/>
    </row>
    <row r="7" spans="1:19" x14ac:dyDescent="0.35">
      <c r="A7" s="33" t="s">
        <v>825</v>
      </c>
      <c r="B7" s="33">
        <v>3</v>
      </c>
      <c r="C7" s="93">
        <v>905021020</v>
      </c>
      <c r="D7" s="33" t="s">
        <v>826</v>
      </c>
      <c r="P7" s="134"/>
      <c r="S7"/>
    </row>
    <row r="8" spans="1:19" s="62" customFormat="1" x14ac:dyDescent="0.35">
      <c r="A8" s="33" t="s">
        <v>828</v>
      </c>
      <c r="B8" s="33">
        <v>2</v>
      </c>
      <c r="C8" s="93">
        <v>1598559600</v>
      </c>
      <c r="D8" s="33" t="s">
        <v>829</v>
      </c>
      <c r="E8"/>
      <c r="F8"/>
      <c r="G8"/>
      <c r="H8"/>
      <c r="I8"/>
      <c r="J8"/>
      <c r="K8"/>
      <c r="L8"/>
      <c r="M8"/>
      <c r="N8"/>
      <c r="O8" s="17" t="s">
        <v>617</v>
      </c>
      <c r="P8" s="141" t="s">
        <v>624</v>
      </c>
    </row>
    <row r="9" spans="1:19" x14ac:dyDescent="0.35">
      <c r="A9" s="33" t="s">
        <v>830</v>
      </c>
      <c r="B9" s="33">
        <v>2</v>
      </c>
      <c r="C9" s="93">
        <v>3312103100</v>
      </c>
      <c r="D9" s="33" t="s">
        <v>505</v>
      </c>
      <c r="H9" t="s">
        <v>205</v>
      </c>
      <c r="O9" s="62"/>
      <c r="P9" s="134"/>
      <c r="S9"/>
    </row>
    <row r="10" spans="1:19" x14ac:dyDescent="0.35">
      <c r="A10" s="33" t="s">
        <v>831</v>
      </c>
      <c r="B10" s="33">
        <v>2</v>
      </c>
      <c r="C10" s="93">
        <v>3557342800</v>
      </c>
      <c r="D10" s="33" t="s">
        <v>832</v>
      </c>
      <c r="O10" s="17" t="s">
        <v>785</v>
      </c>
      <c r="P10" s="134">
        <v>8</v>
      </c>
      <c r="S10"/>
    </row>
    <row r="11" spans="1:19" x14ac:dyDescent="0.35">
      <c r="A11" s="33" t="s">
        <v>833</v>
      </c>
      <c r="B11" s="33">
        <v>2</v>
      </c>
      <c r="C11" s="93">
        <v>3095433800</v>
      </c>
      <c r="D11" s="33" t="s">
        <v>834</v>
      </c>
      <c r="F11" t="s">
        <v>205</v>
      </c>
      <c r="O11" s="17"/>
      <c r="P11" s="134"/>
      <c r="S11"/>
    </row>
    <row r="12" spans="1:19" x14ac:dyDescent="0.35">
      <c r="A12" s="33" t="s">
        <v>835</v>
      </c>
      <c r="B12" s="33">
        <v>2</v>
      </c>
      <c r="C12" s="93">
        <v>2654553300</v>
      </c>
      <c r="D12" s="33" t="s">
        <v>836</v>
      </c>
      <c r="E12" t="s">
        <v>205</v>
      </c>
      <c r="H12" t="s">
        <v>205</v>
      </c>
      <c r="O12" s="17"/>
      <c r="P12" s="134"/>
      <c r="S12"/>
    </row>
    <row r="13" spans="1:19" ht="17.600000000000001" x14ac:dyDescent="0.55000000000000004">
      <c r="A13" s="33" t="s">
        <v>526</v>
      </c>
      <c r="B13" s="33">
        <v>2</v>
      </c>
      <c r="C13" s="93">
        <v>10216947500</v>
      </c>
      <c r="D13" s="33" t="s">
        <v>837</v>
      </c>
      <c r="F13" t="s">
        <v>205</v>
      </c>
      <c r="O13" s="109" t="s">
        <v>206</v>
      </c>
      <c r="P13" s="134"/>
      <c r="S13"/>
    </row>
    <row r="14" spans="1:19" x14ac:dyDescent="0.35">
      <c r="A14" s="33" t="s">
        <v>838</v>
      </c>
      <c r="B14" s="33">
        <v>2</v>
      </c>
      <c r="C14" s="93">
        <v>4502516900</v>
      </c>
      <c r="D14" s="33" t="s">
        <v>839</v>
      </c>
      <c r="E14" s="159" t="s">
        <v>205</v>
      </c>
      <c r="O14" s="17" t="s">
        <v>619</v>
      </c>
      <c r="P14" s="134">
        <v>8</v>
      </c>
      <c r="S14"/>
    </row>
    <row r="15" spans="1:19" x14ac:dyDescent="0.35">
      <c r="A15" s="33" t="s">
        <v>840</v>
      </c>
      <c r="B15" s="33">
        <v>2</v>
      </c>
      <c r="C15" s="93">
        <v>840800000</v>
      </c>
      <c r="D15" s="33" t="s">
        <v>841</v>
      </c>
      <c r="O15" s="17" t="s">
        <v>620</v>
      </c>
      <c r="P15" s="134">
        <v>9</v>
      </c>
      <c r="Q15" t="s">
        <v>787</v>
      </c>
      <c r="S15"/>
    </row>
    <row r="16" spans="1:19" x14ac:dyDescent="0.35">
      <c r="A16" s="33" t="s">
        <v>842</v>
      </c>
      <c r="B16" s="33">
        <v>2</v>
      </c>
      <c r="C16" s="93">
        <v>39511384000</v>
      </c>
      <c r="D16" s="33" t="s">
        <v>843</v>
      </c>
      <c r="F16" t="s">
        <v>205</v>
      </c>
      <c r="O16" s="108" t="s">
        <v>621</v>
      </c>
      <c r="P16" s="142" t="s">
        <v>786</v>
      </c>
      <c r="S16"/>
    </row>
    <row r="17" spans="1:19" x14ac:dyDescent="0.35">
      <c r="A17" s="33" t="s">
        <v>844</v>
      </c>
      <c r="B17" s="33">
        <v>2</v>
      </c>
      <c r="C17" s="93">
        <v>5559225000</v>
      </c>
      <c r="D17" s="33" t="s">
        <v>845</v>
      </c>
      <c r="F17" t="s">
        <v>205</v>
      </c>
      <c r="O17" s="108" t="s">
        <v>819</v>
      </c>
      <c r="P17" s="142"/>
      <c r="S17"/>
    </row>
    <row r="18" spans="1:19" x14ac:dyDescent="0.35">
      <c r="A18" s="33" t="s">
        <v>846</v>
      </c>
      <c r="B18" s="33">
        <v>2</v>
      </c>
      <c r="C18" s="93">
        <v>23421648000</v>
      </c>
      <c r="D18" s="33" t="s">
        <v>847</v>
      </c>
      <c r="F18" t="s">
        <v>205</v>
      </c>
      <c r="O18" s="20" t="s">
        <v>820</v>
      </c>
      <c r="P18" s="134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Q54"/>
  <sheetViews>
    <sheetView workbookViewId="0">
      <selection activeCell="F30" sqref="F30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17" x14ac:dyDescent="0.35">
      <c r="A1" s="163" t="s">
        <v>139</v>
      </c>
      <c r="B1" s="163"/>
      <c r="C1" s="163"/>
      <c r="D1" s="163"/>
      <c r="E1" s="163"/>
      <c r="F1" s="163"/>
      <c r="G1" s="163"/>
      <c r="H1" s="163"/>
      <c r="I1" s="163"/>
      <c r="J1" s="164"/>
      <c r="K1" s="164"/>
      <c r="L1" s="164"/>
      <c r="M1" s="164"/>
      <c r="N1" s="164"/>
      <c r="O1" s="164"/>
      <c r="P1" s="164"/>
      <c r="Q1" s="164"/>
    </row>
    <row r="2" spans="1:17" x14ac:dyDescent="0.35">
      <c r="A2" s="35" t="s">
        <v>132</v>
      </c>
      <c r="B2" s="35" t="s">
        <v>133</v>
      </c>
      <c r="C2" s="35" t="s">
        <v>134</v>
      </c>
      <c r="D2" s="35" t="s">
        <v>207</v>
      </c>
      <c r="E2" s="35" t="s">
        <v>208</v>
      </c>
      <c r="F2" s="35" t="s">
        <v>135</v>
      </c>
      <c r="G2" s="35" t="s">
        <v>107</v>
      </c>
      <c r="H2" s="35" t="s">
        <v>136</v>
      </c>
      <c r="I2" s="35" t="s">
        <v>827</v>
      </c>
      <c r="J2" s="164"/>
      <c r="K2" s="164"/>
      <c r="L2" s="164"/>
      <c r="M2" s="164"/>
      <c r="N2" s="164"/>
      <c r="O2" s="164"/>
      <c r="P2" s="164"/>
      <c r="Q2" s="164"/>
    </row>
    <row r="3" spans="1:17" x14ac:dyDescent="0.35">
      <c r="A3" s="34">
        <v>44713</v>
      </c>
      <c r="B3" s="36">
        <v>7</v>
      </c>
      <c r="C3" s="36">
        <v>7</v>
      </c>
      <c r="D3" s="36">
        <v>16</v>
      </c>
      <c r="E3" s="38">
        <v>0.45</v>
      </c>
      <c r="F3" s="37">
        <v>11524.28</v>
      </c>
      <c r="G3" s="37">
        <v>10846.78</v>
      </c>
      <c r="H3" s="158">
        <f t="shared" ref="H3:H24" si="0">SUM(F3-G3)/F3</f>
        <v>5.8788922171276639E-2</v>
      </c>
      <c r="I3" s="160">
        <v>3182</v>
      </c>
      <c r="J3" s="164"/>
      <c r="K3" s="164"/>
      <c r="L3" s="164"/>
      <c r="M3" s="164"/>
      <c r="N3" s="164"/>
      <c r="O3" s="164"/>
      <c r="P3" s="164"/>
      <c r="Q3" s="164"/>
    </row>
    <row r="4" spans="1:17" x14ac:dyDescent="0.35">
      <c r="A4" s="34">
        <v>44714</v>
      </c>
      <c r="B4" s="36">
        <v>13</v>
      </c>
      <c r="C4" s="36">
        <v>8</v>
      </c>
      <c r="D4" s="36">
        <v>22</v>
      </c>
      <c r="E4" s="38">
        <f t="shared" ref="E4:E24" si="1">SUM((D4-B4)/D3)</f>
        <v>0.5625</v>
      </c>
      <c r="F4" s="37">
        <v>12076.34</v>
      </c>
      <c r="G4" s="37">
        <v>11226.2</v>
      </c>
      <c r="H4" s="158">
        <f t="shared" si="0"/>
        <v>7.0397156754447077E-2</v>
      </c>
      <c r="I4" s="160">
        <v>3195</v>
      </c>
      <c r="J4" s="164"/>
      <c r="K4" s="164"/>
      <c r="L4" s="164"/>
      <c r="M4" s="164"/>
      <c r="N4" s="164"/>
      <c r="O4" s="164"/>
      <c r="P4" s="164"/>
      <c r="Q4" s="164"/>
    </row>
    <row r="5" spans="1:17" x14ac:dyDescent="0.35">
      <c r="A5" s="34">
        <v>44718</v>
      </c>
      <c r="B5" s="36">
        <v>13</v>
      </c>
      <c r="C5" s="36">
        <v>5</v>
      </c>
      <c r="D5" s="36">
        <v>20</v>
      </c>
      <c r="E5" s="118">
        <f t="shared" si="1"/>
        <v>0.31818181818181818</v>
      </c>
      <c r="F5" s="37">
        <v>12174.62</v>
      </c>
      <c r="G5" s="37">
        <v>11546.21</v>
      </c>
      <c r="H5" s="158">
        <f t="shared" si="0"/>
        <v>5.161639541932328E-2</v>
      </c>
      <c r="I5" s="160">
        <v>3236</v>
      </c>
      <c r="J5" s="164"/>
      <c r="K5" s="164"/>
      <c r="L5" s="164"/>
      <c r="M5" s="164"/>
      <c r="N5" s="164"/>
      <c r="O5" s="164"/>
      <c r="P5" s="164"/>
      <c r="Q5" s="164"/>
    </row>
    <row r="6" spans="1:17" x14ac:dyDescent="0.35">
      <c r="A6" s="34">
        <v>44719</v>
      </c>
      <c r="B6" s="36">
        <v>13</v>
      </c>
      <c r="C6" s="36">
        <v>6</v>
      </c>
      <c r="D6" s="36">
        <v>19</v>
      </c>
      <c r="E6" s="118">
        <f t="shared" si="1"/>
        <v>0.3</v>
      </c>
      <c r="F6" s="37">
        <v>12165.13</v>
      </c>
      <c r="G6" s="37">
        <v>11793.47</v>
      </c>
      <c r="H6" s="158">
        <f t="shared" si="0"/>
        <v>3.0551255925748422E-2</v>
      </c>
      <c r="I6" s="160">
        <v>3241</v>
      </c>
      <c r="J6" s="164"/>
      <c r="K6" s="164"/>
      <c r="L6" s="164"/>
      <c r="M6" s="164"/>
      <c r="N6" s="164"/>
      <c r="O6" s="164"/>
      <c r="P6" s="164"/>
      <c r="Q6" s="164"/>
    </row>
    <row r="7" spans="1:17" x14ac:dyDescent="0.35">
      <c r="A7" s="34">
        <v>44720</v>
      </c>
      <c r="B7" s="36">
        <v>8</v>
      </c>
      <c r="C7" s="157">
        <v>7</v>
      </c>
      <c r="D7" s="157">
        <v>14</v>
      </c>
      <c r="E7" s="118">
        <f t="shared" si="1"/>
        <v>0.31578947368421051</v>
      </c>
      <c r="F7" s="157">
        <v>12407.67</v>
      </c>
      <c r="G7" s="157">
        <v>12069.61</v>
      </c>
      <c r="H7" s="40">
        <f t="shared" si="0"/>
        <v>2.7246050225384739E-2</v>
      </c>
      <c r="I7" s="160">
        <v>3263</v>
      </c>
      <c r="J7" s="164"/>
      <c r="K7" s="164"/>
      <c r="L7" s="164"/>
      <c r="M7" s="164"/>
      <c r="N7" s="164"/>
      <c r="O7" s="164"/>
      <c r="P7" s="164"/>
      <c r="Q7" s="164"/>
    </row>
    <row r="8" spans="1:17" x14ac:dyDescent="0.35">
      <c r="A8" s="34">
        <v>44721</v>
      </c>
      <c r="B8" s="157">
        <v>8</v>
      </c>
      <c r="C8" s="157">
        <v>8</v>
      </c>
      <c r="D8" s="157">
        <v>13</v>
      </c>
      <c r="E8" s="38">
        <f t="shared" si="1"/>
        <v>0.35714285714285715</v>
      </c>
      <c r="F8" s="157">
        <v>12366.93</v>
      </c>
      <c r="G8" s="157">
        <v>12238.14</v>
      </c>
      <c r="H8" s="40">
        <f t="shared" si="0"/>
        <v>1.0414063959285035E-2</v>
      </c>
      <c r="I8" s="160">
        <v>3248</v>
      </c>
      <c r="J8" s="164"/>
      <c r="K8" s="164"/>
      <c r="L8" s="164"/>
      <c r="M8" s="164"/>
      <c r="N8" s="164"/>
      <c r="O8" s="164"/>
      <c r="P8" s="164"/>
      <c r="Q8" s="164"/>
    </row>
    <row r="9" spans="1:17" x14ac:dyDescent="0.35">
      <c r="A9" s="34">
        <v>44722</v>
      </c>
      <c r="B9" s="157">
        <v>5</v>
      </c>
      <c r="C9" s="157">
        <v>9</v>
      </c>
      <c r="D9" s="157">
        <v>14</v>
      </c>
      <c r="E9" s="38">
        <f t="shared" si="1"/>
        <v>0.69230769230769229</v>
      </c>
      <c r="F9" s="157">
        <v>13149.07</v>
      </c>
      <c r="G9" s="157">
        <v>12452.68</v>
      </c>
      <c r="H9" s="158">
        <f t="shared" si="0"/>
        <v>5.2961159990782575E-2</v>
      </c>
      <c r="I9" s="160">
        <v>3284</v>
      </c>
      <c r="J9" s="164"/>
      <c r="K9" s="164"/>
      <c r="L9" s="164"/>
      <c r="M9" s="164"/>
      <c r="N9" s="164"/>
      <c r="O9" s="164"/>
      <c r="P9" s="164"/>
      <c r="Q9" s="164"/>
    </row>
    <row r="10" spans="1:17" x14ac:dyDescent="0.35">
      <c r="A10" s="34">
        <v>44725</v>
      </c>
      <c r="B10" s="157">
        <v>11</v>
      </c>
      <c r="C10" s="157">
        <v>10</v>
      </c>
      <c r="D10" s="157">
        <v>17</v>
      </c>
      <c r="E10" s="38">
        <f t="shared" si="1"/>
        <v>0.42857142857142855</v>
      </c>
      <c r="F10" s="157">
        <v>13521.76</v>
      </c>
      <c r="G10" s="157">
        <v>12722.11</v>
      </c>
      <c r="H10" s="158">
        <f t="shared" si="0"/>
        <v>5.9138011619789113E-2</v>
      </c>
      <c r="I10" s="160">
        <v>3255</v>
      </c>
      <c r="J10" s="164"/>
      <c r="K10" s="164"/>
      <c r="L10" s="164"/>
      <c r="M10" s="164"/>
      <c r="N10" s="164"/>
      <c r="O10" s="164"/>
      <c r="P10" s="164"/>
      <c r="Q10" s="164"/>
    </row>
    <row r="11" spans="1:17" x14ac:dyDescent="0.35">
      <c r="A11" s="34">
        <v>44726</v>
      </c>
      <c r="B11" s="157">
        <v>8</v>
      </c>
      <c r="C11" s="157">
        <v>11</v>
      </c>
      <c r="D11" s="157">
        <v>16</v>
      </c>
      <c r="E11" s="38">
        <f t="shared" si="1"/>
        <v>0.47058823529411764</v>
      </c>
      <c r="F11" s="157">
        <v>14275.85</v>
      </c>
      <c r="G11" s="157">
        <v>13115.49</v>
      </c>
      <c r="H11" s="158">
        <f t="shared" si="0"/>
        <v>8.1281324754743187E-2</v>
      </c>
      <c r="I11" s="160">
        <v>3248</v>
      </c>
      <c r="J11" s="164"/>
      <c r="K11" s="164"/>
      <c r="L11" s="164"/>
      <c r="M11" s="164"/>
      <c r="N11" s="164"/>
      <c r="O11" s="164"/>
      <c r="P11" s="164"/>
      <c r="Q11" s="164"/>
    </row>
    <row r="12" spans="1:17" x14ac:dyDescent="0.35">
      <c r="A12" s="34">
        <v>44727</v>
      </c>
      <c r="B12" s="157">
        <v>10</v>
      </c>
      <c r="C12" s="157">
        <v>8</v>
      </c>
      <c r="D12" s="157">
        <v>15</v>
      </c>
      <c r="E12" s="48">
        <f t="shared" si="1"/>
        <v>0.3125</v>
      </c>
      <c r="F12" s="157">
        <v>14250.78</v>
      </c>
      <c r="G12" s="157">
        <v>13484.12</v>
      </c>
      <c r="H12" s="158">
        <f t="shared" si="0"/>
        <v>5.379775703505351E-2</v>
      </c>
      <c r="I12" s="1">
        <v>3305</v>
      </c>
      <c r="L12" t="s">
        <v>719</v>
      </c>
    </row>
    <row r="13" spans="1:17" x14ac:dyDescent="0.35">
      <c r="A13" s="34">
        <v>44728</v>
      </c>
      <c r="B13" s="157">
        <v>8</v>
      </c>
      <c r="C13" s="157">
        <v>9</v>
      </c>
      <c r="D13" s="157">
        <v>12</v>
      </c>
      <c r="E13" s="48">
        <f t="shared" si="1"/>
        <v>0.26666666666666666</v>
      </c>
      <c r="F13" s="157">
        <v>13866.15</v>
      </c>
      <c r="G13" s="157">
        <v>13783.96</v>
      </c>
      <c r="H13" s="40">
        <f t="shared" si="0"/>
        <v>5.9273843135982602E-3</v>
      </c>
      <c r="I13" s="160">
        <v>3285</v>
      </c>
      <c r="L13" t="s">
        <v>716</v>
      </c>
    </row>
    <row r="14" spans="1:17" x14ac:dyDescent="0.35">
      <c r="A14" s="73">
        <v>44729</v>
      </c>
      <c r="B14" s="157">
        <v>6</v>
      </c>
      <c r="C14" s="157">
        <v>10</v>
      </c>
      <c r="D14" s="157">
        <v>10</v>
      </c>
      <c r="E14" s="48">
        <f t="shared" si="1"/>
        <v>0.33333333333333331</v>
      </c>
      <c r="F14" s="157">
        <v>13904.59</v>
      </c>
      <c r="G14" s="157">
        <v>13935.07</v>
      </c>
      <c r="H14" s="40">
        <f t="shared" si="0"/>
        <v>-2.192081895259016E-3</v>
      </c>
      <c r="I14" s="160">
        <v>3316</v>
      </c>
      <c r="L14" t="s">
        <v>717</v>
      </c>
    </row>
    <row r="15" spans="1:17" x14ac:dyDescent="0.35">
      <c r="A15" s="73">
        <v>44732</v>
      </c>
      <c r="B15" s="157">
        <v>18</v>
      </c>
      <c r="C15" s="157">
        <v>11</v>
      </c>
      <c r="D15" s="157">
        <v>24</v>
      </c>
      <c r="E15" s="38">
        <f t="shared" si="1"/>
        <v>0.6</v>
      </c>
      <c r="F15" s="157">
        <v>14667.21</v>
      </c>
      <c r="G15" s="157">
        <v>14164.12</v>
      </c>
      <c r="H15" s="158">
        <f t="shared" si="0"/>
        <v>3.430032023813652E-2</v>
      </c>
      <c r="I15" s="160">
        <v>3315</v>
      </c>
      <c r="L15" t="s">
        <v>718</v>
      </c>
    </row>
    <row r="16" spans="1:17" x14ac:dyDescent="0.35">
      <c r="A16" s="73">
        <v>44733</v>
      </c>
      <c r="B16" s="157">
        <v>8</v>
      </c>
      <c r="C16" s="157">
        <v>8</v>
      </c>
      <c r="D16" s="157">
        <v>13</v>
      </c>
      <c r="E16" s="48">
        <f t="shared" si="1"/>
        <v>0.20833333333333334</v>
      </c>
      <c r="F16" s="157">
        <v>14929.41</v>
      </c>
      <c r="G16" s="157">
        <v>14324.53</v>
      </c>
      <c r="H16" s="158">
        <f t="shared" si="0"/>
        <v>4.0516001637037176E-2</v>
      </c>
      <c r="I16" s="160">
        <v>3306</v>
      </c>
      <c r="L16" t="s">
        <v>620</v>
      </c>
    </row>
    <row r="17" spans="1:12" x14ac:dyDescent="0.35">
      <c r="A17" s="73">
        <v>44734</v>
      </c>
      <c r="B17" s="157">
        <v>11</v>
      </c>
      <c r="C17" s="157">
        <v>9</v>
      </c>
      <c r="D17" s="157">
        <v>21</v>
      </c>
      <c r="E17" s="38">
        <f t="shared" si="1"/>
        <v>0.76923076923076927</v>
      </c>
      <c r="F17" s="157">
        <v>16169.07</v>
      </c>
      <c r="G17" s="157">
        <v>14661.34</v>
      </c>
      <c r="H17" s="158">
        <f t="shared" si="0"/>
        <v>9.324778728770422E-2</v>
      </c>
      <c r="I17" s="1">
        <v>3266</v>
      </c>
      <c r="L17" t="s">
        <v>715</v>
      </c>
    </row>
    <row r="18" spans="1:12" x14ac:dyDescent="0.35">
      <c r="A18" s="73">
        <v>44735</v>
      </c>
      <c r="B18" s="157">
        <v>12</v>
      </c>
      <c r="C18" s="157">
        <v>10</v>
      </c>
      <c r="D18" s="157">
        <v>19</v>
      </c>
      <c r="E18" s="118">
        <f t="shared" si="1"/>
        <v>0.33333333333333331</v>
      </c>
      <c r="F18" s="157">
        <v>16215.64</v>
      </c>
      <c r="G18" s="157">
        <v>15131.24</v>
      </c>
      <c r="H18" s="158">
        <f t="shared" si="0"/>
        <v>6.6873709579147025E-2</v>
      </c>
      <c r="I18" s="160">
        <v>3320</v>
      </c>
      <c r="L18" t="s">
        <v>720</v>
      </c>
    </row>
    <row r="19" spans="1:12" x14ac:dyDescent="0.35">
      <c r="A19" s="73">
        <v>44736</v>
      </c>
      <c r="B19" s="157">
        <v>16</v>
      </c>
      <c r="C19" s="157">
        <v>11</v>
      </c>
      <c r="D19" s="157">
        <v>28</v>
      </c>
      <c r="E19" s="38">
        <f t="shared" si="1"/>
        <v>0.63157894736842102</v>
      </c>
      <c r="F19" s="157">
        <v>16805</v>
      </c>
      <c r="G19" s="157">
        <v>15711</v>
      </c>
      <c r="H19" s="158">
        <f t="shared" si="0"/>
        <v>6.5099672716453436E-2</v>
      </c>
      <c r="I19" s="160">
        <v>3349</v>
      </c>
      <c r="L19" t="s">
        <v>718</v>
      </c>
    </row>
    <row r="20" spans="1:12" x14ac:dyDescent="0.35">
      <c r="A20" s="73">
        <v>44739</v>
      </c>
      <c r="B20" s="157">
        <v>14</v>
      </c>
      <c r="C20" s="157">
        <v>7</v>
      </c>
      <c r="D20" s="157">
        <v>29</v>
      </c>
      <c r="E20" s="38">
        <f t="shared" si="1"/>
        <v>0.5357142857142857</v>
      </c>
      <c r="F20" s="157">
        <v>17565</v>
      </c>
      <c r="G20" s="157">
        <v>16291</v>
      </c>
      <c r="H20" s="158">
        <f t="shared" si="0"/>
        <v>7.2530600626245376E-2</v>
      </c>
      <c r="I20" s="160">
        <v>3379</v>
      </c>
      <c r="L20" t="s">
        <v>741</v>
      </c>
    </row>
    <row r="21" spans="1:12" x14ac:dyDescent="0.35">
      <c r="A21" s="73">
        <v>44740</v>
      </c>
      <c r="B21" s="157">
        <v>19</v>
      </c>
      <c r="C21" s="157">
        <v>8</v>
      </c>
      <c r="D21" s="157">
        <v>43</v>
      </c>
      <c r="E21" s="144">
        <f t="shared" si="1"/>
        <v>0.82758620689655171</v>
      </c>
      <c r="F21" s="157">
        <v>18897</v>
      </c>
      <c r="G21" s="157">
        <v>17084</v>
      </c>
      <c r="H21" s="145">
        <f t="shared" si="0"/>
        <v>9.5941154680637145E-2</v>
      </c>
      <c r="I21" s="1">
        <v>3409</v>
      </c>
      <c r="K21" t="s">
        <v>742</v>
      </c>
      <c r="L21" t="s">
        <v>792</v>
      </c>
    </row>
    <row r="22" spans="1:12" x14ac:dyDescent="0.35">
      <c r="A22" s="73">
        <v>44741</v>
      </c>
      <c r="B22" s="157">
        <v>13</v>
      </c>
      <c r="C22" s="157">
        <v>9</v>
      </c>
      <c r="D22" s="157">
        <v>25</v>
      </c>
      <c r="E22" s="149">
        <f t="shared" si="1"/>
        <v>0.27906976744186046</v>
      </c>
      <c r="F22" s="157">
        <v>18457</v>
      </c>
      <c r="G22" s="157">
        <v>17588</v>
      </c>
      <c r="H22" s="158">
        <f t="shared" si="0"/>
        <v>4.7082407758573981E-2</v>
      </c>
      <c r="I22" s="160">
        <v>3361</v>
      </c>
      <c r="K22" t="s">
        <v>793</v>
      </c>
      <c r="L22" t="s">
        <v>807</v>
      </c>
    </row>
    <row r="23" spans="1:12" x14ac:dyDescent="0.35">
      <c r="A23" s="73">
        <v>44742</v>
      </c>
      <c r="B23" s="157">
        <v>4</v>
      </c>
      <c r="C23" s="157">
        <v>6</v>
      </c>
      <c r="D23" s="157">
        <v>13</v>
      </c>
      <c r="E23" s="149">
        <f t="shared" si="1"/>
        <v>0.36</v>
      </c>
      <c r="F23" s="157">
        <v>18563</v>
      </c>
      <c r="G23" s="157">
        <v>18057</v>
      </c>
      <c r="H23" s="155">
        <f t="shared" si="0"/>
        <v>2.7258525022895008E-2</v>
      </c>
      <c r="I23" s="160">
        <v>3398</v>
      </c>
      <c r="L23" t="s">
        <v>821</v>
      </c>
    </row>
    <row r="24" spans="1:12" x14ac:dyDescent="0.35">
      <c r="A24" s="73">
        <v>44743</v>
      </c>
      <c r="B24" s="157">
        <v>7</v>
      </c>
      <c r="C24" s="157">
        <v>7</v>
      </c>
      <c r="D24" s="157">
        <v>10</v>
      </c>
      <c r="E24" s="149">
        <f t="shared" si="1"/>
        <v>0.23076923076923078</v>
      </c>
      <c r="F24" s="157">
        <v>18192</v>
      </c>
      <c r="G24" s="157">
        <v>18335</v>
      </c>
      <c r="H24" s="155">
        <f t="shared" si="0"/>
        <v>-7.860598065083553E-3</v>
      </c>
      <c r="I24" s="160">
        <v>3387</v>
      </c>
      <c r="K24" t="s">
        <v>822</v>
      </c>
      <c r="L24" t="s">
        <v>717</v>
      </c>
    </row>
    <row r="25" spans="1:12" x14ac:dyDescent="0.35">
      <c r="A25" s="73">
        <v>44744</v>
      </c>
      <c r="I25" s="1"/>
    </row>
    <row r="26" spans="1:12" x14ac:dyDescent="0.35">
      <c r="A26" s="73">
        <v>44745</v>
      </c>
      <c r="I26" s="1"/>
    </row>
    <row r="27" spans="1:12" x14ac:dyDescent="0.35">
      <c r="A27" s="73">
        <v>44746</v>
      </c>
      <c r="I27" s="1"/>
    </row>
    <row r="28" spans="1:12" x14ac:dyDescent="0.35">
      <c r="A28" s="73">
        <v>44747</v>
      </c>
      <c r="I28" s="1"/>
    </row>
    <row r="29" spans="1:12" x14ac:dyDescent="0.35">
      <c r="A29" s="73">
        <v>44748</v>
      </c>
      <c r="I29" s="1"/>
    </row>
    <row r="30" spans="1:12" x14ac:dyDescent="0.35">
      <c r="A30" s="73">
        <v>44749</v>
      </c>
      <c r="I30" s="1"/>
    </row>
    <row r="31" spans="1:12" x14ac:dyDescent="0.35">
      <c r="A31" s="73">
        <v>44750</v>
      </c>
      <c r="I31" s="1"/>
    </row>
    <row r="32" spans="1:12" x14ac:dyDescent="0.35">
      <c r="A32" s="73">
        <v>44751</v>
      </c>
      <c r="I32" s="1"/>
    </row>
    <row r="33" spans="1:9" x14ac:dyDescent="0.35">
      <c r="A33" s="73">
        <v>44752</v>
      </c>
      <c r="I33" s="1"/>
    </row>
    <row r="34" spans="1:9" x14ac:dyDescent="0.35">
      <c r="A34" s="73">
        <v>44753</v>
      </c>
      <c r="I34" s="1"/>
    </row>
    <row r="35" spans="1:9" x14ac:dyDescent="0.35">
      <c r="A35" s="73">
        <v>44754</v>
      </c>
      <c r="I35" s="1"/>
    </row>
    <row r="36" spans="1:9" x14ac:dyDescent="0.35">
      <c r="A36" s="73">
        <v>44755</v>
      </c>
      <c r="I36" s="1"/>
    </row>
    <row r="37" spans="1:9" x14ac:dyDescent="0.35">
      <c r="A37" s="73">
        <v>44756</v>
      </c>
      <c r="I37" s="1"/>
    </row>
    <row r="38" spans="1:9" x14ac:dyDescent="0.35">
      <c r="A38" s="73">
        <v>44757</v>
      </c>
      <c r="I38" s="1"/>
    </row>
    <row r="39" spans="1:9" x14ac:dyDescent="0.35">
      <c r="A39" s="73">
        <v>44758</v>
      </c>
      <c r="I39" s="1"/>
    </row>
    <row r="40" spans="1:9" x14ac:dyDescent="0.35">
      <c r="A40" s="73">
        <v>44759</v>
      </c>
      <c r="I40" s="1"/>
    </row>
    <row r="41" spans="1:9" x14ac:dyDescent="0.35">
      <c r="A41" s="73">
        <v>44760</v>
      </c>
      <c r="I41" s="1"/>
    </row>
    <row r="42" spans="1:9" x14ac:dyDescent="0.35">
      <c r="A42" s="73">
        <v>44761</v>
      </c>
      <c r="I42" s="1"/>
    </row>
    <row r="43" spans="1:9" x14ac:dyDescent="0.35">
      <c r="A43" s="73">
        <v>44762</v>
      </c>
      <c r="I43" s="1"/>
    </row>
    <row r="44" spans="1:9" x14ac:dyDescent="0.35">
      <c r="A44" s="73">
        <v>44763</v>
      </c>
      <c r="I44" s="1"/>
    </row>
    <row r="45" spans="1:9" x14ac:dyDescent="0.35">
      <c r="A45" s="73">
        <v>44764</v>
      </c>
      <c r="I45" s="1"/>
    </row>
    <row r="46" spans="1:9" x14ac:dyDescent="0.35">
      <c r="A46" s="73">
        <v>44765</v>
      </c>
      <c r="I46" s="1"/>
    </row>
    <row r="47" spans="1:9" x14ac:dyDescent="0.35">
      <c r="A47" s="73">
        <v>44766</v>
      </c>
      <c r="I47" s="1"/>
    </row>
    <row r="48" spans="1:9" x14ac:dyDescent="0.35">
      <c r="A48" s="73">
        <v>44767</v>
      </c>
      <c r="I48" s="1"/>
    </row>
    <row r="49" spans="1:9" x14ac:dyDescent="0.35">
      <c r="A49" s="73">
        <v>44768</v>
      </c>
      <c r="I49" s="1"/>
    </row>
    <row r="50" spans="1:9" x14ac:dyDescent="0.35">
      <c r="A50" s="73">
        <v>44769</v>
      </c>
      <c r="I50" s="1"/>
    </row>
    <row r="51" spans="1:9" x14ac:dyDescent="0.35">
      <c r="A51" s="73">
        <v>44770</v>
      </c>
      <c r="I51" s="1"/>
    </row>
    <row r="52" spans="1:9" x14ac:dyDescent="0.35">
      <c r="A52" s="73">
        <v>44771</v>
      </c>
      <c r="I52" s="1"/>
    </row>
    <row r="53" spans="1:9" x14ac:dyDescent="0.35">
      <c r="A53" s="73">
        <v>44772</v>
      </c>
      <c r="I53" s="1"/>
    </row>
    <row r="54" spans="1:9" x14ac:dyDescent="0.35">
      <c r="A54" s="73">
        <v>44773</v>
      </c>
      <c r="I54" s="1"/>
    </row>
  </sheetData>
  <mergeCells count="4">
    <mergeCell ref="J1:Q4"/>
    <mergeCell ref="J5:Q8"/>
    <mergeCell ref="A1:I1"/>
    <mergeCell ref="J9:Q11"/>
  </mergeCells>
  <phoneticPr fontId="1" type="noConversion"/>
  <pageMargins left="0.7" right="0.7" top="0.75" bottom="0.75" header="0.3" footer="0.3"/>
  <extLst>
    <ext xmlns:x14="http://schemas.microsoft.com/office/spreadsheetml/2009/9/main" uri="{05C60535-1F16-4fd2-B633-F4F36F0B64E0}">
      <x14:sparklineGroups xmlns:xm="http://schemas.microsoft.com/office/excel/2006/main">
        <x14:sparklineGroup dateAxis="1" displayEmptyCellsAs="gap" markers="1" high="1" low="1" first="1" last="1" negative="1" xr2:uid="{7A022841-4C66-4547-933A-63CE3C1373CA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情绪!A3:A54</xm:f>
          <x14:sparklines>
            <x14:sparkline>
              <xm:f>情绪!I3:I54</xm:f>
              <xm:sqref>J9</xm:sqref>
            </x14:sparkline>
          </x14:sparklines>
        </x14:sparklineGroup>
        <x14:sparklineGroup dateAxis="1" displayEmptyCellsAs="gap" markers="1" high="1" low="1" first="1" last="1" negative="1" xr2:uid="{87187A59-C3EE-4963-9125-5402CE55C0B7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情绪!A3:A54</xm:f>
          <x14:sparklines>
            <x14:sparkline>
              <xm:f>情绪!H3:H54</xm:f>
              <xm:sqref>J1</xm:sqref>
            </x14:sparkline>
          </x14:sparklines>
        </x14:sparklineGroup>
        <x14:sparklineGroup type="column" dateAxis="1" displayEmptyCellsAs="gap" markers="1" high="1" low="1" first="1" last="1" negative="1" xr2:uid="{9A5423CA-A8BE-450A-A1F0-3BE57C5E8F4E}">
          <x14:colorSeries rgb="FF376092"/>
          <x14:colorNegative rgb="FFD00000"/>
          <x14:colorAxis rgb="FF000000"/>
          <x14:colorMarkers rgb="FFD00000"/>
          <x14:colorFirst rgb="FFD00000"/>
          <x14:colorLast rgb="FFD00000"/>
          <x14:colorHigh rgb="FFD00000"/>
          <x14:colorLow rgb="FFD00000"/>
          <xm:f>情绪!A3:A54</xm:f>
          <x14:sparklines>
            <x14:sparkline>
              <xm:f>情绪!E3:E54</xm:f>
              <xm:sqref>J5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132" bestFit="1" customWidth="1"/>
    <col min="6" max="6" width="21.35546875" style="114" bestFit="1" customWidth="1"/>
    <col min="7" max="7" width="20.35546875" style="114" bestFit="1" customWidth="1"/>
    <col min="8" max="8" width="12.42578125" style="114" bestFit="1" customWidth="1"/>
    <col min="9" max="9" width="18.42578125" style="114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165" t="s">
        <v>123</v>
      </c>
      <c r="B1" s="166" t="s">
        <v>128</v>
      </c>
      <c r="C1" s="29"/>
      <c r="D1" s="131" t="s">
        <v>76</v>
      </c>
      <c r="E1" s="133" t="s">
        <v>706</v>
      </c>
      <c r="F1" s="30" t="s">
        <v>91</v>
      </c>
      <c r="G1" s="30" t="s">
        <v>98</v>
      </c>
      <c r="H1" s="30" t="s">
        <v>106</v>
      </c>
      <c r="I1" s="30" t="s">
        <v>86</v>
      </c>
      <c r="J1" s="30" t="s">
        <v>671</v>
      </c>
      <c r="K1" s="31" t="s">
        <v>675</v>
      </c>
    </row>
    <row r="2" spans="1:13" ht="71.599999999999994" customHeight="1" x14ac:dyDescent="0.35">
      <c r="A2" s="165"/>
      <c r="B2" s="166"/>
      <c r="C2" s="167" t="s">
        <v>126</v>
      </c>
      <c r="D2" s="113" t="s">
        <v>676</v>
      </c>
      <c r="E2" s="122" t="s">
        <v>726</v>
      </c>
      <c r="F2" s="122" t="s">
        <v>709</v>
      </c>
      <c r="G2" s="122" t="s">
        <v>677</v>
      </c>
      <c r="H2" s="112" t="s">
        <v>710</v>
      </c>
      <c r="I2" s="112" t="s">
        <v>723</v>
      </c>
      <c r="J2" s="32" t="s">
        <v>727</v>
      </c>
      <c r="K2" s="169" t="s">
        <v>703</v>
      </c>
    </row>
    <row r="3" spans="1:13" ht="70.75" x14ac:dyDescent="0.35">
      <c r="A3" s="165"/>
      <c r="B3" s="166"/>
      <c r="C3" s="167"/>
      <c r="D3" s="113" t="s">
        <v>678</v>
      </c>
      <c r="E3" s="122" t="s">
        <v>714</v>
      </c>
      <c r="F3" s="122" t="s">
        <v>707</v>
      </c>
      <c r="G3" s="119" t="s">
        <v>711</v>
      </c>
      <c r="H3" s="122" t="s">
        <v>713</v>
      </c>
      <c r="I3" s="112" t="s">
        <v>722</v>
      </c>
      <c r="J3" s="124" t="s">
        <v>806</v>
      </c>
      <c r="K3" s="169"/>
    </row>
    <row r="4" spans="1:13" ht="70.75" x14ac:dyDescent="0.35">
      <c r="A4" s="165"/>
      <c r="B4" s="166"/>
      <c r="C4" s="167"/>
      <c r="D4" s="113" t="s">
        <v>697</v>
      </c>
      <c r="E4" s="122" t="s">
        <v>721</v>
      </c>
      <c r="F4" s="122" t="s">
        <v>739</v>
      </c>
      <c r="G4" s="122" t="s">
        <v>738</v>
      </c>
      <c r="H4" s="112" t="s">
        <v>674</v>
      </c>
      <c r="I4" s="112" t="s">
        <v>722</v>
      </c>
      <c r="J4" s="127" t="s">
        <v>708</v>
      </c>
      <c r="K4" s="169"/>
    </row>
    <row r="5" spans="1:13" ht="70.75" x14ac:dyDescent="0.35">
      <c r="A5" s="165"/>
      <c r="B5" s="166"/>
      <c r="C5" s="167"/>
      <c r="D5" s="113" t="s">
        <v>679</v>
      </c>
      <c r="E5" s="122" t="s">
        <v>724</v>
      </c>
      <c r="F5" s="122" t="s">
        <v>725</v>
      </c>
      <c r="G5" s="122"/>
      <c r="H5" s="112" t="s">
        <v>731</v>
      </c>
      <c r="I5" s="112" t="s">
        <v>722</v>
      </c>
      <c r="J5" s="127" t="s">
        <v>680</v>
      </c>
      <c r="K5" s="169"/>
    </row>
    <row r="6" spans="1:13" ht="14.15" customHeight="1" x14ac:dyDescent="0.35">
      <c r="A6" s="165"/>
      <c r="B6" s="168" t="s">
        <v>127</v>
      </c>
      <c r="C6" s="170" t="s">
        <v>87</v>
      </c>
      <c r="D6" s="113" t="s">
        <v>72</v>
      </c>
      <c r="E6" s="122" t="s">
        <v>728</v>
      </c>
      <c r="F6" s="122"/>
      <c r="G6" s="122" t="s">
        <v>732</v>
      </c>
      <c r="H6" s="122" t="s">
        <v>730</v>
      </c>
      <c r="I6" s="173" t="s">
        <v>121</v>
      </c>
      <c r="J6" s="32" t="s">
        <v>110</v>
      </c>
      <c r="K6" s="169" t="s">
        <v>702</v>
      </c>
      <c r="M6"/>
    </row>
    <row r="7" spans="1:13" ht="14.15" customHeight="1" x14ac:dyDescent="0.35">
      <c r="A7" s="165"/>
      <c r="B7" s="168"/>
      <c r="C7" s="170"/>
      <c r="D7" s="113" t="s">
        <v>73</v>
      </c>
      <c r="E7" s="122" t="s">
        <v>728</v>
      </c>
      <c r="F7" s="122" t="s">
        <v>733</v>
      </c>
      <c r="G7" s="122"/>
      <c r="H7" s="122"/>
      <c r="I7" s="164"/>
      <c r="J7" s="32" t="s">
        <v>118</v>
      </c>
      <c r="K7" s="171"/>
    </row>
    <row r="8" spans="1:13" ht="14.15" customHeight="1" x14ac:dyDescent="0.35">
      <c r="A8" s="165"/>
      <c r="B8" s="168"/>
      <c r="C8" s="170"/>
      <c r="D8" s="113" t="s">
        <v>74</v>
      </c>
      <c r="E8" s="122" t="s">
        <v>728</v>
      </c>
      <c r="F8" s="122"/>
      <c r="G8" s="122"/>
      <c r="H8" s="122"/>
      <c r="I8" s="164"/>
      <c r="J8" s="32" t="s">
        <v>116</v>
      </c>
      <c r="K8" s="171"/>
    </row>
    <row r="9" spans="1:13" ht="14.15" customHeight="1" x14ac:dyDescent="0.35">
      <c r="A9" s="165"/>
      <c r="B9" s="168"/>
      <c r="C9" s="170"/>
      <c r="D9" s="113" t="s">
        <v>75</v>
      </c>
      <c r="E9" s="122" t="s">
        <v>728</v>
      </c>
      <c r="F9" s="122"/>
      <c r="G9" s="122"/>
      <c r="H9" s="122"/>
      <c r="I9" s="164"/>
      <c r="J9" s="32" t="s">
        <v>115</v>
      </c>
      <c r="K9" s="171"/>
    </row>
    <row r="10" spans="1:13" ht="14.15" customHeight="1" x14ac:dyDescent="0.35">
      <c r="A10" s="165"/>
      <c r="B10" s="168"/>
      <c r="C10" s="170"/>
      <c r="D10" s="113" t="s">
        <v>81</v>
      </c>
      <c r="E10" s="122" t="s">
        <v>728</v>
      </c>
      <c r="F10" s="122"/>
      <c r="G10" s="122"/>
      <c r="H10" s="122"/>
      <c r="I10" s="164"/>
      <c r="J10" s="32" t="s">
        <v>119</v>
      </c>
      <c r="K10" s="171"/>
    </row>
    <row r="11" spans="1:13" ht="14.15" customHeight="1" x14ac:dyDescent="0.35">
      <c r="A11" s="165"/>
      <c r="B11" s="168"/>
      <c r="C11" s="170"/>
      <c r="D11" s="113" t="s">
        <v>699</v>
      </c>
      <c r="E11" s="122" t="s">
        <v>729</v>
      </c>
      <c r="F11" s="122"/>
      <c r="G11" s="122"/>
      <c r="H11" s="122"/>
      <c r="I11" s="164"/>
      <c r="J11" s="32" t="s">
        <v>698</v>
      </c>
      <c r="K11" s="171"/>
    </row>
    <row r="12" spans="1:13" ht="14.15" customHeight="1" x14ac:dyDescent="0.35">
      <c r="A12" s="165"/>
      <c r="B12" s="168"/>
      <c r="C12" s="174" t="s">
        <v>88</v>
      </c>
      <c r="D12" s="113" t="s">
        <v>77</v>
      </c>
      <c r="F12" s="124"/>
      <c r="G12" s="124"/>
      <c r="H12" s="124"/>
      <c r="I12" s="164"/>
      <c r="J12" s="32" t="s">
        <v>104</v>
      </c>
      <c r="K12" s="171"/>
    </row>
    <row r="13" spans="1:13" ht="14.15" customHeight="1" x14ac:dyDescent="0.35">
      <c r="A13" s="165"/>
      <c r="B13" s="168"/>
      <c r="C13" s="174"/>
      <c r="D13" s="113" t="s">
        <v>78</v>
      </c>
      <c r="F13" s="124"/>
      <c r="G13" s="124" t="s">
        <v>672</v>
      </c>
      <c r="H13" s="124" t="s">
        <v>674</v>
      </c>
      <c r="I13" s="164"/>
      <c r="J13" s="32" t="s">
        <v>105</v>
      </c>
      <c r="K13" s="171"/>
    </row>
    <row r="14" spans="1:13" ht="14.15" customHeight="1" x14ac:dyDescent="0.35">
      <c r="A14" s="165"/>
      <c r="B14" s="168"/>
      <c r="C14" s="174"/>
      <c r="D14" s="113" t="s">
        <v>79</v>
      </c>
      <c r="F14" s="124"/>
      <c r="G14" s="124"/>
      <c r="H14" s="124"/>
      <c r="I14" s="164"/>
      <c r="J14" s="32" t="s">
        <v>673</v>
      </c>
      <c r="K14" s="171"/>
    </row>
    <row r="15" spans="1:13" ht="14.15" customHeight="1" x14ac:dyDescent="0.35">
      <c r="A15" s="165"/>
      <c r="B15" s="168"/>
      <c r="C15" s="174"/>
      <c r="D15" s="113" t="s">
        <v>80</v>
      </c>
      <c r="F15" s="124"/>
      <c r="G15" s="124"/>
      <c r="H15" s="124"/>
      <c r="I15" s="164"/>
      <c r="J15" s="32" t="s">
        <v>111</v>
      </c>
      <c r="K15" s="171"/>
    </row>
    <row r="16" spans="1:13" ht="14.15" customHeight="1" x14ac:dyDescent="0.35">
      <c r="A16" s="165"/>
      <c r="B16" s="168"/>
      <c r="C16" s="174"/>
      <c r="D16" s="113" t="s">
        <v>82</v>
      </c>
      <c r="F16" s="124"/>
      <c r="G16" s="124"/>
      <c r="H16" s="124"/>
      <c r="I16" s="164"/>
      <c r="J16" s="32" t="s">
        <v>122</v>
      </c>
      <c r="K16" s="171"/>
    </row>
    <row r="17" spans="1:16" ht="14.15" customHeight="1" x14ac:dyDescent="0.35">
      <c r="A17" s="165"/>
      <c r="B17" s="168"/>
      <c r="C17" s="174"/>
      <c r="D17" s="113" t="s">
        <v>83</v>
      </c>
      <c r="F17" s="124"/>
      <c r="G17" s="124"/>
      <c r="H17" s="124"/>
      <c r="I17" s="164"/>
      <c r="J17" s="32"/>
      <c r="K17" s="171"/>
    </row>
    <row r="18" spans="1:16" ht="14.15" customHeight="1" x14ac:dyDescent="0.35">
      <c r="A18" s="165"/>
      <c r="B18" s="168"/>
      <c r="C18" s="174"/>
      <c r="D18" s="113" t="s">
        <v>84</v>
      </c>
      <c r="F18" s="124" t="s">
        <v>735</v>
      </c>
      <c r="G18" s="124" t="s">
        <v>734</v>
      </c>
      <c r="H18" s="124"/>
      <c r="I18" s="164"/>
      <c r="J18" s="32" t="s">
        <v>108</v>
      </c>
      <c r="K18" s="171"/>
    </row>
    <row r="19" spans="1:16" ht="14.15" customHeight="1" x14ac:dyDescent="0.35">
      <c r="A19" s="165"/>
      <c r="B19" s="168"/>
      <c r="C19" s="174"/>
      <c r="D19" s="113" t="s">
        <v>113</v>
      </c>
      <c r="F19" s="124"/>
      <c r="G19" s="124"/>
      <c r="H19" s="124"/>
      <c r="I19" s="164"/>
      <c r="J19" s="32" t="s">
        <v>114</v>
      </c>
      <c r="K19" s="171"/>
    </row>
    <row r="20" spans="1:16" ht="14.15" customHeight="1" x14ac:dyDescent="0.35">
      <c r="A20" s="165"/>
      <c r="B20" s="168"/>
      <c r="C20" s="174"/>
      <c r="D20" s="113" t="s">
        <v>85</v>
      </c>
      <c r="F20" s="124"/>
      <c r="G20" s="124"/>
      <c r="H20" s="124"/>
      <c r="I20" s="164"/>
      <c r="J20" s="32" t="s">
        <v>117</v>
      </c>
      <c r="K20" s="171"/>
    </row>
    <row r="21" spans="1:16" ht="14.15" customHeight="1" x14ac:dyDescent="0.35">
      <c r="A21" s="165"/>
      <c r="B21" s="168"/>
      <c r="C21" s="174"/>
      <c r="D21" s="113" t="s">
        <v>92</v>
      </c>
      <c r="E21" s="132" t="s">
        <v>736</v>
      </c>
      <c r="F21" s="124"/>
      <c r="G21" s="124"/>
      <c r="H21" s="124"/>
      <c r="I21" s="164"/>
      <c r="J21" s="32" t="s">
        <v>109</v>
      </c>
      <c r="K21" s="171"/>
    </row>
    <row r="22" spans="1:16" ht="14.15" customHeight="1" x14ac:dyDescent="0.35">
      <c r="A22" s="165"/>
      <c r="B22" s="168"/>
      <c r="C22" s="174"/>
      <c r="D22" s="113" t="s">
        <v>90</v>
      </c>
      <c r="F22" s="124"/>
      <c r="G22" s="124"/>
      <c r="H22" s="124"/>
      <c r="I22" s="164"/>
      <c r="J22" s="32" t="s">
        <v>670</v>
      </c>
      <c r="K22" s="171"/>
    </row>
    <row r="23" spans="1:16" ht="14.15" customHeight="1" x14ac:dyDescent="0.35">
      <c r="A23" s="165"/>
      <c r="B23" s="167"/>
      <c r="C23" s="172" t="s">
        <v>737</v>
      </c>
      <c r="D23" s="113" t="s">
        <v>96</v>
      </c>
      <c r="F23" s="124"/>
      <c r="G23" s="124" t="s">
        <v>99</v>
      </c>
      <c r="H23" s="124"/>
      <c r="J23" s="32" t="s">
        <v>99</v>
      </c>
      <c r="K23" s="132"/>
    </row>
    <row r="24" spans="1:16" ht="70.75" x14ac:dyDescent="0.35">
      <c r="A24" s="165"/>
      <c r="B24" s="167"/>
      <c r="C24" s="172"/>
      <c r="D24" s="113" t="s">
        <v>399</v>
      </c>
      <c r="F24" s="124" t="s">
        <v>400</v>
      </c>
      <c r="G24" s="124"/>
      <c r="H24" s="124"/>
      <c r="J24" s="32" t="s">
        <v>400</v>
      </c>
      <c r="K24" s="132"/>
    </row>
    <row r="25" spans="1:16" x14ac:dyDescent="0.35">
      <c r="A25" s="165"/>
      <c r="B25" s="167"/>
      <c r="C25" s="172"/>
      <c r="D25" s="119" t="s">
        <v>93</v>
      </c>
      <c r="F25" s="124"/>
      <c r="G25" s="124"/>
      <c r="H25" s="124"/>
      <c r="I25" s="120"/>
      <c r="J25" s="124" t="s">
        <v>120</v>
      </c>
      <c r="K25" s="132"/>
    </row>
    <row r="26" spans="1:16" ht="14.15" customHeight="1" x14ac:dyDescent="0.35">
      <c r="A26" s="165"/>
      <c r="B26" s="167"/>
      <c r="C26" s="172"/>
      <c r="D26" s="113" t="s">
        <v>94</v>
      </c>
      <c r="F26" s="124"/>
      <c r="G26" s="124"/>
      <c r="H26" s="124"/>
      <c r="J26" s="32" t="s">
        <v>101</v>
      </c>
      <c r="K26" s="132"/>
    </row>
    <row r="27" spans="1:16" ht="14.15" customHeight="1" x14ac:dyDescent="0.35">
      <c r="A27" s="165"/>
      <c r="B27" s="167"/>
      <c r="C27" s="172"/>
      <c r="D27" s="113" t="s">
        <v>95</v>
      </c>
      <c r="F27" s="124"/>
      <c r="G27" s="124" t="s">
        <v>100</v>
      </c>
      <c r="H27" s="124"/>
      <c r="J27" s="32" t="s">
        <v>97</v>
      </c>
      <c r="K27" s="132"/>
    </row>
    <row r="28" spans="1:16" ht="14.15" customHeight="1" x14ac:dyDescent="0.35">
      <c r="A28" s="165"/>
      <c r="B28" s="167"/>
      <c r="C28" s="130"/>
      <c r="D28" s="119" t="s">
        <v>89</v>
      </c>
      <c r="F28" s="124"/>
      <c r="G28" s="124"/>
      <c r="H28" s="124"/>
      <c r="I28" s="120"/>
      <c r="J28" s="32" t="s">
        <v>112</v>
      </c>
      <c r="K28" s="132"/>
    </row>
    <row r="29" spans="1:16" ht="16.3" customHeight="1" x14ac:dyDescent="0.35">
      <c r="A29" s="165"/>
      <c r="B29" s="167"/>
      <c r="C29" s="129" t="s">
        <v>700</v>
      </c>
      <c r="D29" s="113" t="s">
        <v>705</v>
      </c>
      <c r="F29" s="124"/>
      <c r="G29" s="124"/>
      <c r="H29" s="124"/>
      <c r="J29" s="123" t="s">
        <v>704</v>
      </c>
      <c r="K29" s="132"/>
    </row>
    <row r="30" spans="1:16" ht="14.15" customHeight="1" x14ac:dyDescent="0.35">
      <c r="A30" s="165"/>
      <c r="B30" s="167"/>
      <c r="C30" s="128" t="s">
        <v>701</v>
      </c>
      <c r="D30" s="113" t="s">
        <v>103</v>
      </c>
      <c r="F30" s="124"/>
      <c r="G30" s="124"/>
      <c r="H30" s="124"/>
      <c r="J30" s="32" t="s">
        <v>102</v>
      </c>
      <c r="K30" s="132"/>
    </row>
    <row r="31" spans="1:16" ht="13.3" customHeight="1" x14ac:dyDescent="0.35">
      <c r="C31" s="28"/>
      <c r="D31" s="1"/>
      <c r="E31" s="134"/>
      <c r="F31" s="1"/>
      <c r="G31" s="1"/>
      <c r="H31" s="1"/>
      <c r="I31" s="1"/>
      <c r="O31"/>
      <c r="P31"/>
    </row>
    <row r="32" spans="1:16" ht="14.15" customHeight="1" x14ac:dyDescent="0.35">
      <c r="C32" s="28"/>
      <c r="D32" s="1"/>
      <c r="E32" s="134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activeCell="E30" sqref="E30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164" t="s">
        <v>743</v>
      </c>
      <c r="B1" t="s">
        <v>744</v>
      </c>
      <c r="C1" t="s">
        <v>777</v>
      </c>
      <c r="D1" t="s">
        <v>745</v>
      </c>
      <c r="E1" t="s">
        <v>749</v>
      </c>
      <c r="F1" t="s">
        <v>750</v>
      </c>
    </row>
    <row r="2" spans="1:7" ht="17.600000000000001" customHeight="1" x14ac:dyDescent="0.35">
      <c r="A2" s="164"/>
      <c r="C2" t="s">
        <v>758</v>
      </c>
      <c r="D2" t="s">
        <v>496</v>
      </c>
      <c r="E2" t="s">
        <v>751</v>
      </c>
    </row>
    <row r="3" spans="1:7" x14ac:dyDescent="0.35">
      <c r="A3" s="164"/>
      <c r="C3" t="s">
        <v>760</v>
      </c>
      <c r="D3" t="s">
        <v>776</v>
      </c>
      <c r="E3" t="s">
        <v>752</v>
      </c>
      <c r="F3" t="s">
        <v>753</v>
      </c>
      <c r="G3" t="s">
        <v>419</v>
      </c>
    </row>
    <row r="4" spans="1:7" x14ac:dyDescent="0.35">
      <c r="A4" s="164"/>
      <c r="D4" t="s">
        <v>778</v>
      </c>
    </row>
    <row r="5" spans="1:7" x14ac:dyDescent="0.35">
      <c r="A5" s="164"/>
      <c r="D5" t="s">
        <v>779</v>
      </c>
    </row>
    <row r="6" spans="1:7" x14ac:dyDescent="0.35">
      <c r="A6" s="164"/>
    </row>
    <row r="7" spans="1:7" x14ac:dyDescent="0.35">
      <c r="A7" s="164"/>
      <c r="B7" t="s">
        <v>746</v>
      </c>
      <c r="C7" t="s">
        <v>755</v>
      </c>
      <c r="D7" t="s">
        <v>756</v>
      </c>
      <c r="E7" t="s">
        <v>444</v>
      </c>
    </row>
    <row r="8" spans="1:7" x14ac:dyDescent="0.35">
      <c r="A8" s="164"/>
      <c r="C8" s="140"/>
      <c r="D8" t="s">
        <v>757</v>
      </c>
    </row>
    <row r="9" spans="1:7" x14ac:dyDescent="0.35">
      <c r="A9" s="164"/>
      <c r="C9" t="s">
        <v>758</v>
      </c>
      <c r="D9" t="s">
        <v>747</v>
      </c>
      <c r="E9" t="s">
        <v>748</v>
      </c>
      <c r="F9" t="s">
        <v>630</v>
      </c>
    </row>
    <row r="10" spans="1:7" x14ac:dyDescent="0.35">
      <c r="A10" s="164"/>
      <c r="D10" t="s">
        <v>754</v>
      </c>
    </row>
    <row r="11" spans="1:7" x14ac:dyDescent="0.35">
      <c r="A11" s="164"/>
      <c r="D11" t="s">
        <v>759</v>
      </c>
    </row>
    <row r="12" spans="1:7" x14ac:dyDescent="0.35">
      <c r="A12" s="164"/>
      <c r="C12" t="s">
        <v>760</v>
      </c>
      <c r="D12" t="s">
        <v>761</v>
      </c>
      <c r="F12" t="s">
        <v>781</v>
      </c>
    </row>
    <row r="13" spans="1:7" x14ac:dyDescent="0.35">
      <c r="A13" s="164"/>
      <c r="D13" t="s">
        <v>762</v>
      </c>
      <c r="E13" t="s">
        <v>763</v>
      </c>
    </row>
    <row r="14" spans="1:7" x14ac:dyDescent="0.35">
      <c r="A14" s="164"/>
    </row>
    <row r="15" spans="1:7" x14ac:dyDescent="0.35">
      <c r="A15" s="164"/>
      <c r="B15" t="s">
        <v>495</v>
      </c>
      <c r="D15" t="s">
        <v>764</v>
      </c>
    </row>
    <row r="16" spans="1:7" x14ac:dyDescent="0.35">
      <c r="A16" s="164"/>
      <c r="D16" t="s">
        <v>765</v>
      </c>
    </row>
    <row r="17" spans="1:5" x14ac:dyDescent="0.35">
      <c r="A17" s="164"/>
    </row>
    <row r="18" spans="1:5" x14ac:dyDescent="0.35">
      <c r="A18" s="164"/>
      <c r="B18" t="s">
        <v>766</v>
      </c>
      <c r="C18" t="s">
        <v>767</v>
      </c>
      <c r="D18" t="s">
        <v>768</v>
      </c>
    </row>
    <row r="19" spans="1:5" x14ac:dyDescent="0.35">
      <c r="A19" s="164"/>
      <c r="C19" t="s">
        <v>769</v>
      </c>
      <c r="D19" t="s">
        <v>770</v>
      </c>
    </row>
    <row r="20" spans="1:5" x14ac:dyDescent="0.35">
      <c r="A20" s="164"/>
      <c r="C20" t="s">
        <v>771</v>
      </c>
      <c r="D20" t="s">
        <v>772</v>
      </c>
    </row>
    <row r="21" spans="1:5" x14ac:dyDescent="0.35">
      <c r="A21" s="164"/>
    </row>
    <row r="22" spans="1:5" x14ac:dyDescent="0.35">
      <c r="A22" s="164"/>
      <c r="B22" t="s">
        <v>773</v>
      </c>
      <c r="C22" t="s">
        <v>774</v>
      </c>
    </row>
    <row r="23" spans="1:5" x14ac:dyDescent="0.35">
      <c r="A23" s="164"/>
      <c r="C23" t="s">
        <v>775</v>
      </c>
      <c r="E23" t="s">
        <v>780</v>
      </c>
    </row>
    <row r="24" spans="1:5" x14ac:dyDescent="0.35">
      <c r="A24" s="164"/>
    </row>
    <row r="25" spans="1:5" x14ac:dyDescent="0.35">
      <c r="A25" s="164"/>
    </row>
    <row r="26" spans="1:5" x14ac:dyDescent="0.35">
      <c r="A26" s="164"/>
    </row>
    <row r="27" spans="1:5" x14ac:dyDescent="0.35">
      <c r="A27" s="164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workbookViewId="0">
      <selection activeCell="G39" sqref="G39:G46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682</v>
      </c>
      <c r="C1" s="77">
        <v>44877</v>
      </c>
      <c r="D1" s="176" t="s">
        <v>413</v>
      </c>
    </row>
    <row r="2" spans="1:11" x14ac:dyDescent="0.35">
      <c r="C2" s="77">
        <v>44923</v>
      </c>
      <c r="D2" s="176"/>
      <c r="E2" s="176" t="s">
        <v>414</v>
      </c>
    </row>
    <row r="3" spans="1:11" x14ac:dyDescent="0.35">
      <c r="A3">
        <v>2021</v>
      </c>
      <c r="B3" t="s">
        <v>681</v>
      </c>
      <c r="C3" s="77">
        <v>44566</v>
      </c>
      <c r="E3" s="176"/>
      <c r="F3" s="176" t="s">
        <v>415</v>
      </c>
    </row>
    <row r="4" spans="1:11" x14ac:dyDescent="0.35">
      <c r="B4">
        <v>3500</v>
      </c>
      <c r="C4" s="77">
        <v>44574</v>
      </c>
      <c r="D4" s="188" t="s">
        <v>352</v>
      </c>
      <c r="F4" s="176"/>
    </row>
    <row r="5" spans="1:11" x14ac:dyDescent="0.35">
      <c r="C5" s="78">
        <v>44580</v>
      </c>
      <c r="D5" s="188"/>
    </row>
    <row r="6" spans="1:11" x14ac:dyDescent="0.35">
      <c r="C6" s="78">
        <v>44596</v>
      </c>
      <c r="E6" s="188" t="s">
        <v>418</v>
      </c>
      <c r="I6" s="1"/>
    </row>
    <row r="7" spans="1:11" x14ac:dyDescent="0.35">
      <c r="C7" s="78">
        <v>44600</v>
      </c>
      <c r="E7" s="188"/>
      <c r="F7" s="178" t="s">
        <v>417</v>
      </c>
    </row>
    <row r="8" spans="1:11" x14ac:dyDescent="0.35">
      <c r="B8">
        <v>3700</v>
      </c>
      <c r="C8" s="78">
        <v>44616</v>
      </c>
      <c r="E8" s="188"/>
      <c r="F8" s="178"/>
      <c r="G8" s="178" t="s">
        <v>416</v>
      </c>
    </row>
    <row r="9" spans="1:11" x14ac:dyDescent="0.35">
      <c r="C9" s="78">
        <v>44628</v>
      </c>
      <c r="F9" s="178"/>
      <c r="G9" s="178"/>
    </row>
    <row r="10" spans="1:11" x14ac:dyDescent="0.35">
      <c r="B10">
        <v>3300</v>
      </c>
      <c r="C10" s="78">
        <v>44632</v>
      </c>
      <c r="G10" s="181" t="s">
        <v>412</v>
      </c>
    </row>
    <row r="11" spans="1:11" x14ac:dyDescent="0.35">
      <c r="C11" s="77">
        <v>44657</v>
      </c>
      <c r="D11" s="187" t="s">
        <v>419</v>
      </c>
      <c r="G11" s="181"/>
      <c r="H11" s="189" t="s">
        <v>422</v>
      </c>
      <c r="I11" s="178" t="s">
        <v>423</v>
      </c>
    </row>
    <row r="12" spans="1:11" x14ac:dyDescent="0.35">
      <c r="C12" s="77">
        <v>44678</v>
      </c>
      <c r="D12" s="187"/>
      <c r="E12" s="189" t="s">
        <v>420</v>
      </c>
      <c r="F12" s="185" t="s">
        <v>421</v>
      </c>
      <c r="H12" s="189"/>
      <c r="I12" s="178"/>
    </row>
    <row r="13" spans="1:11" x14ac:dyDescent="0.35">
      <c r="C13" s="77">
        <v>44700</v>
      </c>
      <c r="D13" s="187"/>
      <c r="E13" s="189"/>
      <c r="F13" s="185"/>
      <c r="G13" s="186" t="s">
        <v>426</v>
      </c>
      <c r="H13" s="189"/>
      <c r="I13" s="178"/>
      <c r="J13" s="178" t="s">
        <v>424</v>
      </c>
      <c r="K13" s="177" t="s">
        <v>425</v>
      </c>
    </row>
    <row r="14" spans="1:11" x14ac:dyDescent="0.35">
      <c r="C14" s="77"/>
      <c r="D14" s="187"/>
      <c r="E14" s="189"/>
      <c r="F14" s="185"/>
      <c r="G14" s="186"/>
      <c r="H14" s="189"/>
      <c r="I14" s="178"/>
      <c r="J14" s="178"/>
      <c r="K14" s="177"/>
    </row>
    <row r="15" spans="1:11" x14ac:dyDescent="0.35">
      <c r="B15">
        <v>3600</v>
      </c>
      <c r="C15" s="77">
        <v>44720</v>
      </c>
      <c r="E15" s="189"/>
      <c r="F15" s="185"/>
      <c r="G15" s="186"/>
      <c r="H15" s="189"/>
      <c r="J15" s="178"/>
      <c r="K15" s="177"/>
    </row>
    <row r="16" spans="1:11" x14ac:dyDescent="0.35">
      <c r="C16" s="77">
        <v>44729</v>
      </c>
      <c r="E16" s="75"/>
      <c r="F16" s="76"/>
      <c r="G16" s="186"/>
      <c r="H16" s="189"/>
      <c r="J16" s="178"/>
      <c r="K16" s="177"/>
    </row>
    <row r="17" spans="1:14" x14ac:dyDescent="0.35">
      <c r="C17" s="77">
        <v>44736</v>
      </c>
      <c r="F17" s="33"/>
      <c r="H17" s="189"/>
      <c r="K17" s="186" t="s">
        <v>431</v>
      </c>
    </row>
    <row r="18" spans="1:14" x14ac:dyDescent="0.35">
      <c r="C18" s="77">
        <v>44743</v>
      </c>
      <c r="G18" s="185" t="s">
        <v>427</v>
      </c>
      <c r="H18" s="189"/>
      <c r="I18" s="189" t="s">
        <v>428</v>
      </c>
      <c r="J18" s="185" t="s">
        <v>429</v>
      </c>
      <c r="K18" s="186"/>
    </row>
    <row r="19" spans="1:14" x14ac:dyDescent="0.35">
      <c r="B19">
        <v>3300</v>
      </c>
      <c r="G19" s="185"/>
      <c r="I19" s="189"/>
      <c r="J19" s="185"/>
      <c r="K19" s="186"/>
    </row>
    <row r="20" spans="1:14" x14ac:dyDescent="0.35">
      <c r="C20" s="77">
        <v>44779</v>
      </c>
      <c r="G20" s="185"/>
      <c r="I20" s="189"/>
      <c r="J20" s="185"/>
      <c r="K20" s="186"/>
      <c r="L20" s="189" t="s">
        <v>430</v>
      </c>
    </row>
    <row r="21" spans="1:14" x14ac:dyDescent="0.35">
      <c r="C21" s="77"/>
      <c r="G21" s="185"/>
      <c r="I21" s="189"/>
      <c r="J21" s="185"/>
      <c r="K21" s="186"/>
      <c r="L21" s="189"/>
    </row>
    <row r="22" spans="1:14" x14ac:dyDescent="0.35">
      <c r="C22" s="77">
        <v>44805</v>
      </c>
      <c r="G22" s="185"/>
      <c r="I22" s="189"/>
      <c r="J22" s="185"/>
      <c r="K22" s="186"/>
      <c r="L22" s="189"/>
    </row>
    <row r="23" spans="1:14" x14ac:dyDescent="0.35">
      <c r="B23">
        <v>3700</v>
      </c>
      <c r="C23" s="77">
        <v>44818</v>
      </c>
      <c r="G23" s="185"/>
      <c r="K23" s="186"/>
      <c r="L23" s="189"/>
    </row>
    <row r="24" spans="1:14" x14ac:dyDescent="0.35">
      <c r="L24" s="189"/>
    </row>
    <row r="25" spans="1:14" x14ac:dyDescent="0.35">
      <c r="C25" s="77">
        <v>44863</v>
      </c>
      <c r="L25" s="189"/>
    </row>
    <row r="26" spans="1:14" x14ac:dyDescent="0.35">
      <c r="C26" s="77">
        <v>44866</v>
      </c>
      <c r="L26" s="189"/>
    </row>
    <row r="27" spans="1:14" x14ac:dyDescent="0.35">
      <c r="C27" s="77">
        <v>44884</v>
      </c>
      <c r="K27" s="178" t="s">
        <v>432</v>
      </c>
      <c r="L27" s="178" t="s">
        <v>433</v>
      </c>
      <c r="M27" s="177" t="s">
        <v>434</v>
      </c>
    </row>
    <row r="28" spans="1:14" x14ac:dyDescent="0.35">
      <c r="A28">
        <v>2022</v>
      </c>
      <c r="B28" t="s">
        <v>25</v>
      </c>
      <c r="C28" s="77">
        <v>44916</v>
      </c>
      <c r="K28" s="178"/>
      <c r="L28" s="178"/>
      <c r="M28" s="177"/>
      <c r="N28" s="178" t="s">
        <v>435</v>
      </c>
    </row>
    <row r="29" spans="1:14" x14ac:dyDescent="0.35">
      <c r="B29">
        <v>3700</v>
      </c>
      <c r="C29" s="77">
        <v>1</v>
      </c>
      <c r="L29" s="178"/>
      <c r="N29" s="178"/>
    </row>
    <row r="30" spans="1:14" x14ac:dyDescent="0.35">
      <c r="C30" s="77">
        <v>44579</v>
      </c>
      <c r="L30" s="178"/>
      <c r="N30" s="178"/>
    </row>
    <row r="31" spans="1:14" x14ac:dyDescent="0.35">
      <c r="C31" s="77">
        <v>44599</v>
      </c>
      <c r="M31" s="178" t="s">
        <v>125</v>
      </c>
    </row>
    <row r="32" spans="1:14" ht="14.15" customHeight="1" x14ac:dyDescent="0.35">
      <c r="A32" t="s">
        <v>690</v>
      </c>
      <c r="B32" t="s">
        <v>694</v>
      </c>
      <c r="C32" s="77">
        <v>44622</v>
      </c>
      <c r="K32" s="183" t="s">
        <v>684</v>
      </c>
      <c r="M32" s="178"/>
    </row>
    <row r="33" spans="1:20" x14ac:dyDescent="0.35">
      <c r="C33" s="77">
        <v>44631</v>
      </c>
      <c r="K33" s="184"/>
      <c r="M33" s="178"/>
      <c r="N33" s="183" t="s">
        <v>688</v>
      </c>
    </row>
    <row r="34" spans="1:20" x14ac:dyDescent="0.35">
      <c r="C34" s="77">
        <v>44641</v>
      </c>
      <c r="K34" s="184"/>
      <c r="M34" s="178"/>
      <c r="N34" s="184"/>
      <c r="O34" s="178" t="s">
        <v>436</v>
      </c>
      <c r="T34" s="175" t="s">
        <v>124</v>
      </c>
    </row>
    <row r="35" spans="1:20" ht="14.15" customHeight="1" x14ac:dyDescent="0.35">
      <c r="A35" t="s">
        <v>691</v>
      </c>
      <c r="B35" t="s">
        <v>25</v>
      </c>
      <c r="C35" s="77">
        <v>44663</v>
      </c>
      <c r="N35" s="184"/>
      <c r="O35" s="178"/>
      <c r="T35" s="175"/>
    </row>
    <row r="36" spans="1:20" x14ac:dyDescent="0.35">
      <c r="B36">
        <v>2860</v>
      </c>
      <c r="C36" s="77">
        <v>44676</v>
      </c>
      <c r="K36" s="178" t="s">
        <v>439</v>
      </c>
      <c r="L36" s="182" t="s">
        <v>689</v>
      </c>
      <c r="M36" s="178" t="s">
        <v>125</v>
      </c>
      <c r="N36" s="178" t="s">
        <v>437</v>
      </c>
      <c r="O36" s="178"/>
      <c r="T36" s="175"/>
    </row>
    <row r="37" spans="1:20" x14ac:dyDescent="0.35">
      <c r="C37" s="77">
        <v>44694</v>
      </c>
      <c r="I37" s="175" t="s">
        <v>443</v>
      </c>
      <c r="J37" s="179" t="s">
        <v>687</v>
      </c>
      <c r="K37" s="178"/>
      <c r="L37" s="177"/>
      <c r="M37" s="178"/>
      <c r="N37" s="178"/>
      <c r="O37" s="178"/>
      <c r="P37" s="177" t="s">
        <v>685</v>
      </c>
      <c r="R37" s="180" t="s">
        <v>683</v>
      </c>
      <c r="S37" s="178" t="s">
        <v>440</v>
      </c>
      <c r="T37" s="175"/>
    </row>
    <row r="38" spans="1:20" ht="14.15" customHeight="1" x14ac:dyDescent="0.35">
      <c r="A38" t="s">
        <v>692</v>
      </c>
      <c r="B38" t="s">
        <v>695</v>
      </c>
      <c r="C38" s="77">
        <v>44702</v>
      </c>
      <c r="D38" s="176" t="s">
        <v>442</v>
      </c>
      <c r="I38" s="175"/>
      <c r="J38" s="176"/>
      <c r="K38" s="178"/>
      <c r="L38" s="178" t="s">
        <v>438</v>
      </c>
      <c r="M38" s="178"/>
      <c r="N38" s="178"/>
      <c r="O38" s="177" t="s">
        <v>441</v>
      </c>
      <c r="P38" s="177"/>
      <c r="Q38" s="177" t="s">
        <v>686</v>
      </c>
      <c r="R38" s="181"/>
      <c r="S38" s="178"/>
      <c r="T38" s="175"/>
    </row>
    <row r="39" spans="1:20" x14ac:dyDescent="0.35">
      <c r="C39" s="77">
        <v>44721</v>
      </c>
      <c r="D39" s="176"/>
      <c r="E39" s="175" t="s">
        <v>630</v>
      </c>
      <c r="G39" s="177" t="s">
        <v>444</v>
      </c>
      <c r="I39" s="175"/>
      <c r="J39" s="176"/>
      <c r="L39" s="178"/>
      <c r="O39" s="177"/>
      <c r="P39" s="177"/>
      <c r="Q39" s="177"/>
      <c r="R39" s="181"/>
      <c r="S39" s="178"/>
      <c r="T39" s="175"/>
    </row>
    <row r="40" spans="1:20" x14ac:dyDescent="0.35">
      <c r="C40" s="77">
        <v>44725</v>
      </c>
      <c r="D40" s="176"/>
      <c r="E40" s="175"/>
      <c r="G40" s="177"/>
      <c r="H40" s="178" t="s">
        <v>189</v>
      </c>
      <c r="I40" s="175"/>
      <c r="J40" s="176"/>
      <c r="L40" s="115"/>
      <c r="O40" s="177"/>
      <c r="P40" s="116"/>
      <c r="Q40" s="116"/>
      <c r="R40" s="181"/>
      <c r="S40" s="178"/>
      <c r="T40" s="117"/>
    </row>
    <row r="41" spans="1:20" x14ac:dyDescent="0.35">
      <c r="A41" s="125" t="s">
        <v>693</v>
      </c>
      <c r="B41">
        <v>3316</v>
      </c>
      <c r="C41" s="77">
        <v>44729</v>
      </c>
      <c r="D41" s="176"/>
      <c r="E41" s="175"/>
      <c r="G41" s="177"/>
      <c r="H41" s="178"/>
      <c r="I41" s="175"/>
      <c r="J41" s="176"/>
      <c r="O41" s="177"/>
      <c r="R41" s="181"/>
      <c r="S41" s="178"/>
    </row>
    <row r="42" spans="1:20" x14ac:dyDescent="0.35">
      <c r="D42" s="176"/>
      <c r="E42" s="175"/>
      <c r="G42" s="177"/>
      <c r="H42" s="178"/>
      <c r="I42" s="175"/>
      <c r="J42" s="176"/>
      <c r="O42" s="177"/>
      <c r="R42" s="181"/>
      <c r="S42" s="178"/>
    </row>
    <row r="43" spans="1:20" x14ac:dyDescent="0.35">
      <c r="A43" s="126" t="s">
        <v>696</v>
      </c>
      <c r="D43" s="176"/>
      <c r="E43" s="175"/>
      <c r="G43" s="177"/>
      <c r="H43" s="178"/>
      <c r="I43" s="175"/>
      <c r="J43" s="176"/>
      <c r="O43" s="177"/>
      <c r="R43" s="181"/>
      <c r="S43" s="178"/>
    </row>
    <row r="44" spans="1:20" x14ac:dyDescent="0.35">
      <c r="D44" s="176"/>
      <c r="E44" s="175"/>
      <c r="G44" s="177"/>
      <c r="H44" s="178"/>
      <c r="I44" s="175"/>
      <c r="J44" s="176"/>
      <c r="O44" s="177"/>
      <c r="R44" s="181"/>
      <c r="S44" s="178"/>
    </row>
    <row r="45" spans="1:20" x14ac:dyDescent="0.35">
      <c r="D45" s="176"/>
      <c r="E45" s="175"/>
      <c r="G45" s="177"/>
      <c r="H45" s="178"/>
      <c r="I45" s="175"/>
      <c r="J45" s="176"/>
      <c r="R45" s="181"/>
      <c r="S45" s="178"/>
    </row>
    <row r="46" spans="1:20" x14ac:dyDescent="0.35">
      <c r="D46" s="176"/>
      <c r="E46" s="175"/>
      <c r="G46" s="177"/>
      <c r="H46" s="178"/>
      <c r="I46" s="175"/>
      <c r="J46" s="176"/>
      <c r="R46" s="181"/>
    </row>
    <row r="47" spans="1:20" x14ac:dyDescent="0.35">
      <c r="E47" s="175"/>
      <c r="H47" s="178"/>
      <c r="I47" s="175"/>
      <c r="J47" s="176"/>
      <c r="R47" s="181"/>
    </row>
    <row r="48" spans="1:20" x14ac:dyDescent="0.35">
      <c r="E48" s="175"/>
      <c r="H48" s="178"/>
    </row>
    <row r="49" spans="5:8" x14ac:dyDescent="0.35">
      <c r="E49" s="175"/>
      <c r="H49" s="178"/>
    </row>
    <row r="50" spans="5:8" x14ac:dyDescent="0.35">
      <c r="E50" s="175"/>
    </row>
  </sheetData>
  <mergeCells count="46">
    <mergeCell ref="H11:H18"/>
    <mergeCell ref="I18:I22"/>
    <mergeCell ref="J18:J22"/>
    <mergeCell ref="K17:K23"/>
    <mergeCell ref="J13:J16"/>
    <mergeCell ref="K13:K16"/>
    <mergeCell ref="I11:I14"/>
    <mergeCell ref="L20:L26"/>
    <mergeCell ref="M31:M34"/>
    <mergeCell ref="K27:K28"/>
    <mergeCell ref="L27:L30"/>
    <mergeCell ref="M27:M28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36:L37"/>
    <mergeCell ref="N33:N35"/>
    <mergeCell ref="K32:K34"/>
    <mergeCell ref="T34:T39"/>
    <mergeCell ref="N28:N30"/>
    <mergeCell ref="E39:E50"/>
    <mergeCell ref="D38:D46"/>
    <mergeCell ref="I37:I47"/>
    <mergeCell ref="G39:G4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</mergeCells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42010-B0D4-478F-8EB0-D45BEE5B1AD9}">
  <dimension ref="A1:S20"/>
  <sheetViews>
    <sheetView workbookViewId="0">
      <selection activeCell="A9" sqref="A9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12.28515625" bestFit="1" customWidth="1"/>
    <col min="4" max="4" width="32.78515625" bestFit="1" customWidth="1"/>
    <col min="5" max="5" width="6.7109375" bestFit="1" customWidth="1"/>
    <col min="6" max="6" width="10.210937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6.7109375" bestFit="1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134" bestFit="1" customWidth="1"/>
  </cols>
  <sheetData>
    <row r="1" spans="1:19" ht="14.15" customHeight="1" x14ac:dyDescent="0.35">
      <c r="A1" s="163" t="s">
        <v>138</v>
      </c>
      <c r="B1" s="163"/>
      <c r="C1" s="163"/>
      <c r="D1" s="163"/>
      <c r="E1" s="162" t="s">
        <v>4</v>
      </c>
      <c r="F1" s="162"/>
      <c r="G1" s="162"/>
      <c r="H1" s="162"/>
      <c r="I1" s="162"/>
      <c r="J1" s="162"/>
      <c r="K1" s="162"/>
      <c r="L1" s="162"/>
      <c r="M1" s="162"/>
      <c r="N1" s="162"/>
      <c r="O1" s="154"/>
      <c r="P1" s="154"/>
      <c r="Q1" s="154"/>
    </row>
    <row r="2" spans="1:19" ht="13.75" customHeight="1" x14ac:dyDescent="0.35">
      <c r="A2" s="147" t="s">
        <v>130</v>
      </c>
      <c r="B2" s="147" t="s">
        <v>137</v>
      </c>
      <c r="C2" s="50" t="s">
        <v>602</v>
      </c>
      <c r="D2" s="147" t="s">
        <v>131</v>
      </c>
      <c r="E2" s="104" t="s">
        <v>629</v>
      </c>
      <c r="F2" s="104" t="s">
        <v>782</v>
      </c>
      <c r="G2" s="87" t="s">
        <v>627</v>
      </c>
      <c r="H2" s="87" t="s">
        <v>506</v>
      </c>
      <c r="I2" s="51" t="s">
        <v>203</v>
      </c>
      <c r="J2" s="51" t="s">
        <v>149</v>
      </c>
      <c r="K2" s="51" t="s">
        <v>152</v>
      </c>
      <c r="L2" s="51" t="s">
        <v>153</v>
      </c>
      <c r="M2" s="51" t="s">
        <v>376</v>
      </c>
      <c r="N2" s="51" t="s">
        <v>150</v>
      </c>
      <c r="O2" s="17" t="s">
        <v>612</v>
      </c>
      <c r="P2" s="134">
        <v>1</v>
      </c>
      <c r="S2"/>
    </row>
    <row r="3" spans="1:19" x14ac:dyDescent="0.35">
      <c r="A3" s="92" t="s">
        <v>155</v>
      </c>
      <c r="B3" s="92" t="s">
        <v>783</v>
      </c>
      <c r="C3" s="93">
        <v>6194175400</v>
      </c>
      <c r="D3" s="92" t="s">
        <v>586</v>
      </c>
      <c r="E3" s="138"/>
      <c r="F3" s="153" t="s">
        <v>818</v>
      </c>
      <c r="G3" s="138"/>
      <c r="H3" s="138"/>
      <c r="I3" s="138"/>
      <c r="J3" s="138"/>
      <c r="K3" s="138"/>
      <c r="L3" s="138"/>
      <c r="M3" s="138"/>
      <c r="N3" s="138"/>
      <c r="O3" s="17" t="s">
        <v>613</v>
      </c>
      <c r="P3" s="134">
        <v>2</v>
      </c>
      <c r="S3"/>
    </row>
    <row r="4" spans="1:19" x14ac:dyDescent="0.35">
      <c r="A4" s="92" t="s">
        <v>211</v>
      </c>
      <c r="B4" s="92" t="s">
        <v>784</v>
      </c>
      <c r="C4" s="93">
        <v>7505003200</v>
      </c>
      <c r="D4" s="92" t="s">
        <v>160</v>
      </c>
      <c r="E4" s="138" t="s">
        <v>621</v>
      </c>
      <c r="F4" s="138"/>
      <c r="G4" s="138"/>
      <c r="H4" s="138"/>
      <c r="I4" s="138"/>
      <c r="J4" s="138"/>
      <c r="K4" s="138"/>
      <c r="L4" s="138"/>
      <c r="M4" s="138"/>
      <c r="N4" s="138"/>
      <c r="O4" s="17" t="s">
        <v>615</v>
      </c>
      <c r="P4" s="141" t="s">
        <v>616</v>
      </c>
      <c r="S4"/>
    </row>
    <row r="5" spans="1:19" x14ac:dyDescent="0.35">
      <c r="A5" s="150" t="s">
        <v>454</v>
      </c>
      <c r="B5" s="150">
        <v>9</v>
      </c>
      <c r="C5" s="151">
        <v>9099941400</v>
      </c>
      <c r="D5" s="150" t="s">
        <v>794</v>
      </c>
      <c r="E5" s="153" t="s">
        <v>818</v>
      </c>
      <c r="F5" s="139"/>
      <c r="G5" s="139"/>
      <c r="H5" s="139"/>
      <c r="I5" s="139"/>
      <c r="J5" s="139"/>
      <c r="K5" s="139"/>
      <c r="L5" s="139"/>
      <c r="M5" s="139"/>
      <c r="N5" s="139"/>
      <c r="O5" s="17" t="s">
        <v>788</v>
      </c>
      <c r="P5" s="134"/>
      <c r="S5"/>
    </row>
    <row r="6" spans="1:19" ht="14.15" customHeight="1" x14ac:dyDescent="0.35">
      <c r="A6" s="146" t="s">
        <v>643</v>
      </c>
      <c r="B6" s="146">
        <v>6</v>
      </c>
      <c r="C6" s="151">
        <v>3797236000</v>
      </c>
      <c r="D6" s="146" t="s">
        <v>644</v>
      </c>
      <c r="E6" s="139"/>
      <c r="F6" s="138" t="s">
        <v>618</v>
      </c>
      <c r="G6" s="139"/>
      <c r="H6" s="139"/>
      <c r="I6" s="139"/>
      <c r="J6" s="139"/>
      <c r="K6" s="139"/>
      <c r="L6" s="139"/>
      <c r="M6" s="139"/>
      <c r="N6" s="139"/>
      <c r="O6" s="17" t="s">
        <v>790</v>
      </c>
      <c r="P6" s="134"/>
      <c r="S6"/>
    </row>
    <row r="7" spans="1:19" x14ac:dyDescent="0.35">
      <c r="A7" s="146" t="s">
        <v>649</v>
      </c>
      <c r="B7" s="146">
        <v>6</v>
      </c>
      <c r="C7" s="151">
        <v>5819881500</v>
      </c>
      <c r="D7" s="146" t="s">
        <v>650</v>
      </c>
      <c r="E7" s="139"/>
      <c r="F7" s="143" t="s">
        <v>740</v>
      </c>
      <c r="G7" s="139"/>
      <c r="H7" s="139"/>
      <c r="I7" s="139"/>
      <c r="J7" s="139"/>
      <c r="K7" s="139"/>
      <c r="L7" s="139"/>
      <c r="M7" s="139"/>
      <c r="N7" s="139"/>
      <c r="P7" s="134"/>
      <c r="S7"/>
    </row>
    <row r="8" spans="1:19" s="62" customFormat="1" x14ac:dyDescent="0.35">
      <c r="A8" s="146" t="s">
        <v>795</v>
      </c>
      <c r="B8" s="146">
        <v>5</v>
      </c>
      <c r="C8" s="151">
        <v>2736183200</v>
      </c>
      <c r="D8" s="146" t="s">
        <v>796</v>
      </c>
      <c r="E8" s="139"/>
      <c r="F8" s="139"/>
      <c r="G8" s="139"/>
      <c r="H8" s="139"/>
      <c r="I8" s="139"/>
      <c r="J8" s="139"/>
      <c r="K8" s="139"/>
      <c r="L8" s="139"/>
      <c r="M8" s="139"/>
      <c r="N8" s="139"/>
      <c r="O8" s="17" t="s">
        <v>617</v>
      </c>
      <c r="P8" s="141" t="s">
        <v>624</v>
      </c>
    </row>
    <row r="9" spans="1:19" x14ac:dyDescent="0.35">
      <c r="A9" s="146" t="s">
        <v>797</v>
      </c>
      <c r="B9" s="146">
        <v>4</v>
      </c>
      <c r="C9" s="151">
        <v>5233591600</v>
      </c>
      <c r="D9" s="146" t="s">
        <v>798</v>
      </c>
      <c r="E9" s="139"/>
      <c r="F9" s="139"/>
      <c r="G9" s="139"/>
      <c r="H9" s="139"/>
      <c r="I9" s="139"/>
      <c r="J9" s="139"/>
      <c r="K9" s="139"/>
      <c r="L9" s="139"/>
      <c r="M9" s="139"/>
      <c r="N9" s="139"/>
      <c r="O9" s="62"/>
      <c r="P9" s="134"/>
      <c r="S9"/>
    </row>
    <row r="10" spans="1:19" x14ac:dyDescent="0.35">
      <c r="A10" s="146" t="s">
        <v>799</v>
      </c>
      <c r="B10" s="146">
        <v>3</v>
      </c>
      <c r="C10" s="151">
        <v>5934386000</v>
      </c>
      <c r="D10" s="146" t="s">
        <v>800</v>
      </c>
      <c r="E10" s="139"/>
      <c r="F10" s="139"/>
      <c r="G10" s="139"/>
      <c r="H10" s="139"/>
      <c r="I10" s="139"/>
      <c r="J10" s="139"/>
      <c r="K10" s="139"/>
      <c r="L10" s="139"/>
      <c r="M10" s="139"/>
      <c r="N10" s="139"/>
      <c r="O10" s="17" t="s">
        <v>785</v>
      </c>
      <c r="P10" s="134">
        <v>8</v>
      </c>
      <c r="S10"/>
    </row>
    <row r="11" spans="1:19" x14ac:dyDescent="0.35">
      <c r="A11" s="146" t="s">
        <v>801</v>
      </c>
      <c r="B11" s="146">
        <v>3</v>
      </c>
      <c r="C11" s="151">
        <v>7678561800</v>
      </c>
      <c r="D11" s="146" t="s">
        <v>802</v>
      </c>
      <c r="E11" s="139"/>
      <c r="F11" s="139"/>
      <c r="G11" s="139"/>
      <c r="H11" s="139"/>
      <c r="I11" s="139"/>
      <c r="J11" s="139"/>
      <c r="K11" s="139"/>
      <c r="L11" s="139"/>
      <c r="M11" s="139"/>
      <c r="N11" s="139"/>
      <c r="O11" s="17"/>
      <c r="P11" s="134"/>
      <c r="S11"/>
    </row>
    <row r="12" spans="1:19" x14ac:dyDescent="0.35">
      <c r="A12" s="146" t="s">
        <v>175</v>
      </c>
      <c r="B12" s="146">
        <v>3</v>
      </c>
      <c r="C12" s="151">
        <v>2589626300</v>
      </c>
      <c r="D12" s="146" t="s">
        <v>803</v>
      </c>
      <c r="E12" s="139"/>
      <c r="F12" s="139"/>
      <c r="G12" s="139"/>
      <c r="H12" s="139"/>
      <c r="I12" s="139"/>
      <c r="J12" s="139"/>
      <c r="K12" s="139"/>
      <c r="L12" s="139"/>
      <c r="M12" s="139"/>
      <c r="N12" s="139"/>
      <c r="O12" s="17"/>
      <c r="P12" s="134"/>
      <c r="S12"/>
    </row>
    <row r="13" spans="1:19" ht="17.600000000000001" x14ac:dyDescent="0.55000000000000004">
      <c r="A13" s="146" t="s">
        <v>804</v>
      </c>
      <c r="B13" s="146">
        <v>3</v>
      </c>
      <c r="C13" s="151">
        <v>5471399000</v>
      </c>
      <c r="D13" s="146" t="s">
        <v>805</v>
      </c>
      <c r="E13" s="139"/>
      <c r="F13" s="139"/>
      <c r="G13" s="139"/>
      <c r="H13" s="139"/>
      <c r="I13" s="139"/>
      <c r="J13" s="139"/>
      <c r="K13" s="139"/>
      <c r="L13" s="139"/>
      <c r="M13" s="139"/>
      <c r="N13" s="139"/>
      <c r="O13" s="109"/>
      <c r="P13" s="134"/>
      <c r="S13"/>
    </row>
    <row r="14" spans="1:19" x14ac:dyDescent="0.35">
      <c r="A14" s="146" t="s">
        <v>808</v>
      </c>
      <c r="B14" s="146">
        <v>2</v>
      </c>
      <c r="C14" s="151">
        <v>4238269500</v>
      </c>
      <c r="D14" s="146" t="s">
        <v>809</v>
      </c>
      <c r="F14" s="139"/>
      <c r="G14" s="139"/>
      <c r="H14" s="139"/>
      <c r="I14" s="139"/>
      <c r="J14" s="139"/>
      <c r="K14" s="139"/>
      <c r="L14" s="139"/>
      <c r="M14" s="139"/>
      <c r="N14" s="139"/>
      <c r="O14" s="17" t="s">
        <v>619</v>
      </c>
      <c r="P14" s="134">
        <v>8</v>
      </c>
      <c r="S14"/>
    </row>
    <row r="15" spans="1:19" x14ac:dyDescent="0.35">
      <c r="A15" s="146" t="s">
        <v>810</v>
      </c>
      <c r="B15" s="146">
        <v>2</v>
      </c>
      <c r="C15" s="151">
        <v>1966436200</v>
      </c>
      <c r="D15" s="146" t="s">
        <v>811</v>
      </c>
      <c r="E15" s="139"/>
      <c r="F15" s="139"/>
      <c r="G15" s="139"/>
      <c r="H15" s="139"/>
      <c r="I15" s="139"/>
      <c r="J15" s="139"/>
      <c r="K15" s="139"/>
      <c r="L15" s="139"/>
      <c r="M15" s="139"/>
      <c r="N15" s="139"/>
      <c r="O15" s="17" t="s">
        <v>620</v>
      </c>
      <c r="P15" s="134">
        <v>9</v>
      </c>
      <c r="Q15" t="s">
        <v>787</v>
      </c>
      <c r="S15"/>
    </row>
    <row r="16" spans="1:19" x14ac:dyDescent="0.35">
      <c r="A16" s="146" t="s">
        <v>812</v>
      </c>
      <c r="B16" s="146">
        <v>2</v>
      </c>
      <c r="C16" s="151">
        <v>862540000</v>
      </c>
      <c r="D16" s="146" t="s">
        <v>813</v>
      </c>
      <c r="E16" s="139"/>
      <c r="F16" s="139"/>
      <c r="G16" s="139"/>
      <c r="H16" s="139"/>
      <c r="I16" s="139"/>
      <c r="J16" s="139"/>
      <c r="K16" s="139"/>
      <c r="L16" s="139"/>
      <c r="M16" s="139"/>
      <c r="N16" s="139"/>
      <c r="O16" s="108" t="s">
        <v>621</v>
      </c>
      <c r="P16" s="142" t="s">
        <v>786</v>
      </c>
      <c r="S16"/>
    </row>
    <row r="17" spans="1:19" x14ac:dyDescent="0.35">
      <c r="A17" s="146" t="s">
        <v>814</v>
      </c>
      <c r="B17" s="146">
        <v>2</v>
      </c>
      <c r="C17" s="151">
        <v>8530702800</v>
      </c>
      <c r="D17" s="146" t="s">
        <v>815</v>
      </c>
      <c r="E17" s="139"/>
      <c r="F17" s="139"/>
      <c r="G17" s="139"/>
      <c r="H17" s="139"/>
      <c r="I17" s="139"/>
      <c r="J17" s="139"/>
      <c r="K17" s="139"/>
      <c r="L17" s="139"/>
      <c r="M17" s="139"/>
      <c r="N17" s="139"/>
      <c r="O17" s="108" t="s">
        <v>819</v>
      </c>
      <c r="P17" s="142"/>
      <c r="S17"/>
    </row>
    <row r="18" spans="1:19" x14ac:dyDescent="0.35">
      <c r="A18" s="146" t="s">
        <v>816</v>
      </c>
      <c r="B18" s="146">
        <v>2</v>
      </c>
      <c r="C18" s="151">
        <v>4647557700</v>
      </c>
      <c r="D18" s="146" t="s">
        <v>817</v>
      </c>
      <c r="E18" s="20"/>
      <c r="F18" s="20"/>
      <c r="G18" s="20"/>
      <c r="H18" s="139"/>
      <c r="I18" s="20"/>
      <c r="J18" s="20"/>
      <c r="K18" s="20"/>
      <c r="L18" s="20"/>
      <c r="M18" s="20"/>
      <c r="N18" s="20"/>
      <c r="O18" s="20" t="s">
        <v>820</v>
      </c>
      <c r="P18" s="134"/>
      <c r="S18"/>
    </row>
    <row r="19" spans="1:19" x14ac:dyDescent="0.35">
      <c r="H19" s="139"/>
    </row>
    <row r="20" spans="1:19" x14ac:dyDescent="0.35">
      <c r="H20" s="139"/>
    </row>
  </sheetData>
  <mergeCells count="2">
    <mergeCell ref="A1:D1"/>
    <mergeCell ref="E1:N1"/>
  </mergeCells>
  <phoneticPr fontId="1" type="noConversion"/>
  <dataValidations count="1">
    <dataValidation type="list" allowBlank="1" showInputMessage="1" showErrorMessage="1" sqref="H3:H20 E3:G13 E15:G17 F14:G14 I3:N17" xr:uid="{53EB1E86-F064-401E-80AA-CF79F55103B4}">
      <formula1>$O$2:$O$17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948B1-3EEE-45C6-803A-3359EC2B7BB0}">
  <dimension ref="A1:T35"/>
  <sheetViews>
    <sheetView workbookViewId="0">
      <selection activeCell="A6" sqref="A6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12.28515625" bestFit="1" customWidth="1"/>
    <col min="4" max="4" width="8.92578125" customWidth="1"/>
    <col min="5" max="5" width="23.140625" customWidth="1"/>
    <col min="6" max="6" width="10.2109375" customWidth="1"/>
    <col min="8" max="8" width="6.7109375" bestFit="1" customWidth="1"/>
    <col min="9" max="9" width="6.78515625" customWidth="1"/>
    <col min="10" max="10" width="10.42578125" customWidth="1"/>
    <col min="11" max="11" width="4.85546875" bestFit="1" customWidth="1"/>
    <col min="12" max="12" width="6.7109375" bestFit="1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134" bestFit="1" customWidth="1"/>
  </cols>
  <sheetData>
    <row r="1" spans="1:20" x14ac:dyDescent="0.35">
      <c r="A1" s="163" t="s">
        <v>138</v>
      </c>
      <c r="B1" s="163"/>
      <c r="C1" s="163"/>
      <c r="D1" s="163"/>
      <c r="E1" s="163"/>
      <c r="F1" s="163"/>
      <c r="G1" s="163"/>
      <c r="H1" s="162" t="s">
        <v>4</v>
      </c>
      <c r="I1" s="162"/>
      <c r="J1" s="162"/>
      <c r="K1" s="162"/>
      <c r="L1" s="162"/>
      <c r="M1" s="162"/>
      <c r="N1" s="162"/>
      <c r="O1" s="162"/>
      <c r="P1" s="162"/>
      <c r="Q1" s="162"/>
    </row>
    <row r="2" spans="1:20" ht="13.75" customHeight="1" x14ac:dyDescent="0.35">
      <c r="A2" s="136" t="s">
        <v>130</v>
      </c>
      <c r="B2" s="136" t="s">
        <v>137</v>
      </c>
      <c r="C2" s="50" t="s">
        <v>602</v>
      </c>
      <c r="D2" s="136" t="s">
        <v>192</v>
      </c>
      <c r="E2" s="136" t="s">
        <v>131</v>
      </c>
      <c r="F2" s="136" t="s">
        <v>148</v>
      </c>
      <c r="G2" s="136" t="s">
        <v>497</v>
      </c>
      <c r="H2" s="87" t="s">
        <v>506</v>
      </c>
      <c r="I2" s="104" t="s">
        <v>629</v>
      </c>
      <c r="J2" s="104" t="s">
        <v>782</v>
      </c>
      <c r="K2" s="87" t="s">
        <v>627</v>
      </c>
      <c r="L2" s="51" t="s">
        <v>203</v>
      </c>
      <c r="M2" s="51" t="s">
        <v>149</v>
      </c>
      <c r="N2" s="51" t="s">
        <v>152</v>
      </c>
      <c r="O2" s="51" t="s">
        <v>153</v>
      </c>
      <c r="P2" s="51" t="s">
        <v>376</v>
      </c>
      <c r="Q2" s="51" t="s">
        <v>150</v>
      </c>
      <c r="R2" s="17" t="s">
        <v>612</v>
      </c>
      <c r="S2" s="134">
        <v>1</v>
      </c>
    </row>
    <row r="3" spans="1:20" x14ac:dyDescent="0.35">
      <c r="A3" s="92" t="s">
        <v>155</v>
      </c>
      <c r="B3" s="92" t="s">
        <v>783</v>
      </c>
      <c r="C3" s="93">
        <v>6194175400</v>
      </c>
      <c r="D3" s="92">
        <v>17.13</v>
      </c>
      <c r="E3" s="92" t="s">
        <v>586</v>
      </c>
      <c r="F3" s="94">
        <v>0.24049999999999999</v>
      </c>
      <c r="G3" s="92">
        <v>2.38</v>
      </c>
      <c r="H3" s="138"/>
      <c r="I3" s="138"/>
      <c r="J3" s="153" t="s">
        <v>818</v>
      </c>
      <c r="K3" s="138"/>
      <c r="L3" s="138"/>
      <c r="M3" s="138"/>
      <c r="N3" s="138"/>
      <c r="O3" s="138"/>
      <c r="P3" s="138"/>
      <c r="Q3" s="138"/>
      <c r="R3" s="17" t="s">
        <v>613</v>
      </c>
      <c r="S3" s="134">
        <v>2</v>
      </c>
    </row>
    <row r="4" spans="1:20" x14ac:dyDescent="0.35">
      <c r="A4" s="92" t="s">
        <v>211</v>
      </c>
      <c r="B4" s="92" t="s">
        <v>784</v>
      </c>
      <c r="C4" s="93">
        <v>7505003200</v>
      </c>
      <c r="D4" s="92">
        <v>13.57</v>
      </c>
      <c r="E4" s="92" t="s">
        <v>160</v>
      </c>
      <c r="F4" s="94">
        <v>0.1404</v>
      </c>
      <c r="G4" s="92">
        <v>9.15</v>
      </c>
      <c r="H4" s="138"/>
      <c r="I4" s="138" t="s">
        <v>621</v>
      </c>
      <c r="J4" s="138"/>
      <c r="K4" s="138"/>
      <c r="L4" s="138"/>
      <c r="M4" s="138"/>
      <c r="N4" s="138"/>
      <c r="O4" s="138"/>
      <c r="P4" s="138"/>
      <c r="Q4" s="138"/>
      <c r="R4" s="17" t="s">
        <v>615</v>
      </c>
      <c r="S4" s="141" t="s">
        <v>616</v>
      </c>
    </row>
    <row r="5" spans="1:20" x14ac:dyDescent="0.35">
      <c r="A5" s="150" t="s">
        <v>454</v>
      </c>
      <c r="B5" s="150">
        <v>9</v>
      </c>
      <c r="C5" s="151">
        <v>9099941400</v>
      </c>
      <c r="D5" s="150">
        <v>14.55</v>
      </c>
      <c r="E5" s="150" t="s">
        <v>794</v>
      </c>
      <c r="F5" s="152">
        <v>0.3594</v>
      </c>
      <c r="G5" s="150">
        <v>0.15</v>
      </c>
      <c r="H5" s="139"/>
      <c r="I5" s="153" t="s">
        <v>818</v>
      </c>
      <c r="J5" s="139"/>
      <c r="K5" s="139"/>
      <c r="L5" s="139"/>
      <c r="M5" s="139"/>
      <c r="N5" s="139"/>
      <c r="O5" s="139"/>
      <c r="P5" s="139"/>
      <c r="Q5" s="139"/>
      <c r="R5" s="17" t="s">
        <v>788</v>
      </c>
    </row>
    <row r="6" spans="1:20" ht="14.15" customHeight="1" x14ac:dyDescent="0.35">
      <c r="A6" s="146" t="s">
        <v>643</v>
      </c>
      <c r="B6" s="146">
        <v>2</v>
      </c>
      <c r="C6" s="46">
        <v>2594151300</v>
      </c>
      <c r="D6" s="146">
        <v>21.21</v>
      </c>
      <c r="E6" s="146" t="s">
        <v>644</v>
      </c>
      <c r="F6" s="148">
        <v>1.9800000000000002E-2</v>
      </c>
      <c r="G6" s="146">
        <v>232.36</v>
      </c>
      <c r="H6" s="138"/>
      <c r="I6" s="138"/>
      <c r="J6" s="138" t="s">
        <v>618</v>
      </c>
      <c r="K6" s="139"/>
      <c r="L6" s="139"/>
      <c r="M6" s="139"/>
      <c r="N6" s="139"/>
      <c r="O6" s="139"/>
      <c r="P6" s="139"/>
      <c r="Q6" s="139"/>
      <c r="R6" s="17" t="s">
        <v>790</v>
      </c>
    </row>
    <row r="7" spans="1:20" x14ac:dyDescent="0.35">
      <c r="A7" s="146" t="s">
        <v>649</v>
      </c>
      <c r="B7" s="146">
        <v>6</v>
      </c>
      <c r="C7" s="93">
        <v>5819881500</v>
      </c>
      <c r="D7" s="146">
        <v>9.43</v>
      </c>
      <c r="E7" s="146" t="s">
        <v>650</v>
      </c>
      <c r="F7" s="148">
        <v>0.33939999999999998</v>
      </c>
      <c r="G7" s="146">
        <v>5.12</v>
      </c>
      <c r="H7" s="139"/>
      <c r="I7" s="139"/>
      <c r="J7" s="143" t="s">
        <v>740</v>
      </c>
      <c r="K7" s="139"/>
      <c r="L7" s="139"/>
      <c r="M7" s="139"/>
      <c r="N7" s="139"/>
      <c r="O7" s="139"/>
      <c r="P7" s="139"/>
      <c r="Q7" s="139"/>
    </row>
    <row r="8" spans="1:20" s="62" customFormat="1" x14ac:dyDescent="0.35">
      <c r="A8" s="146" t="s">
        <v>795</v>
      </c>
      <c r="B8" s="146">
        <v>5</v>
      </c>
      <c r="C8" s="93">
        <v>2736183200</v>
      </c>
      <c r="D8" s="146">
        <v>17.04</v>
      </c>
      <c r="E8" s="146" t="s">
        <v>796</v>
      </c>
      <c r="F8" s="148">
        <v>1.6E-2</v>
      </c>
      <c r="G8" s="146">
        <v>592.84</v>
      </c>
      <c r="H8" s="143"/>
      <c r="I8" s="139" t="s">
        <v>618</v>
      </c>
      <c r="J8" s="139"/>
      <c r="K8" s="139"/>
      <c r="L8" s="139"/>
      <c r="M8" s="139"/>
      <c r="N8" s="139"/>
      <c r="O8" s="139"/>
      <c r="P8" s="139"/>
      <c r="Q8" s="139"/>
      <c r="R8" s="17" t="s">
        <v>617</v>
      </c>
      <c r="S8" s="141" t="s">
        <v>624</v>
      </c>
    </row>
    <row r="9" spans="1:20" x14ac:dyDescent="0.35">
      <c r="A9" s="146" t="s">
        <v>797</v>
      </c>
      <c r="B9" s="146">
        <v>4</v>
      </c>
      <c r="C9" s="93">
        <v>5233591600</v>
      </c>
      <c r="D9" s="146">
        <v>5.03</v>
      </c>
      <c r="E9" s="146" t="s">
        <v>798</v>
      </c>
      <c r="F9" s="148">
        <v>0.1358</v>
      </c>
      <c r="G9" s="146">
        <v>12.04</v>
      </c>
      <c r="H9" s="139"/>
      <c r="I9" s="139"/>
      <c r="J9" s="139" t="s">
        <v>789</v>
      </c>
      <c r="K9" s="139"/>
      <c r="L9" s="139"/>
      <c r="M9" s="139"/>
      <c r="N9" s="139"/>
      <c r="O9" s="139"/>
      <c r="P9" s="139"/>
      <c r="Q9" s="139"/>
      <c r="R9" s="62"/>
    </row>
    <row r="10" spans="1:20" x14ac:dyDescent="0.35">
      <c r="A10" s="146" t="s">
        <v>799</v>
      </c>
      <c r="B10" s="146">
        <v>3</v>
      </c>
      <c r="C10" s="93">
        <v>5934386000</v>
      </c>
      <c r="D10" s="146">
        <v>10.8</v>
      </c>
      <c r="E10" s="146" t="s">
        <v>800</v>
      </c>
      <c r="F10" s="148">
        <v>1.1900000000000001E-2</v>
      </c>
      <c r="G10" s="146">
        <v>322.93</v>
      </c>
      <c r="H10" s="139"/>
      <c r="I10" s="139"/>
      <c r="J10" s="139"/>
      <c r="K10" s="139"/>
      <c r="L10" s="139"/>
      <c r="M10" s="139"/>
      <c r="N10" s="139"/>
      <c r="O10" s="139"/>
      <c r="P10" s="139"/>
      <c r="Q10" s="139"/>
      <c r="R10" s="17" t="s">
        <v>785</v>
      </c>
      <c r="S10" s="134">
        <v>8</v>
      </c>
    </row>
    <row r="11" spans="1:20" x14ac:dyDescent="0.35">
      <c r="A11" s="146" t="s">
        <v>801</v>
      </c>
      <c r="B11" s="146">
        <v>3</v>
      </c>
      <c r="C11" s="93">
        <v>7678561800</v>
      </c>
      <c r="D11" s="146">
        <v>7.87</v>
      </c>
      <c r="E11" s="146" t="s">
        <v>802</v>
      </c>
      <c r="F11" s="148">
        <v>7.4700000000000003E-2</v>
      </c>
      <c r="G11" s="146">
        <v>18.489999999999998</v>
      </c>
      <c r="H11" s="139"/>
      <c r="I11" s="139"/>
      <c r="J11" s="139"/>
      <c r="K11" s="139"/>
      <c r="L11" s="139"/>
      <c r="M11" s="139"/>
      <c r="N11" s="139"/>
      <c r="O11" s="139"/>
      <c r="P11" s="139"/>
      <c r="Q11" s="139"/>
      <c r="R11" s="17"/>
    </row>
    <row r="12" spans="1:20" x14ac:dyDescent="0.35">
      <c r="A12" s="146" t="s">
        <v>175</v>
      </c>
      <c r="B12" s="146">
        <v>3</v>
      </c>
      <c r="C12" s="93">
        <v>2589626300</v>
      </c>
      <c r="D12" s="146">
        <v>6.09</v>
      </c>
      <c r="E12" s="146" t="s">
        <v>803</v>
      </c>
      <c r="F12" s="148">
        <v>7.8299999999999995E-2</v>
      </c>
      <c r="G12" s="146">
        <v>29.92</v>
      </c>
      <c r="H12" s="139"/>
      <c r="I12" s="139"/>
      <c r="J12" s="139"/>
      <c r="K12" s="139"/>
      <c r="L12" s="139"/>
      <c r="M12" s="139"/>
      <c r="N12" s="139"/>
      <c r="O12" s="139"/>
      <c r="P12" s="139"/>
      <c r="Q12" s="139"/>
      <c r="R12" s="17"/>
    </row>
    <row r="13" spans="1:20" ht="17.600000000000001" x14ac:dyDescent="0.55000000000000004">
      <c r="A13" s="146" t="s">
        <v>804</v>
      </c>
      <c r="B13" s="146">
        <v>3</v>
      </c>
      <c r="C13" s="93">
        <v>5471399000</v>
      </c>
      <c r="D13" s="146">
        <v>5.37</v>
      </c>
      <c r="E13" s="146" t="s">
        <v>805</v>
      </c>
      <c r="F13" s="148">
        <v>0.1201</v>
      </c>
      <c r="G13" s="146">
        <v>13.03</v>
      </c>
      <c r="H13" s="139"/>
      <c r="I13" s="139"/>
      <c r="J13" s="139"/>
      <c r="K13" s="139"/>
      <c r="L13" s="139"/>
      <c r="M13" s="139"/>
      <c r="N13" s="139"/>
      <c r="O13" s="139"/>
      <c r="P13" s="139"/>
      <c r="Q13" s="139"/>
      <c r="R13" s="109"/>
    </row>
    <row r="14" spans="1:20" x14ac:dyDescent="0.35">
      <c r="A14" s="146" t="s">
        <v>808</v>
      </c>
      <c r="B14" s="146">
        <v>2</v>
      </c>
      <c r="C14" s="93">
        <v>4238269500</v>
      </c>
      <c r="D14" s="146">
        <v>5.15</v>
      </c>
      <c r="E14" s="146" t="s">
        <v>809</v>
      </c>
      <c r="F14" s="148">
        <v>2.07E-2</v>
      </c>
      <c r="G14" s="146">
        <v>102.1</v>
      </c>
      <c r="H14" s="139"/>
      <c r="J14" s="139"/>
      <c r="K14" s="139"/>
      <c r="L14" s="139"/>
      <c r="M14" s="139"/>
      <c r="N14" s="139"/>
      <c r="O14" s="139"/>
      <c r="P14" s="139"/>
      <c r="Q14" s="139"/>
      <c r="R14" s="17" t="s">
        <v>619</v>
      </c>
      <c r="S14" s="134">
        <v>8</v>
      </c>
    </row>
    <row r="15" spans="1:20" x14ac:dyDescent="0.35">
      <c r="A15" s="146" t="s">
        <v>810</v>
      </c>
      <c r="B15" s="146">
        <v>2</v>
      </c>
      <c r="C15" s="93">
        <v>1966436200</v>
      </c>
      <c r="D15" s="146">
        <v>6.67</v>
      </c>
      <c r="E15" s="146" t="s">
        <v>811</v>
      </c>
      <c r="F15" s="148">
        <v>0.1545</v>
      </c>
      <c r="G15" s="146">
        <v>8.32</v>
      </c>
      <c r="H15" s="139"/>
      <c r="I15" s="139"/>
      <c r="J15" s="139"/>
      <c r="K15" s="139"/>
      <c r="L15" s="139"/>
      <c r="M15" s="139"/>
      <c r="N15" s="139"/>
      <c r="O15" s="139"/>
      <c r="P15" s="139"/>
      <c r="Q15" s="139"/>
      <c r="R15" s="17" t="s">
        <v>620</v>
      </c>
      <c r="S15" s="134">
        <v>9</v>
      </c>
      <c r="T15" t="s">
        <v>787</v>
      </c>
    </row>
    <row r="16" spans="1:20" x14ac:dyDescent="0.35">
      <c r="A16" s="146" t="s">
        <v>812</v>
      </c>
      <c r="B16" s="146">
        <v>2</v>
      </c>
      <c r="C16" s="93">
        <v>862540000</v>
      </c>
      <c r="D16" s="146">
        <v>14.14</v>
      </c>
      <c r="E16" s="146" t="s">
        <v>813</v>
      </c>
      <c r="F16" s="148">
        <v>0.23200000000000001</v>
      </c>
      <c r="G16" s="146">
        <v>19.47</v>
      </c>
      <c r="H16" s="139"/>
      <c r="I16" s="139"/>
      <c r="J16" s="139"/>
      <c r="K16" s="139"/>
      <c r="L16" s="139"/>
      <c r="M16" s="139"/>
      <c r="N16" s="139"/>
      <c r="O16" s="139"/>
      <c r="P16" s="139"/>
      <c r="Q16" s="139"/>
      <c r="R16" s="108" t="s">
        <v>621</v>
      </c>
      <c r="S16" s="142" t="s">
        <v>786</v>
      </c>
    </row>
    <row r="17" spans="1:19" x14ac:dyDescent="0.35">
      <c r="A17" s="146" t="s">
        <v>814</v>
      </c>
      <c r="B17" s="146">
        <v>2</v>
      </c>
      <c r="C17" s="93">
        <v>8530702800</v>
      </c>
      <c r="D17" s="146">
        <v>9.2799999999999994</v>
      </c>
      <c r="E17" s="146" t="s">
        <v>815</v>
      </c>
      <c r="F17" s="148">
        <v>0.13469999999999999</v>
      </c>
      <c r="G17" s="146">
        <v>1.32</v>
      </c>
      <c r="H17" s="139"/>
      <c r="I17" s="139"/>
      <c r="J17" s="139"/>
      <c r="K17" s="139"/>
      <c r="L17" s="139"/>
      <c r="M17" s="139"/>
      <c r="N17" s="139"/>
      <c r="O17" s="139"/>
      <c r="P17" s="139"/>
      <c r="Q17" s="139"/>
      <c r="R17" s="108" t="s">
        <v>819</v>
      </c>
      <c r="S17" s="142"/>
    </row>
    <row r="18" spans="1:19" x14ac:dyDescent="0.35">
      <c r="A18" s="146" t="s">
        <v>816</v>
      </c>
      <c r="B18" s="146">
        <v>2</v>
      </c>
      <c r="C18" s="93">
        <v>4647557700</v>
      </c>
      <c r="D18" s="146">
        <v>2.81</v>
      </c>
      <c r="E18" s="146" t="s">
        <v>817</v>
      </c>
      <c r="F18" s="148">
        <v>0.11700000000000001</v>
      </c>
      <c r="G18" s="146">
        <v>7.48</v>
      </c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 t="s">
        <v>791</v>
      </c>
    </row>
    <row r="29" spans="1:19" x14ac:dyDescent="0.35">
      <c r="A29" s="163" t="s">
        <v>141</v>
      </c>
      <c r="B29" s="163"/>
      <c r="C29" s="163"/>
      <c r="D29" s="163"/>
      <c r="E29" s="163"/>
      <c r="F29" s="163"/>
      <c r="G29" s="163"/>
    </row>
    <row r="30" spans="1:19" x14ac:dyDescent="0.35">
      <c r="A30" s="136" t="s">
        <v>130</v>
      </c>
      <c r="B30" s="136" t="s">
        <v>129</v>
      </c>
      <c r="C30" s="136" t="s">
        <v>142</v>
      </c>
      <c r="D30" s="136" t="s">
        <v>140</v>
      </c>
      <c r="E30" s="136" t="s">
        <v>192</v>
      </c>
      <c r="F30" s="136" t="s">
        <v>131</v>
      </c>
      <c r="G30" s="136" t="s">
        <v>148</v>
      </c>
    </row>
    <row r="32" spans="1:19" x14ac:dyDescent="0.35">
      <c r="A32" s="190" t="s">
        <v>379</v>
      </c>
      <c r="B32" s="190"/>
      <c r="C32" s="190"/>
      <c r="D32" s="190"/>
      <c r="E32" s="190"/>
      <c r="F32" s="190"/>
      <c r="G32" s="190"/>
    </row>
    <row r="33" spans="1:7" x14ac:dyDescent="0.35">
      <c r="A33" s="101" t="s">
        <v>379</v>
      </c>
      <c r="B33" s="101" t="s">
        <v>192</v>
      </c>
      <c r="C33" s="101" t="s">
        <v>19</v>
      </c>
      <c r="D33" s="101" t="s">
        <v>18</v>
      </c>
      <c r="E33" s="101" t="s">
        <v>24</v>
      </c>
      <c r="F33" s="102" t="s">
        <v>9</v>
      </c>
      <c r="G33" s="103" t="s">
        <v>397</v>
      </c>
    </row>
    <row r="34" spans="1:7" x14ac:dyDescent="0.35">
      <c r="A34" s="135" t="s">
        <v>144</v>
      </c>
      <c r="B34" s="135"/>
      <c r="C34" s="137"/>
      <c r="D34" s="135"/>
      <c r="E34" s="1"/>
    </row>
    <row r="35" spans="1:7" x14ac:dyDescent="0.35">
      <c r="A35" s="92" t="s">
        <v>467</v>
      </c>
    </row>
  </sheetData>
  <mergeCells count="4">
    <mergeCell ref="A1:G1"/>
    <mergeCell ref="H1:Q1"/>
    <mergeCell ref="A29:G29"/>
    <mergeCell ref="A32:G32"/>
  </mergeCells>
  <phoneticPr fontId="1" type="noConversion"/>
  <dataValidations count="1">
    <dataValidation type="list" allowBlank="1" showInputMessage="1" showErrorMessage="1" sqref="H3:Q13 H15:Q17 H14 J14:Q14" xr:uid="{18F13DF5-2485-4568-A492-D72C56C8A4A2}">
      <formula1>$R$2:$R$17</formula1>
    </dataValidation>
  </dataValidations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3781A-4B1B-4D39-A81A-537028871378}">
  <dimension ref="A1:U38"/>
  <sheetViews>
    <sheetView workbookViewId="0">
      <selection activeCell="A8" sqref="A8:F8"/>
    </sheetView>
  </sheetViews>
  <sheetFormatPr defaultRowHeight="14.15" x14ac:dyDescent="0.35"/>
  <cols>
    <col min="1" max="1" width="10.92578125" customWidth="1"/>
    <col min="2" max="2" width="8.5703125" bestFit="1" customWidth="1"/>
    <col min="3" max="3" width="10.0703125" customWidth="1"/>
    <col min="4" max="4" width="8.92578125" customWidth="1"/>
    <col min="5" max="5" width="23.140625" customWidth="1"/>
    <col min="6" max="6" width="10.2109375" customWidth="1"/>
    <col min="8" max="8" width="6.7109375" bestFit="1" customWidth="1"/>
    <col min="9" max="9" width="6.78515625" customWidth="1"/>
    <col min="10" max="10" width="7.5703125" customWidth="1"/>
    <col min="11" max="12" width="6.7109375" bestFit="1" customWidth="1"/>
    <col min="13" max="13" width="4.85546875" bestFit="1" customWidth="1"/>
    <col min="14" max="14" width="6.7109375" bestFit="1" customWidth="1"/>
    <col min="15" max="15" width="4.85546875" customWidth="1"/>
    <col min="16" max="16" width="4.42578125" customWidth="1"/>
    <col min="17" max="17" width="4.640625" customWidth="1"/>
    <col min="18" max="18" width="5.42578125" customWidth="1"/>
    <col min="19" max="19" width="5.7109375" customWidth="1"/>
    <col min="20" max="20" width="6.7109375" bestFit="1" customWidth="1"/>
    <col min="21" max="21" width="5.0703125" customWidth="1"/>
  </cols>
  <sheetData>
    <row r="1" spans="1:21" x14ac:dyDescent="0.35">
      <c r="A1" s="163" t="s">
        <v>138</v>
      </c>
      <c r="B1" s="163"/>
      <c r="C1" s="163"/>
      <c r="D1" s="163"/>
      <c r="E1" s="163"/>
      <c r="F1" s="163"/>
      <c r="G1" s="163"/>
      <c r="H1" s="162" t="s">
        <v>4</v>
      </c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</row>
    <row r="2" spans="1:21" ht="13.75" customHeight="1" x14ac:dyDescent="0.35">
      <c r="A2" s="99" t="s">
        <v>130</v>
      </c>
      <c r="B2" s="99" t="s">
        <v>137</v>
      </c>
      <c r="C2" s="50" t="s">
        <v>602</v>
      </c>
      <c r="D2" s="99" t="s">
        <v>192</v>
      </c>
      <c r="E2" s="99" t="s">
        <v>131</v>
      </c>
      <c r="F2" s="99" t="s">
        <v>148</v>
      </c>
      <c r="G2" s="99" t="s">
        <v>497</v>
      </c>
      <c r="H2" s="87" t="s">
        <v>506</v>
      </c>
      <c r="I2" s="104" t="s">
        <v>629</v>
      </c>
      <c r="J2" s="104" t="s">
        <v>626</v>
      </c>
      <c r="K2" s="87" t="s">
        <v>496</v>
      </c>
      <c r="L2" s="87" t="s">
        <v>494</v>
      </c>
      <c r="M2" s="87" t="s">
        <v>627</v>
      </c>
      <c r="N2" s="51" t="s">
        <v>203</v>
      </c>
      <c r="O2" s="51" t="s">
        <v>149</v>
      </c>
      <c r="P2" s="51" t="s">
        <v>152</v>
      </c>
      <c r="Q2" s="51" t="s">
        <v>153</v>
      </c>
      <c r="R2" s="51" t="s">
        <v>376</v>
      </c>
      <c r="S2" s="51" t="s">
        <v>150</v>
      </c>
      <c r="T2" s="17" t="s">
        <v>612</v>
      </c>
      <c r="U2">
        <v>1</v>
      </c>
    </row>
    <row r="3" spans="1:21" x14ac:dyDescent="0.35">
      <c r="A3" s="110" t="s">
        <v>155</v>
      </c>
      <c r="B3" s="110">
        <v>11</v>
      </c>
      <c r="C3" s="46">
        <v>6194175400</v>
      </c>
      <c r="D3" s="110">
        <v>17.13</v>
      </c>
      <c r="E3" s="110" t="s">
        <v>586</v>
      </c>
      <c r="F3" s="111">
        <v>0.24049999999999999</v>
      </c>
      <c r="G3" s="110">
        <v>2.38</v>
      </c>
      <c r="L3" t="s">
        <v>618</v>
      </c>
      <c r="T3" s="17" t="s">
        <v>613</v>
      </c>
      <c r="U3">
        <v>2</v>
      </c>
    </row>
    <row r="4" spans="1:21" x14ac:dyDescent="0.35">
      <c r="A4" s="110" t="s">
        <v>211</v>
      </c>
      <c r="B4" s="110">
        <v>10</v>
      </c>
      <c r="C4" s="46">
        <v>7505003200</v>
      </c>
      <c r="D4" s="110">
        <v>13.57</v>
      </c>
      <c r="E4" s="110" t="s">
        <v>160</v>
      </c>
      <c r="F4" s="111">
        <v>0.1404</v>
      </c>
      <c r="G4" s="110">
        <v>9.15</v>
      </c>
      <c r="I4" t="s">
        <v>618</v>
      </c>
      <c r="T4" s="17" t="s">
        <v>615</v>
      </c>
      <c r="U4" s="107" t="s">
        <v>616</v>
      </c>
    </row>
    <row r="5" spans="1:21" x14ac:dyDescent="0.35">
      <c r="A5" s="110" t="s">
        <v>454</v>
      </c>
      <c r="B5" s="110">
        <v>6</v>
      </c>
      <c r="C5" s="46">
        <v>6860918000</v>
      </c>
      <c r="D5" s="110">
        <v>10.97</v>
      </c>
      <c r="E5" s="110" t="s">
        <v>450</v>
      </c>
      <c r="F5" s="111">
        <v>6.4999999999999997E-3</v>
      </c>
      <c r="G5" s="110">
        <v>1078.83</v>
      </c>
      <c r="I5" t="s">
        <v>603</v>
      </c>
      <c r="T5" s="17" t="s">
        <v>617</v>
      </c>
      <c r="U5" s="107" t="s">
        <v>624</v>
      </c>
    </row>
    <row r="6" spans="1:21" ht="14.15" customHeight="1" x14ac:dyDescent="0.35">
      <c r="A6" s="110" t="s">
        <v>483</v>
      </c>
      <c r="B6" s="110">
        <v>6</v>
      </c>
      <c r="C6" s="46">
        <v>1457551300</v>
      </c>
      <c r="D6" s="110">
        <v>20.170000000000002</v>
      </c>
      <c r="E6" s="110" t="s">
        <v>631</v>
      </c>
      <c r="F6" s="111">
        <v>0.37809999999999999</v>
      </c>
      <c r="G6" s="110">
        <v>2.94</v>
      </c>
      <c r="H6" s="1"/>
      <c r="J6" t="s">
        <v>614</v>
      </c>
      <c r="N6" s="1"/>
      <c r="O6" s="1"/>
      <c r="P6" s="1"/>
      <c r="Q6" s="1"/>
      <c r="T6" s="17" t="s">
        <v>619</v>
      </c>
      <c r="U6">
        <v>8</v>
      </c>
    </row>
    <row r="7" spans="1:21" x14ac:dyDescent="0.35">
      <c r="A7" s="110" t="s">
        <v>511</v>
      </c>
      <c r="B7" s="110">
        <v>5</v>
      </c>
      <c r="C7" s="46">
        <v>1365890000</v>
      </c>
      <c r="D7" s="110">
        <v>49.85</v>
      </c>
      <c r="E7" s="110" t="s">
        <v>512</v>
      </c>
      <c r="F7" s="111">
        <v>0.108</v>
      </c>
      <c r="G7" s="110">
        <v>32.479999999999997</v>
      </c>
      <c r="H7" s="1"/>
      <c r="I7" s="1"/>
      <c r="J7" s="1"/>
      <c r="K7" s="1"/>
      <c r="L7" t="s">
        <v>603</v>
      </c>
      <c r="M7" s="1"/>
      <c r="N7" s="1"/>
      <c r="O7" s="1"/>
      <c r="P7" s="1"/>
      <c r="Q7" s="1"/>
      <c r="T7" s="17" t="s">
        <v>620</v>
      </c>
      <c r="U7" t="s">
        <v>628</v>
      </c>
    </row>
    <row r="8" spans="1:21" s="62" customFormat="1" x14ac:dyDescent="0.35">
      <c r="A8" s="110" t="s">
        <v>571</v>
      </c>
      <c r="B8" s="110">
        <v>4</v>
      </c>
      <c r="C8" s="46">
        <v>5118709000</v>
      </c>
      <c r="D8" s="110">
        <v>2.75</v>
      </c>
      <c r="E8" s="110" t="s">
        <v>572</v>
      </c>
      <c r="F8" s="111">
        <v>0.26540000000000002</v>
      </c>
      <c r="G8" s="110">
        <v>6.51</v>
      </c>
      <c r="H8" t="s">
        <v>614</v>
      </c>
      <c r="I8"/>
      <c r="J8"/>
      <c r="K8"/>
      <c r="L8"/>
      <c r="M8"/>
      <c r="N8"/>
      <c r="O8"/>
      <c r="P8"/>
      <c r="Q8"/>
      <c r="R8"/>
      <c r="S8"/>
      <c r="T8" s="108" t="s">
        <v>621</v>
      </c>
    </row>
    <row r="9" spans="1:21" x14ac:dyDescent="0.35">
      <c r="A9" s="110" t="s">
        <v>632</v>
      </c>
      <c r="B9" s="110">
        <v>3</v>
      </c>
      <c r="C9" s="46">
        <v>3521414700</v>
      </c>
      <c r="D9" s="110">
        <v>16.059999999999999</v>
      </c>
      <c r="E9" s="110" t="s">
        <v>312</v>
      </c>
      <c r="F9" s="111">
        <v>0.2404</v>
      </c>
      <c r="G9" s="110">
        <v>2.74</v>
      </c>
      <c r="L9" t="s">
        <v>205</v>
      </c>
      <c r="T9" s="17" t="s">
        <v>622</v>
      </c>
    </row>
    <row r="10" spans="1:21" x14ac:dyDescent="0.35">
      <c r="A10" s="110" t="s">
        <v>633</v>
      </c>
      <c r="B10" s="110">
        <v>3</v>
      </c>
      <c r="C10" s="46">
        <v>2045153100</v>
      </c>
      <c r="D10" s="110">
        <v>14.29</v>
      </c>
      <c r="E10" s="110" t="s">
        <v>634</v>
      </c>
      <c r="F10" s="111">
        <v>6.1999999999999998E-3</v>
      </c>
      <c r="G10" s="110">
        <v>308.76</v>
      </c>
      <c r="J10" t="s">
        <v>205</v>
      </c>
      <c r="T10" s="17" t="s">
        <v>625</v>
      </c>
    </row>
    <row r="11" spans="1:21" x14ac:dyDescent="0.35">
      <c r="A11" s="110" t="s">
        <v>635</v>
      </c>
      <c r="B11" s="110">
        <v>3</v>
      </c>
      <c r="C11" s="46">
        <v>802108100</v>
      </c>
      <c r="D11" s="110">
        <v>42.97</v>
      </c>
      <c r="E11" s="110" t="s">
        <v>636</v>
      </c>
      <c r="F11" s="111">
        <v>2.24E-2</v>
      </c>
      <c r="G11" s="110">
        <v>812.46</v>
      </c>
      <c r="I11" t="s">
        <v>205</v>
      </c>
      <c r="T11" s="17" t="s">
        <v>623</v>
      </c>
    </row>
    <row r="12" spans="1:21" ht="17.600000000000001" x14ac:dyDescent="0.55000000000000004">
      <c r="A12" s="110" t="s">
        <v>637</v>
      </c>
      <c r="B12" s="110">
        <v>3</v>
      </c>
      <c r="C12" s="46">
        <v>4942638600</v>
      </c>
      <c r="D12" s="110">
        <v>6.74</v>
      </c>
      <c r="E12" s="110" t="s">
        <v>638</v>
      </c>
      <c r="F12" s="111">
        <v>0.26579999999999998</v>
      </c>
      <c r="G12" s="110">
        <v>1.8</v>
      </c>
      <c r="I12" t="s">
        <v>604</v>
      </c>
      <c r="T12" s="109" t="s">
        <v>504</v>
      </c>
    </row>
    <row r="13" spans="1:21" ht="17.600000000000001" x14ac:dyDescent="0.55000000000000004">
      <c r="A13" s="110" t="s">
        <v>311</v>
      </c>
      <c r="B13" s="110">
        <v>3</v>
      </c>
      <c r="C13" s="46">
        <v>11872750400</v>
      </c>
      <c r="D13" s="110">
        <v>20.100000000000001</v>
      </c>
      <c r="E13" s="110" t="s">
        <v>312</v>
      </c>
      <c r="F13" s="111">
        <v>0.24429999999999999</v>
      </c>
      <c r="G13" s="110">
        <v>3.42</v>
      </c>
      <c r="L13" t="s">
        <v>604</v>
      </c>
      <c r="T13" s="109" t="s">
        <v>209</v>
      </c>
    </row>
    <row r="14" spans="1:21" ht="17.600000000000001" x14ac:dyDescent="0.55000000000000004">
      <c r="A14" s="110" t="s">
        <v>639</v>
      </c>
      <c r="B14" s="110">
        <v>3</v>
      </c>
      <c r="C14" s="46">
        <v>4370418600</v>
      </c>
      <c r="D14" s="110">
        <v>9.9600000000000009</v>
      </c>
      <c r="E14" s="110" t="s">
        <v>640</v>
      </c>
      <c r="F14" s="111">
        <v>7.1999999999999998E-3</v>
      </c>
      <c r="G14" s="110">
        <v>139.02000000000001</v>
      </c>
      <c r="I14" t="s">
        <v>205</v>
      </c>
      <c r="L14" t="s">
        <v>205</v>
      </c>
      <c r="T14" s="109" t="s">
        <v>206</v>
      </c>
    </row>
    <row r="15" spans="1:21" x14ac:dyDescent="0.35">
      <c r="A15" s="110" t="s">
        <v>641</v>
      </c>
      <c r="B15" s="110">
        <v>2</v>
      </c>
      <c r="C15" s="46">
        <v>2051020600</v>
      </c>
      <c r="D15" s="110">
        <v>14.81</v>
      </c>
      <c r="E15" s="110" t="s">
        <v>642</v>
      </c>
      <c r="F15" s="111">
        <v>0.16270000000000001</v>
      </c>
      <c r="G15" s="110">
        <v>31.48</v>
      </c>
      <c r="T15" s="106"/>
    </row>
    <row r="16" spans="1:21" x14ac:dyDescent="0.35">
      <c r="A16" s="110" t="s">
        <v>643</v>
      </c>
      <c r="B16" s="110">
        <v>2</v>
      </c>
      <c r="C16" s="46">
        <v>2594151300</v>
      </c>
      <c r="D16" s="110">
        <v>14.49</v>
      </c>
      <c r="E16" s="110" t="s">
        <v>644</v>
      </c>
      <c r="F16" s="111">
        <v>1.9800000000000002E-2</v>
      </c>
      <c r="G16" s="110">
        <v>232.36</v>
      </c>
      <c r="T16" s="106"/>
    </row>
    <row r="17" spans="1:20" x14ac:dyDescent="0.35">
      <c r="A17" s="110" t="s">
        <v>645</v>
      </c>
      <c r="B17" s="110">
        <v>2</v>
      </c>
      <c r="C17" s="46">
        <v>8547662600</v>
      </c>
      <c r="D17" s="110">
        <v>24.37</v>
      </c>
      <c r="E17" s="110" t="s">
        <v>646</v>
      </c>
      <c r="F17" s="111">
        <v>3.8999999999999998E-3</v>
      </c>
      <c r="G17" s="110">
        <v>1556.56</v>
      </c>
      <c r="H17" s="1"/>
      <c r="I17" s="100"/>
      <c r="J17" s="100"/>
      <c r="K17" s="100"/>
      <c r="L17" s="100"/>
      <c r="M17" s="100"/>
      <c r="N17" s="1"/>
      <c r="O17" s="1"/>
      <c r="P17" s="1"/>
      <c r="Q17" s="1"/>
      <c r="T17" s="106"/>
    </row>
    <row r="18" spans="1:20" x14ac:dyDescent="0.35">
      <c r="A18" s="110" t="s">
        <v>647</v>
      </c>
      <c r="B18" s="110">
        <v>2</v>
      </c>
      <c r="C18" s="46">
        <v>4336143500</v>
      </c>
      <c r="D18" s="110">
        <v>7.37</v>
      </c>
      <c r="E18" s="110" t="s">
        <v>648</v>
      </c>
      <c r="F18" s="111">
        <v>6.5600000000000006E-2</v>
      </c>
      <c r="G18" s="110">
        <v>14.42</v>
      </c>
      <c r="H18" s="1"/>
      <c r="I18" s="100"/>
      <c r="J18" s="100"/>
      <c r="K18" s="100"/>
      <c r="L18" s="100"/>
      <c r="M18" s="100"/>
      <c r="N18" s="1"/>
      <c r="O18" s="1"/>
      <c r="P18" s="1"/>
      <c r="Q18" s="1"/>
      <c r="T18" s="106"/>
    </row>
    <row r="19" spans="1:20" x14ac:dyDescent="0.35">
      <c r="A19" s="110" t="s">
        <v>287</v>
      </c>
      <c r="B19" s="110">
        <v>2</v>
      </c>
      <c r="C19" s="46">
        <v>3833917100</v>
      </c>
      <c r="D19" s="110">
        <v>6.92</v>
      </c>
      <c r="E19" s="110" t="s">
        <v>288</v>
      </c>
      <c r="F19" s="111">
        <v>0.19359999999999999</v>
      </c>
      <c r="G19" s="110">
        <v>5.39</v>
      </c>
      <c r="H19" s="111"/>
      <c r="I19" s="100"/>
      <c r="J19" s="100"/>
      <c r="K19" s="100"/>
      <c r="L19" s="100"/>
      <c r="M19" s="100"/>
      <c r="N19" s="1"/>
      <c r="O19" s="1"/>
      <c r="P19" s="1"/>
      <c r="Q19" s="1"/>
      <c r="T19" s="106"/>
    </row>
    <row r="20" spans="1:20" x14ac:dyDescent="0.35">
      <c r="A20" s="110" t="s">
        <v>649</v>
      </c>
      <c r="B20" s="110">
        <v>2</v>
      </c>
      <c r="C20" s="46">
        <v>3974553200</v>
      </c>
      <c r="D20" s="110">
        <v>6.44</v>
      </c>
      <c r="E20" s="110" t="s">
        <v>650</v>
      </c>
      <c r="F20" s="111">
        <v>0.1263</v>
      </c>
      <c r="G20" s="110">
        <v>10.56</v>
      </c>
      <c r="T20" s="106"/>
    </row>
    <row r="21" spans="1:20" x14ac:dyDescent="0.35">
      <c r="A21" s="110" t="s">
        <v>651</v>
      </c>
      <c r="B21" s="110">
        <v>2</v>
      </c>
      <c r="C21" s="46">
        <v>3897102000</v>
      </c>
      <c r="D21" s="110">
        <v>6.05</v>
      </c>
      <c r="E21" s="110" t="s">
        <v>652</v>
      </c>
      <c r="F21" s="111">
        <v>0.14099999999999999</v>
      </c>
      <c r="G21" s="110">
        <v>15.65</v>
      </c>
      <c r="T21" s="106"/>
    </row>
    <row r="22" spans="1:20" x14ac:dyDescent="0.35">
      <c r="A22" s="110" t="s">
        <v>653</v>
      </c>
      <c r="B22" s="110">
        <v>2</v>
      </c>
      <c r="C22" s="46">
        <v>1488658500</v>
      </c>
      <c r="D22" s="110">
        <v>6.18</v>
      </c>
      <c r="E22" s="110" t="s">
        <v>654</v>
      </c>
      <c r="F22" s="111">
        <v>3.3999999999999998E-3</v>
      </c>
      <c r="G22" s="110">
        <v>516</v>
      </c>
    </row>
    <row r="23" spans="1:20" x14ac:dyDescent="0.35">
      <c r="A23" s="110" t="s">
        <v>655</v>
      </c>
      <c r="B23" s="110">
        <v>2</v>
      </c>
      <c r="C23" s="46">
        <v>11507160900</v>
      </c>
      <c r="D23" s="110">
        <v>12.56</v>
      </c>
      <c r="E23" s="110" t="s">
        <v>656</v>
      </c>
      <c r="F23" s="111">
        <v>3.2099999999999997E-2</v>
      </c>
      <c r="G23" s="110">
        <v>11.56</v>
      </c>
    </row>
    <row r="24" spans="1:20" x14ac:dyDescent="0.35">
      <c r="A24" s="110" t="s">
        <v>657</v>
      </c>
      <c r="B24" s="110">
        <v>2</v>
      </c>
      <c r="C24" s="46">
        <v>2849700000</v>
      </c>
      <c r="D24" s="110">
        <v>8.26</v>
      </c>
      <c r="E24" s="110" t="s">
        <v>658</v>
      </c>
      <c r="F24" s="111">
        <v>0.15609999999999999</v>
      </c>
      <c r="G24" s="110">
        <v>8.4</v>
      </c>
    </row>
    <row r="25" spans="1:20" x14ac:dyDescent="0.35">
      <c r="A25" s="110" t="s">
        <v>659</v>
      </c>
      <c r="B25" s="110">
        <v>2</v>
      </c>
      <c r="C25" s="46">
        <v>3236352000</v>
      </c>
      <c r="D25" s="110">
        <v>20.64</v>
      </c>
      <c r="E25" s="110" t="s">
        <v>158</v>
      </c>
      <c r="F25" s="111">
        <v>4.02E-2</v>
      </c>
      <c r="G25" s="110">
        <v>15.68</v>
      </c>
    </row>
    <row r="26" spans="1:20" x14ac:dyDescent="0.35">
      <c r="A26" s="110" t="s">
        <v>660</v>
      </c>
      <c r="B26" s="110">
        <v>2</v>
      </c>
      <c r="C26" s="46">
        <v>2154980000</v>
      </c>
      <c r="D26" s="110">
        <v>20.329999999999998</v>
      </c>
      <c r="E26" s="110" t="s">
        <v>661</v>
      </c>
      <c r="F26" s="111">
        <v>6.6699999999999995E-2</v>
      </c>
      <c r="G26" s="110">
        <v>3.19</v>
      </c>
    </row>
    <row r="27" spans="1:20" x14ac:dyDescent="0.35">
      <c r="A27" s="110" t="s">
        <v>662</v>
      </c>
      <c r="B27" s="110">
        <v>2</v>
      </c>
      <c r="C27" s="46">
        <v>2042625800</v>
      </c>
      <c r="D27" s="110">
        <v>10.69</v>
      </c>
      <c r="E27" s="110" t="s">
        <v>663</v>
      </c>
      <c r="F27" s="111">
        <v>0.11609999999999999</v>
      </c>
      <c r="G27" s="110">
        <v>2.66</v>
      </c>
    </row>
    <row r="28" spans="1:20" ht="14.15" customHeight="1" x14ac:dyDescent="0.35">
      <c r="A28" s="110" t="s">
        <v>664</v>
      </c>
      <c r="B28" s="110">
        <v>2</v>
      </c>
      <c r="C28" s="46">
        <v>87829466000</v>
      </c>
      <c r="D28" s="110">
        <v>85.06</v>
      </c>
      <c r="E28" s="110" t="s">
        <v>665</v>
      </c>
      <c r="F28" s="111">
        <v>3.4799999999999998E-2</v>
      </c>
      <c r="G28" s="110">
        <v>5.8</v>
      </c>
    </row>
    <row r="29" spans="1:20" x14ac:dyDescent="0.35">
      <c r="A29" s="110" t="s">
        <v>666</v>
      </c>
      <c r="B29" s="110">
        <v>2</v>
      </c>
      <c r="C29" s="46">
        <v>14513102000</v>
      </c>
      <c r="D29" s="110">
        <v>13.68</v>
      </c>
      <c r="E29" s="110" t="s">
        <v>667</v>
      </c>
      <c r="F29" s="111">
        <v>0.1113</v>
      </c>
      <c r="G29" s="110">
        <v>3.74</v>
      </c>
    </row>
    <row r="30" spans="1:20" x14ac:dyDescent="0.35">
      <c r="A30" s="110" t="s">
        <v>668</v>
      </c>
      <c r="B30" s="110">
        <v>2</v>
      </c>
      <c r="C30" s="46">
        <v>36996596000</v>
      </c>
      <c r="D30" s="110">
        <v>18.760000000000002</v>
      </c>
      <c r="E30" s="110" t="s">
        <v>669</v>
      </c>
      <c r="F30" s="111">
        <v>3.0599999999999999E-2</v>
      </c>
      <c r="G30" s="110">
        <v>0.37</v>
      </c>
    </row>
    <row r="32" spans="1:20" x14ac:dyDescent="0.35">
      <c r="A32" s="163" t="s">
        <v>141</v>
      </c>
      <c r="B32" s="163"/>
      <c r="C32" s="163"/>
      <c r="D32" s="163"/>
      <c r="E32" s="163"/>
      <c r="F32" s="163"/>
      <c r="G32" s="163"/>
    </row>
    <row r="33" spans="1:7" x14ac:dyDescent="0.35">
      <c r="A33" s="121" t="s">
        <v>130</v>
      </c>
      <c r="B33" s="121" t="s">
        <v>129</v>
      </c>
      <c r="C33" s="121" t="s">
        <v>142</v>
      </c>
      <c r="D33" s="121" t="s">
        <v>140</v>
      </c>
      <c r="E33" s="121" t="s">
        <v>192</v>
      </c>
      <c r="F33" s="121" t="s">
        <v>131</v>
      </c>
      <c r="G33" s="121" t="s">
        <v>148</v>
      </c>
    </row>
    <row r="35" spans="1:7" x14ac:dyDescent="0.35">
      <c r="A35" s="190" t="s">
        <v>379</v>
      </c>
      <c r="B35" s="190"/>
      <c r="C35" s="190"/>
      <c r="D35" s="190"/>
      <c r="E35" s="190"/>
      <c r="F35" s="190"/>
      <c r="G35" s="190"/>
    </row>
    <row r="36" spans="1:7" x14ac:dyDescent="0.35">
      <c r="A36" s="101" t="s">
        <v>379</v>
      </c>
      <c r="B36" s="101" t="s">
        <v>192</v>
      </c>
      <c r="C36" s="101" t="s">
        <v>19</v>
      </c>
      <c r="D36" s="101" t="s">
        <v>18</v>
      </c>
      <c r="E36" s="101" t="s">
        <v>24</v>
      </c>
      <c r="F36" s="102" t="s">
        <v>9</v>
      </c>
      <c r="G36" s="103" t="s">
        <v>397</v>
      </c>
    </row>
    <row r="37" spans="1:7" x14ac:dyDescent="0.35">
      <c r="A37" s="98" t="s">
        <v>144</v>
      </c>
      <c r="B37" s="98"/>
      <c r="C37" s="100"/>
      <c r="D37" s="98"/>
      <c r="E37" s="1"/>
    </row>
    <row r="38" spans="1:7" x14ac:dyDescent="0.35">
      <c r="A38" s="92" t="s">
        <v>467</v>
      </c>
    </row>
  </sheetData>
  <mergeCells count="4">
    <mergeCell ref="A35:G35"/>
    <mergeCell ref="H1:S1"/>
    <mergeCell ref="A1:G1"/>
    <mergeCell ref="A32:G32"/>
  </mergeCells>
  <phoneticPr fontId="1" type="noConversion"/>
  <dataValidations count="3">
    <dataValidation type="list" allowBlank="1" showInputMessage="1" showErrorMessage="1" sqref="H21:H43" xr:uid="{6B916AFF-4606-4B84-9B17-0CCB759352AE}">
      <formula1>$T$2:$T$5</formula1>
    </dataValidation>
    <dataValidation type="list" allowBlank="1" showInputMessage="1" showErrorMessage="1" sqref="H15:S20" xr:uid="{F083DB9F-C55C-46C5-A39F-779360A9B6F5}">
      <formula1>$T$2:$T$10</formula1>
    </dataValidation>
    <dataValidation type="list" allowBlank="1" showInputMessage="1" showErrorMessage="1" sqref="M3:S14 L8:L14 H8 H3:L7 H9:K14 J8:K8" xr:uid="{9E80BFBC-C478-4A50-B877-DFF60DF8E733}">
      <formula1>$T$2:$T$14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F54CD4-CF21-461E-98FF-B7AB06948BA6}">
  <dimension ref="A1:U33"/>
  <sheetViews>
    <sheetView workbookViewId="0">
      <selection activeCell="G37" sqref="G37"/>
    </sheetView>
  </sheetViews>
  <sheetFormatPr defaultRowHeight="14.15" x14ac:dyDescent="0.35"/>
  <cols>
    <col min="1" max="1" width="10.92578125" customWidth="1"/>
    <col min="2" max="2" width="8.5703125" bestFit="1" customWidth="1"/>
    <col min="3" max="3" width="10.0703125" customWidth="1"/>
    <col min="4" max="4" width="8.92578125" customWidth="1"/>
    <col min="5" max="5" width="28.85546875" bestFit="1" customWidth="1"/>
    <col min="6" max="6" width="10.2109375" customWidth="1"/>
    <col min="8" max="8" width="6.7109375" bestFit="1" customWidth="1"/>
    <col min="9" max="9" width="6.78515625" customWidth="1"/>
    <col min="10" max="10" width="7.5703125" customWidth="1"/>
    <col min="11" max="12" width="6.7109375" bestFit="1" customWidth="1"/>
    <col min="13" max="13" width="4.85546875" bestFit="1" customWidth="1"/>
    <col min="14" max="14" width="6.7109375" bestFit="1" customWidth="1"/>
    <col min="15" max="15" width="4.85546875" customWidth="1"/>
    <col min="16" max="16" width="4.42578125" customWidth="1"/>
    <col min="17" max="17" width="4.640625" customWidth="1"/>
    <col min="18" max="18" width="5.42578125" customWidth="1"/>
    <col min="19" max="19" width="5.7109375" customWidth="1"/>
  </cols>
  <sheetData>
    <row r="1" spans="1:21" x14ac:dyDescent="0.35">
      <c r="A1" s="190" t="s">
        <v>379</v>
      </c>
      <c r="B1" s="190"/>
      <c r="C1" s="190"/>
      <c r="D1" s="190"/>
      <c r="E1" s="190"/>
      <c r="F1" s="190"/>
      <c r="G1" s="190"/>
      <c r="H1" s="162" t="s">
        <v>4</v>
      </c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</row>
    <row r="2" spans="1:21" ht="13.75" customHeight="1" x14ac:dyDescent="0.35">
      <c r="A2" s="101" t="s">
        <v>379</v>
      </c>
      <c r="B2" s="101" t="s">
        <v>192</v>
      </c>
      <c r="C2" s="101" t="s">
        <v>19</v>
      </c>
      <c r="D2" s="101" t="s">
        <v>18</v>
      </c>
      <c r="E2" s="101" t="s">
        <v>24</v>
      </c>
      <c r="F2" s="102" t="s">
        <v>9</v>
      </c>
      <c r="G2" s="103" t="s">
        <v>397</v>
      </c>
      <c r="H2" s="87" t="s">
        <v>506</v>
      </c>
      <c r="I2" s="104" t="s">
        <v>489</v>
      </c>
      <c r="J2" s="104" t="s">
        <v>605</v>
      </c>
      <c r="K2" s="87" t="s">
        <v>496</v>
      </c>
      <c r="L2" s="87" t="s">
        <v>494</v>
      </c>
      <c r="M2" s="87" t="s">
        <v>495</v>
      </c>
      <c r="N2" s="51" t="s">
        <v>203</v>
      </c>
      <c r="O2" s="51" t="s">
        <v>149</v>
      </c>
      <c r="P2" s="51" t="s">
        <v>152</v>
      </c>
      <c r="Q2" s="51" t="s">
        <v>153</v>
      </c>
      <c r="R2" s="51" t="s">
        <v>376</v>
      </c>
      <c r="S2" s="51" t="s">
        <v>150</v>
      </c>
      <c r="U2" s="105" t="s">
        <v>504</v>
      </c>
    </row>
    <row r="3" spans="1:21" x14ac:dyDescent="0.35">
      <c r="A3" s="89" t="s">
        <v>144</v>
      </c>
      <c r="B3" s="89"/>
      <c r="C3" s="91"/>
      <c r="D3" s="89"/>
      <c r="E3" s="1" t="s">
        <v>610</v>
      </c>
      <c r="U3" s="20" t="s">
        <v>209</v>
      </c>
    </row>
    <row r="4" spans="1:21" x14ac:dyDescent="0.35">
      <c r="A4" s="89" t="s">
        <v>606</v>
      </c>
      <c r="B4" s="89"/>
      <c r="C4" s="89">
        <v>17.600000000000001</v>
      </c>
      <c r="D4" s="89" t="s">
        <v>107</v>
      </c>
      <c r="E4" s="1" t="s">
        <v>607</v>
      </c>
      <c r="F4" s="89" t="s">
        <v>609</v>
      </c>
      <c r="G4" s="89" t="s">
        <v>608</v>
      </c>
      <c r="U4" s="20"/>
    </row>
    <row r="5" spans="1:21" x14ac:dyDescent="0.35">
      <c r="A5" s="92" t="s">
        <v>467</v>
      </c>
      <c r="I5" t="s">
        <v>504</v>
      </c>
      <c r="U5" s="20" t="s">
        <v>206</v>
      </c>
    </row>
    <row r="6" spans="1:21" ht="14.15" customHeight="1" x14ac:dyDescent="0.35">
      <c r="A6" s="163" t="s">
        <v>138</v>
      </c>
      <c r="B6" s="163"/>
      <c r="C6" s="163"/>
      <c r="D6" s="163"/>
      <c r="E6" s="163"/>
      <c r="F6" s="163"/>
      <c r="G6" s="163"/>
      <c r="H6" s="1"/>
      <c r="N6" s="1"/>
      <c r="O6" s="1"/>
      <c r="P6" s="1"/>
      <c r="Q6" s="1"/>
    </row>
    <row r="7" spans="1:21" x14ac:dyDescent="0.35">
      <c r="A7" s="90" t="s">
        <v>130</v>
      </c>
      <c r="B7" s="90" t="s">
        <v>137</v>
      </c>
      <c r="C7" s="50" t="s">
        <v>602</v>
      </c>
      <c r="D7" s="90" t="s">
        <v>192</v>
      </c>
      <c r="E7" s="90" t="s">
        <v>131</v>
      </c>
      <c r="F7" s="90" t="s">
        <v>148</v>
      </c>
      <c r="G7" s="90" t="s">
        <v>497</v>
      </c>
      <c r="H7" s="1"/>
      <c r="I7" s="1"/>
      <c r="J7" s="1"/>
      <c r="K7" s="1"/>
      <c r="L7" s="1"/>
      <c r="M7" s="1"/>
      <c r="N7" s="1"/>
      <c r="O7" s="1"/>
      <c r="P7" s="1"/>
      <c r="Q7" s="1"/>
    </row>
    <row r="8" spans="1:21" x14ac:dyDescent="0.35">
      <c r="A8" s="89" t="s">
        <v>155</v>
      </c>
      <c r="B8" s="89">
        <v>9</v>
      </c>
      <c r="C8" s="46">
        <v>5116613000</v>
      </c>
      <c r="D8" s="89">
        <v>14.15</v>
      </c>
      <c r="E8" s="89" t="s">
        <v>586</v>
      </c>
      <c r="F8" s="91">
        <v>0.12909999999999999</v>
      </c>
      <c r="G8" s="89">
        <v>15.81</v>
      </c>
      <c r="L8" t="s">
        <v>603</v>
      </c>
    </row>
    <row r="9" spans="1:21" s="62" customFormat="1" x14ac:dyDescent="0.35">
      <c r="A9" s="43" t="s">
        <v>211</v>
      </c>
      <c r="B9" s="43">
        <v>8</v>
      </c>
      <c r="C9" s="46">
        <v>6205315800</v>
      </c>
      <c r="D9" s="43">
        <v>11.22</v>
      </c>
      <c r="E9" s="43" t="s">
        <v>160</v>
      </c>
      <c r="F9" s="44">
        <v>0.1142</v>
      </c>
      <c r="G9" s="43">
        <v>12.87</v>
      </c>
      <c r="I9" s="62" t="s">
        <v>603</v>
      </c>
    </row>
    <row r="10" spans="1:21" x14ac:dyDescent="0.35">
      <c r="A10" s="89" t="s">
        <v>454</v>
      </c>
      <c r="B10" s="89">
        <v>4</v>
      </c>
      <c r="C10" s="46">
        <v>5666355300</v>
      </c>
      <c r="D10" s="89">
        <v>9.06</v>
      </c>
      <c r="E10" s="89" t="s">
        <v>450</v>
      </c>
      <c r="F10" s="91">
        <v>1.9E-2</v>
      </c>
      <c r="G10" s="89">
        <v>278.89999999999998</v>
      </c>
      <c r="I10" t="s">
        <v>205</v>
      </c>
    </row>
    <row r="11" spans="1:21" x14ac:dyDescent="0.35">
      <c r="A11" s="89" t="s">
        <v>469</v>
      </c>
      <c r="B11" s="89">
        <v>4</v>
      </c>
      <c r="C11" s="46">
        <v>3477064300</v>
      </c>
      <c r="D11" s="89">
        <v>10.26</v>
      </c>
      <c r="E11" s="89" t="s">
        <v>470</v>
      </c>
      <c r="F11" s="91">
        <v>6.7500000000000004E-2</v>
      </c>
      <c r="G11" s="89">
        <v>32.15</v>
      </c>
      <c r="K11" t="s">
        <v>604</v>
      </c>
    </row>
    <row r="12" spans="1:21" x14ac:dyDescent="0.35">
      <c r="A12" s="89" t="s">
        <v>483</v>
      </c>
      <c r="B12" s="89">
        <v>4</v>
      </c>
      <c r="C12" s="46">
        <v>1204629660</v>
      </c>
      <c r="D12" s="89">
        <v>16.670000000000002</v>
      </c>
      <c r="E12" s="89" t="s">
        <v>484</v>
      </c>
      <c r="F12" s="91">
        <v>0.23799999999999999</v>
      </c>
      <c r="G12" s="89">
        <v>8.67</v>
      </c>
      <c r="J12" t="s">
        <v>205</v>
      </c>
    </row>
    <row r="13" spans="1:21" x14ac:dyDescent="0.35">
      <c r="A13" s="89" t="s">
        <v>511</v>
      </c>
      <c r="B13" s="89">
        <v>3</v>
      </c>
      <c r="C13" s="46">
        <v>1137100000</v>
      </c>
      <c r="D13" s="89">
        <v>41.5</v>
      </c>
      <c r="E13" s="89" t="s">
        <v>512</v>
      </c>
      <c r="F13" s="91">
        <v>9.3100000000000002E-2</v>
      </c>
      <c r="G13" s="89">
        <v>90.53</v>
      </c>
    </row>
    <row r="14" spans="1:21" x14ac:dyDescent="0.35">
      <c r="A14" s="89" t="s">
        <v>517</v>
      </c>
      <c r="B14" s="89">
        <v>3</v>
      </c>
      <c r="C14" s="46">
        <v>2530283800</v>
      </c>
      <c r="D14" s="89">
        <v>2.54</v>
      </c>
      <c r="E14" s="89" t="s">
        <v>587</v>
      </c>
      <c r="F14" s="91">
        <v>5.8000000000000003E-2</v>
      </c>
      <c r="G14" s="89">
        <v>23.07</v>
      </c>
    </row>
    <row r="15" spans="1:21" x14ac:dyDescent="0.35">
      <c r="A15" s="89" t="s">
        <v>611</v>
      </c>
      <c r="B15" s="89">
        <v>3</v>
      </c>
      <c r="C15" s="46">
        <v>2085728800</v>
      </c>
      <c r="D15" s="89">
        <v>5.57</v>
      </c>
      <c r="E15" s="89" t="s">
        <v>524</v>
      </c>
      <c r="F15" s="91">
        <v>2.0799999999999999E-2</v>
      </c>
      <c r="G15" s="89">
        <v>391.36</v>
      </c>
      <c r="H15" t="s">
        <v>604</v>
      </c>
      <c r="K15" t="s">
        <v>205</v>
      </c>
    </row>
    <row r="16" spans="1:21" x14ac:dyDescent="0.35">
      <c r="A16" s="89" t="s">
        <v>526</v>
      </c>
      <c r="B16" s="89">
        <v>3</v>
      </c>
      <c r="C16" s="46">
        <v>9907928300</v>
      </c>
      <c r="D16" s="89">
        <v>5.13</v>
      </c>
      <c r="E16" s="89" t="s">
        <v>527</v>
      </c>
      <c r="F16" s="91">
        <v>9.6600000000000005E-2</v>
      </c>
      <c r="G16" s="89">
        <v>5.28</v>
      </c>
      <c r="M16" t="s">
        <v>205</v>
      </c>
    </row>
    <row r="17" spans="1:17" x14ac:dyDescent="0.35">
      <c r="A17" s="89" t="s">
        <v>529</v>
      </c>
      <c r="B17" s="89">
        <v>3</v>
      </c>
      <c r="C17" s="46">
        <v>4194596600</v>
      </c>
      <c r="D17" s="89">
        <v>9.02</v>
      </c>
      <c r="E17" s="89" t="s">
        <v>588</v>
      </c>
      <c r="F17" s="91">
        <v>0.16769999999999999</v>
      </c>
      <c r="G17" s="89">
        <v>2.85</v>
      </c>
      <c r="H17" t="s">
        <v>205</v>
      </c>
    </row>
    <row r="18" spans="1:17" x14ac:dyDescent="0.35">
      <c r="A18" s="89" t="s">
        <v>537</v>
      </c>
      <c r="B18" s="89">
        <v>2</v>
      </c>
      <c r="C18" s="46">
        <v>2360607700</v>
      </c>
      <c r="D18" s="89">
        <v>17.46</v>
      </c>
      <c r="E18" s="89" t="s">
        <v>505</v>
      </c>
      <c r="F18" s="91">
        <v>7.7999999999999996E-3</v>
      </c>
      <c r="G18" s="89">
        <v>293.16000000000003</v>
      </c>
      <c r="H18" t="s">
        <v>205</v>
      </c>
    </row>
    <row r="19" spans="1:17" x14ac:dyDescent="0.35">
      <c r="A19" s="89" t="s">
        <v>542</v>
      </c>
      <c r="B19" s="89">
        <v>2</v>
      </c>
      <c r="C19" s="46">
        <v>4887283800</v>
      </c>
      <c r="D19" s="89">
        <v>20.43</v>
      </c>
      <c r="E19" s="89" t="s">
        <v>543</v>
      </c>
      <c r="F19" s="91">
        <v>2.3E-3</v>
      </c>
      <c r="G19" s="89">
        <v>649.42999999999995</v>
      </c>
    </row>
    <row r="20" spans="1:17" x14ac:dyDescent="0.35">
      <c r="A20" s="89" t="s">
        <v>548</v>
      </c>
      <c r="B20" s="89">
        <v>2</v>
      </c>
      <c r="C20" s="46">
        <v>2462170700</v>
      </c>
      <c r="D20" s="89">
        <v>5.36</v>
      </c>
      <c r="E20" s="89" t="s">
        <v>549</v>
      </c>
      <c r="F20" s="91">
        <v>8.48E-2</v>
      </c>
      <c r="G20" s="89">
        <v>23.48</v>
      </c>
      <c r="H20" t="s">
        <v>205</v>
      </c>
    </row>
    <row r="21" spans="1:17" x14ac:dyDescent="0.35">
      <c r="A21" s="89" t="s">
        <v>551</v>
      </c>
      <c r="B21" s="89">
        <v>2</v>
      </c>
      <c r="C21" s="46">
        <v>3822149800</v>
      </c>
      <c r="D21" s="89">
        <v>7.95</v>
      </c>
      <c r="E21" s="89" t="s">
        <v>552</v>
      </c>
      <c r="F21" s="91">
        <v>0.18759999999999999</v>
      </c>
      <c r="G21" s="89">
        <v>3.16</v>
      </c>
      <c r="H21" t="s">
        <v>205</v>
      </c>
    </row>
    <row r="22" spans="1:17" x14ac:dyDescent="0.35">
      <c r="A22" s="89" t="s">
        <v>554</v>
      </c>
      <c r="B22" s="89">
        <v>2</v>
      </c>
      <c r="C22" s="46">
        <v>3864832100</v>
      </c>
      <c r="D22" s="89">
        <v>7.45</v>
      </c>
      <c r="E22" s="89" t="s">
        <v>555</v>
      </c>
      <c r="F22" s="91">
        <v>3.0700000000000002E-2</v>
      </c>
      <c r="G22" s="89">
        <v>113.71</v>
      </c>
      <c r="H22" t="s">
        <v>205</v>
      </c>
    </row>
    <row r="23" spans="1:17" x14ac:dyDescent="0.35">
      <c r="A23" s="89" t="s">
        <v>571</v>
      </c>
      <c r="B23" s="89">
        <v>2</v>
      </c>
      <c r="C23" s="46">
        <v>4225261600</v>
      </c>
      <c r="D23" s="89">
        <v>2.27</v>
      </c>
      <c r="E23" s="89" t="s">
        <v>572</v>
      </c>
      <c r="F23" s="91">
        <v>0.16750000000000001</v>
      </c>
      <c r="G23" s="89">
        <v>15.36</v>
      </c>
      <c r="H23" t="s">
        <v>205</v>
      </c>
    </row>
    <row r="24" spans="1:17" x14ac:dyDescent="0.35">
      <c r="A24" s="89" t="s">
        <v>589</v>
      </c>
      <c r="B24" s="89">
        <v>2</v>
      </c>
      <c r="C24" s="46">
        <v>4217953400</v>
      </c>
      <c r="D24" s="89">
        <v>4.1900000000000004</v>
      </c>
      <c r="E24" s="89" t="s">
        <v>590</v>
      </c>
      <c r="F24" s="91">
        <v>8.8700000000000001E-2</v>
      </c>
      <c r="G24" s="89">
        <v>10.98</v>
      </c>
      <c r="K24" t="s">
        <v>205</v>
      </c>
    </row>
    <row r="25" spans="1:17" x14ac:dyDescent="0.35">
      <c r="A25" s="89" t="s">
        <v>591</v>
      </c>
      <c r="B25" s="89">
        <v>2</v>
      </c>
      <c r="C25" s="46">
        <v>1976514400</v>
      </c>
      <c r="D25" s="89">
        <v>10.91</v>
      </c>
      <c r="E25" s="89" t="s">
        <v>592</v>
      </c>
      <c r="F25" s="91">
        <v>0.1046</v>
      </c>
      <c r="G25" s="89">
        <v>2.62</v>
      </c>
    </row>
    <row r="26" spans="1:17" x14ac:dyDescent="0.35">
      <c r="A26" s="89" t="s">
        <v>593</v>
      </c>
      <c r="B26" s="89">
        <v>2</v>
      </c>
      <c r="C26" s="46">
        <v>1888900000</v>
      </c>
      <c r="D26" s="89">
        <v>14.53</v>
      </c>
      <c r="E26" s="89" t="s">
        <v>594</v>
      </c>
      <c r="F26" s="91">
        <v>8.9099999999999999E-2</v>
      </c>
      <c r="G26" s="89">
        <v>20.88</v>
      </c>
    </row>
    <row r="27" spans="1:17" x14ac:dyDescent="0.35">
      <c r="A27" s="89" t="s">
        <v>595</v>
      </c>
      <c r="B27" s="89">
        <v>2</v>
      </c>
      <c r="C27" s="46">
        <v>2669345400</v>
      </c>
      <c r="D27" s="89">
        <v>9.1999999999999993</v>
      </c>
      <c r="E27" s="89" t="s">
        <v>596</v>
      </c>
      <c r="F27" s="91">
        <v>0.14380000000000001</v>
      </c>
      <c r="G27" s="89">
        <v>2.0699999999999998</v>
      </c>
    </row>
    <row r="28" spans="1:17" x14ac:dyDescent="0.35">
      <c r="A28" s="89" t="s">
        <v>597</v>
      </c>
      <c r="B28" s="89">
        <v>2</v>
      </c>
      <c r="C28" s="46">
        <v>12356842000</v>
      </c>
      <c r="D28" s="89">
        <v>12</v>
      </c>
      <c r="E28" s="89" t="s">
        <v>598</v>
      </c>
      <c r="F28" s="91">
        <v>0.125</v>
      </c>
      <c r="G28" s="89">
        <v>6.3</v>
      </c>
      <c r="I28" t="s">
        <v>205</v>
      </c>
    </row>
    <row r="29" spans="1:17" x14ac:dyDescent="0.35">
      <c r="A29" s="163" t="s">
        <v>141</v>
      </c>
      <c r="B29" s="163"/>
      <c r="C29" s="163"/>
      <c r="D29" s="163"/>
      <c r="E29" s="163"/>
      <c r="F29" s="163"/>
      <c r="G29" s="163"/>
    </row>
    <row r="30" spans="1:17" ht="14.15" customHeight="1" x14ac:dyDescent="0.35">
      <c r="A30" s="90" t="s">
        <v>130</v>
      </c>
      <c r="B30" s="90" t="s">
        <v>129</v>
      </c>
      <c r="C30" s="90" t="s">
        <v>142</v>
      </c>
      <c r="D30" s="90" t="s">
        <v>140</v>
      </c>
      <c r="E30" s="90" t="s">
        <v>192</v>
      </c>
      <c r="F30" s="90" t="s">
        <v>131</v>
      </c>
      <c r="G30" s="90" t="s">
        <v>148</v>
      </c>
    </row>
    <row r="31" spans="1:17" x14ac:dyDescent="0.35">
      <c r="A31" s="89" t="s">
        <v>599</v>
      </c>
      <c r="B31" s="91">
        <v>0.2</v>
      </c>
      <c r="C31" s="46">
        <v>4892160000</v>
      </c>
      <c r="D31" s="89">
        <v>47.04</v>
      </c>
      <c r="E31" s="89" t="s">
        <v>312</v>
      </c>
      <c r="F31" s="91">
        <v>3.6400000000000002E-2</v>
      </c>
      <c r="G31" s="33"/>
      <c r="H31" s="1"/>
      <c r="I31" s="91"/>
      <c r="J31" s="91"/>
      <c r="K31" s="91"/>
      <c r="L31" s="91" t="s">
        <v>205</v>
      </c>
      <c r="M31" s="91"/>
      <c r="N31" s="1"/>
      <c r="O31" s="1"/>
      <c r="P31" s="1"/>
      <c r="Q31" s="1"/>
    </row>
    <row r="32" spans="1:17" x14ac:dyDescent="0.35">
      <c r="A32" s="89" t="s">
        <v>600</v>
      </c>
      <c r="B32" s="91">
        <v>0.2</v>
      </c>
      <c r="C32" s="46">
        <v>1471849600</v>
      </c>
      <c r="D32" s="89">
        <v>36.06</v>
      </c>
      <c r="E32" s="89" t="s">
        <v>601</v>
      </c>
      <c r="F32" s="91">
        <v>0.19969999999999999</v>
      </c>
      <c r="G32" s="33"/>
      <c r="H32" s="1"/>
      <c r="I32" s="91"/>
      <c r="J32" s="91"/>
      <c r="K32" s="91"/>
      <c r="L32" s="91"/>
      <c r="M32" s="91"/>
      <c r="N32" s="1"/>
      <c r="O32" s="1"/>
      <c r="P32" s="1"/>
      <c r="Q32" s="1" t="s">
        <v>205</v>
      </c>
    </row>
    <row r="33" spans="1:17" x14ac:dyDescent="0.35">
      <c r="A33" s="89" t="s">
        <v>531</v>
      </c>
      <c r="B33" s="91">
        <v>0.20019999999999999</v>
      </c>
      <c r="C33" s="46">
        <v>995532400</v>
      </c>
      <c r="D33" s="89">
        <v>29.86</v>
      </c>
      <c r="E33" s="89" t="s">
        <v>532</v>
      </c>
      <c r="F33" s="91">
        <v>0.46639999999999998</v>
      </c>
      <c r="G33" s="33"/>
      <c r="H33" s="74" t="s">
        <v>603</v>
      </c>
      <c r="I33" s="91"/>
      <c r="J33" s="91"/>
      <c r="K33" s="91"/>
      <c r="L33" s="91"/>
      <c r="M33" s="91"/>
      <c r="N33" s="1"/>
      <c r="O33" s="1"/>
      <c r="P33" s="1"/>
      <c r="Q33" s="1"/>
    </row>
  </sheetData>
  <mergeCells count="4">
    <mergeCell ref="A29:G29"/>
    <mergeCell ref="H1:S1"/>
    <mergeCell ref="A6:G6"/>
    <mergeCell ref="A1:G1"/>
  </mergeCells>
  <phoneticPr fontId="1" type="noConversion"/>
  <dataValidations count="2">
    <dataValidation type="list" allowBlank="1" showInputMessage="1" showErrorMessage="1" sqref="I29:S34" xr:uid="{DC51E6D3-37CF-4BC2-B03E-BD576F4BD4C4}">
      <formula1>$U$5+$U$3+$U$5</formula1>
    </dataValidation>
    <dataValidation type="list" allowBlank="1" showInputMessage="1" showErrorMessage="1" sqref="H34:H57 H3:S33" xr:uid="{54DDFAC7-540B-498E-BF0F-6439340FA3D0}">
      <formula1>$U$2:$U$5</formula1>
    </dataValidation>
  </dataValidations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7A408-0115-446C-A2BB-84C0218AF76A}">
  <dimension ref="A1:T45"/>
  <sheetViews>
    <sheetView topLeftCell="A13" workbookViewId="0">
      <selection activeCell="G37" sqref="G37"/>
    </sheetView>
  </sheetViews>
  <sheetFormatPr defaultRowHeight="14.15" x14ac:dyDescent="0.35"/>
  <cols>
    <col min="1" max="1" width="15.42578125" bestFit="1" customWidth="1"/>
    <col min="2" max="2" width="8.5703125" bestFit="1" customWidth="1"/>
    <col min="3" max="3" width="10.0703125" customWidth="1"/>
    <col min="4" max="4" width="14.42578125" bestFit="1" customWidth="1"/>
    <col min="5" max="5" width="11.2109375" bestFit="1" customWidth="1"/>
    <col min="6" max="6" width="29.28515625" customWidth="1"/>
    <col min="10" max="10" width="10.5" bestFit="1" customWidth="1"/>
    <col min="11" max="11" width="10.5" customWidth="1"/>
    <col min="12" max="12" width="9.28515625" customWidth="1"/>
    <col min="13" max="14" width="6.78515625" customWidth="1"/>
    <col min="15" max="15" width="9.0703125" bestFit="1" customWidth="1"/>
    <col min="19" max="19" width="7.42578125" bestFit="1" customWidth="1"/>
  </cols>
  <sheetData>
    <row r="1" spans="1:20" x14ac:dyDescent="0.35">
      <c r="A1" s="71" t="s">
        <v>379</v>
      </c>
      <c r="B1" s="71" t="s">
        <v>192</v>
      </c>
      <c r="C1" s="71" t="s">
        <v>9</v>
      </c>
      <c r="D1" s="71" t="s">
        <v>18</v>
      </c>
      <c r="E1" s="71" t="s">
        <v>19</v>
      </c>
      <c r="F1" s="70" t="s">
        <v>24</v>
      </c>
      <c r="G1" s="72" t="s">
        <v>397</v>
      </c>
    </row>
    <row r="2" spans="1:20" x14ac:dyDescent="0.35">
      <c r="A2" s="81" t="s">
        <v>144</v>
      </c>
      <c r="B2" s="81"/>
      <c r="C2" s="84"/>
      <c r="D2" s="81"/>
      <c r="E2" s="81"/>
      <c r="F2" s="1" t="s">
        <v>503</v>
      </c>
      <c r="G2" t="s">
        <v>502</v>
      </c>
    </row>
    <row r="4" spans="1:20" x14ac:dyDescent="0.35">
      <c r="A4" s="163" t="s">
        <v>141</v>
      </c>
      <c r="B4" s="163"/>
      <c r="C4" s="163"/>
      <c r="D4" s="163"/>
      <c r="E4" s="163"/>
      <c r="F4" s="163"/>
      <c r="G4" s="163"/>
      <c r="H4" s="82"/>
      <c r="I4" s="162" t="s">
        <v>4</v>
      </c>
      <c r="J4" s="162"/>
      <c r="K4" s="162"/>
      <c r="L4" s="162"/>
      <c r="M4" s="162"/>
      <c r="N4" s="162"/>
      <c r="O4" s="162"/>
      <c r="P4" s="162"/>
      <c r="Q4" s="162"/>
      <c r="R4" s="162"/>
      <c r="S4" s="162"/>
      <c r="T4" s="162"/>
    </row>
    <row r="5" spans="1:20" ht="14.15" customHeight="1" x14ac:dyDescent="0.35">
      <c r="A5" s="83" t="s">
        <v>130</v>
      </c>
      <c r="B5" s="83" t="s">
        <v>129</v>
      </c>
      <c r="C5" s="83" t="s">
        <v>142</v>
      </c>
      <c r="D5" s="83" t="s">
        <v>140</v>
      </c>
      <c r="E5" s="83" t="s">
        <v>192</v>
      </c>
      <c r="F5" s="83" t="s">
        <v>131</v>
      </c>
      <c r="G5" s="83" t="s">
        <v>148</v>
      </c>
      <c r="H5" s="83"/>
      <c r="I5" s="87" t="s">
        <v>506</v>
      </c>
      <c r="J5" s="87" t="s">
        <v>489</v>
      </c>
      <c r="K5" s="87" t="s">
        <v>501</v>
      </c>
      <c r="L5" s="87" t="s">
        <v>496</v>
      </c>
      <c r="M5" s="87" t="s">
        <v>494</v>
      </c>
      <c r="N5" s="87" t="s">
        <v>495</v>
      </c>
      <c r="O5" s="51" t="s">
        <v>203</v>
      </c>
      <c r="P5" s="51" t="s">
        <v>149</v>
      </c>
      <c r="Q5" s="51" t="s">
        <v>152</v>
      </c>
      <c r="R5" s="51" t="s">
        <v>153</v>
      </c>
      <c r="S5" s="51" t="s">
        <v>376</v>
      </c>
      <c r="T5" s="51" t="s">
        <v>150</v>
      </c>
    </row>
    <row r="6" spans="1:20" x14ac:dyDescent="0.35">
      <c r="A6" s="81" t="s">
        <v>576</v>
      </c>
      <c r="B6" s="81" t="s">
        <v>505</v>
      </c>
      <c r="C6" s="84">
        <v>0.1691</v>
      </c>
      <c r="D6" s="46">
        <v>15945534000</v>
      </c>
      <c r="E6" s="81">
        <v>10.58</v>
      </c>
      <c r="F6" s="81" t="s">
        <v>506</v>
      </c>
      <c r="G6" s="84">
        <v>8.3299999999999999E-2</v>
      </c>
      <c r="H6" s="33"/>
      <c r="I6" s="1" t="s">
        <v>205</v>
      </c>
      <c r="J6" s="84"/>
      <c r="K6" s="84"/>
      <c r="L6" s="84"/>
      <c r="M6" s="84"/>
      <c r="N6" s="84"/>
      <c r="O6" s="1"/>
      <c r="P6" s="1"/>
      <c r="Q6" s="1"/>
      <c r="R6" s="1"/>
    </row>
    <row r="7" spans="1:20" x14ac:dyDescent="0.35">
      <c r="A7" s="81" t="s">
        <v>577</v>
      </c>
      <c r="B7" s="81" t="s">
        <v>578</v>
      </c>
      <c r="C7" s="84">
        <v>0.16070000000000001</v>
      </c>
      <c r="D7" s="46">
        <v>3078088400</v>
      </c>
      <c r="E7" s="81">
        <v>10.98</v>
      </c>
      <c r="F7" s="81" t="s">
        <v>583</v>
      </c>
      <c r="G7" s="84">
        <v>9.6100000000000005E-2</v>
      </c>
      <c r="H7" s="33"/>
      <c r="I7" s="1" t="s">
        <v>205</v>
      </c>
      <c r="J7" s="84"/>
      <c r="K7" s="84"/>
      <c r="L7" s="84"/>
      <c r="M7" s="84"/>
      <c r="N7" s="84"/>
      <c r="O7" s="1"/>
      <c r="P7" s="1"/>
      <c r="Q7" s="1"/>
      <c r="R7" s="1"/>
    </row>
    <row r="8" spans="1:20" x14ac:dyDescent="0.35">
      <c r="A8" s="81" t="s">
        <v>533</v>
      </c>
      <c r="B8" s="81" t="s">
        <v>534</v>
      </c>
      <c r="C8" s="84">
        <v>0.19989999999999999</v>
      </c>
      <c r="D8" s="46">
        <v>4080716300</v>
      </c>
      <c r="E8" s="81">
        <v>20.71</v>
      </c>
      <c r="F8" s="81" t="s">
        <v>582</v>
      </c>
      <c r="G8" s="84">
        <v>0.20730000000000001</v>
      </c>
      <c r="H8" s="33"/>
      <c r="I8" s="1" t="s">
        <v>205</v>
      </c>
      <c r="J8" s="84"/>
      <c r="K8" s="84"/>
      <c r="L8" s="84"/>
      <c r="M8" s="84"/>
      <c r="N8" s="84"/>
      <c r="O8" s="1"/>
      <c r="P8" s="1"/>
      <c r="Q8" s="1"/>
      <c r="R8" s="1"/>
    </row>
    <row r="9" spans="1:20" x14ac:dyDescent="0.35">
      <c r="A9" s="81" t="s">
        <v>407</v>
      </c>
      <c r="B9" s="81" t="s">
        <v>408</v>
      </c>
      <c r="C9" s="84">
        <v>0.19989999999999999</v>
      </c>
      <c r="D9" s="46">
        <v>4279949100</v>
      </c>
      <c r="E9" s="81">
        <v>34.1</v>
      </c>
      <c r="F9" s="81" t="s">
        <v>507</v>
      </c>
      <c r="G9" s="84">
        <v>0.2263</v>
      </c>
      <c r="H9" s="33"/>
      <c r="I9" s="1"/>
      <c r="J9" s="84"/>
      <c r="K9" s="84"/>
      <c r="L9" s="84"/>
      <c r="M9" s="84"/>
      <c r="N9" s="84"/>
      <c r="O9" s="1"/>
      <c r="P9" s="1"/>
      <c r="Q9" s="1"/>
      <c r="R9" s="1"/>
    </row>
    <row r="10" spans="1:20" x14ac:dyDescent="0.35">
      <c r="A10" s="81" t="s">
        <v>579</v>
      </c>
      <c r="B10" s="81" t="s">
        <v>580</v>
      </c>
      <c r="C10" s="84">
        <v>0.16500000000000001</v>
      </c>
      <c r="D10" s="46">
        <v>1020696360</v>
      </c>
      <c r="E10" s="81">
        <v>26.4</v>
      </c>
      <c r="F10" s="81" t="s">
        <v>506</v>
      </c>
      <c r="G10" s="84">
        <v>0.15859999999999999</v>
      </c>
      <c r="H10" s="33"/>
      <c r="I10" s="1" t="s">
        <v>205</v>
      </c>
      <c r="J10" s="84"/>
      <c r="K10" s="84"/>
      <c r="L10" s="84"/>
      <c r="M10" s="84"/>
      <c r="N10" s="84"/>
      <c r="O10" s="1"/>
      <c r="P10" s="1"/>
      <c r="Q10" s="1"/>
      <c r="R10" s="1"/>
    </row>
    <row r="11" spans="1:20" x14ac:dyDescent="0.35">
      <c r="A11" s="81" t="s">
        <v>530</v>
      </c>
      <c r="B11" s="81" t="s">
        <v>531</v>
      </c>
      <c r="C11" s="84">
        <v>0.20019999999999999</v>
      </c>
      <c r="D11" s="46">
        <v>829499200</v>
      </c>
      <c r="E11" s="81">
        <v>24.88</v>
      </c>
      <c r="F11" s="81" t="s">
        <v>532</v>
      </c>
      <c r="G11" s="84">
        <v>7.0800000000000002E-2</v>
      </c>
      <c r="H11" s="33"/>
      <c r="I11" s="95" t="s">
        <v>209</v>
      </c>
      <c r="J11" s="84"/>
      <c r="K11" s="84"/>
      <c r="L11" s="84"/>
      <c r="M11" s="84"/>
      <c r="N11" s="84"/>
      <c r="O11" s="1"/>
      <c r="P11" s="1"/>
      <c r="Q11" s="1"/>
      <c r="R11" s="1"/>
    </row>
    <row r="12" spans="1:20" x14ac:dyDescent="0.35">
      <c r="A12" s="81"/>
      <c r="B12" s="81"/>
      <c r="C12" s="84"/>
      <c r="D12" s="46"/>
      <c r="E12" s="81"/>
      <c r="F12" s="81"/>
      <c r="G12" s="84"/>
      <c r="H12" s="84"/>
      <c r="I12" s="1"/>
      <c r="J12" s="84"/>
      <c r="K12" s="84"/>
      <c r="L12" s="84"/>
      <c r="M12" s="84"/>
      <c r="N12" s="84"/>
      <c r="O12" s="1"/>
      <c r="P12" s="1"/>
      <c r="Q12" s="1"/>
      <c r="R12" s="1"/>
    </row>
    <row r="13" spans="1:20" x14ac:dyDescent="0.35">
      <c r="A13" s="163" t="s">
        <v>138</v>
      </c>
      <c r="B13" s="163"/>
      <c r="C13" s="163"/>
      <c r="D13" s="163"/>
      <c r="E13" s="163"/>
      <c r="F13" s="163"/>
      <c r="G13" s="163"/>
      <c r="H13" s="163"/>
      <c r="I13" s="1"/>
      <c r="O13" s="1"/>
      <c r="P13" s="1"/>
      <c r="Q13" s="1"/>
      <c r="R13" s="1"/>
    </row>
    <row r="14" spans="1:20" x14ac:dyDescent="0.35">
      <c r="A14" s="83" t="s">
        <v>130</v>
      </c>
      <c r="B14" s="83" t="s">
        <v>129</v>
      </c>
      <c r="C14" s="83" t="s">
        <v>137</v>
      </c>
      <c r="D14" s="50" t="s">
        <v>140</v>
      </c>
      <c r="E14" s="83" t="s">
        <v>192</v>
      </c>
      <c r="F14" s="83" t="s">
        <v>131</v>
      </c>
      <c r="G14" s="83" t="s">
        <v>148</v>
      </c>
      <c r="H14" s="83" t="s">
        <v>497</v>
      </c>
      <c r="I14" s="1"/>
      <c r="J14" s="1"/>
      <c r="K14" s="1"/>
      <c r="L14" s="1"/>
      <c r="M14" s="1"/>
      <c r="N14" s="1"/>
      <c r="O14" s="1"/>
      <c r="P14" s="1"/>
      <c r="Q14" s="1"/>
      <c r="R14" s="1"/>
    </row>
    <row r="15" spans="1:20" x14ac:dyDescent="0.35">
      <c r="A15" s="92" t="s">
        <v>466</v>
      </c>
      <c r="B15" s="92" t="s">
        <v>467</v>
      </c>
      <c r="C15" s="92" t="s">
        <v>490</v>
      </c>
      <c r="D15" s="93">
        <v>12379834200</v>
      </c>
      <c r="E15" s="92">
        <v>20.88</v>
      </c>
      <c r="F15" s="92" t="s">
        <v>489</v>
      </c>
      <c r="G15" s="94">
        <v>0.29049999999999998</v>
      </c>
      <c r="H15" s="92">
        <v>3.5</v>
      </c>
      <c r="J15" s="96" t="s">
        <v>491</v>
      </c>
      <c r="K15" s="84"/>
      <c r="L15" s="84"/>
      <c r="M15" s="84"/>
      <c r="N15" s="84"/>
    </row>
    <row r="16" spans="1:20" x14ac:dyDescent="0.35">
      <c r="A16" s="81" t="s">
        <v>581</v>
      </c>
      <c r="B16" s="81" t="s">
        <v>144</v>
      </c>
      <c r="C16" s="81">
        <v>12</v>
      </c>
      <c r="D16" s="46">
        <v>2489818200</v>
      </c>
      <c r="E16" s="81">
        <v>89.07</v>
      </c>
      <c r="F16" s="81" t="s">
        <v>161</v>
      </c>
      <c r="G16" s="84">
        <v>0.44619999999999999</v>
      </c>
      <c r="H16" s="81">
        <v>11.45</v>
      </c>
    </row>
    <row r="17" spans="1:14" x14ac:dyDescent="0.35">
      <c r="A17" s="81" t="s">
        <v>154</v>
      </c>
      <c r="B17" s="81" t="s">
        <v>155</v>
      </c>
      <c r="C17" s="81">
        <v>8</v>
      </c>
      <c r="D17" s="46">
        <v>4650151500</v>
      </c>
      <c r="E17" s="81">
        <v>12.86</v>
      </c>
      <c r="F17" s="81" t="s">
        <v>210</v>
      </c>
      <c r="G17" s="84">
        <v>8.1600000000000006E-2</v>
      </c>
      <c r="H17" s="81">
        <v>43.43</v>
      </c>
    </row>
    <row r="18" spans="1:14" x14ac:dyDescent="0.35">
      <c r="A18" s="81" t="s">
        <v>159</v>
      </c>
      <c r="B18" s="81" t="s">
        <v>211</v>
      </c>
      <c r="C18" s="81">
        <v>7</v>
      </c>
      <c r="D18" s="46">
        <v>5641196200</v>
      </c>
      <c r="E18" s="81">
        <v>10.199999999999999</v>
      </c>
      <c r="F18" s="81" t="s">
        <v>584</v>
      </c>
      <c r="G18" s="84">
        <v>0.21840000000000001</v>
      </c>
      <c r="H18" s="81">
        <v>4.63</v>
      </c>
      <c r="J18" t="s">
        <v>504</v>
      </c>
    </row>
    <row r="19" spans="1:14" x14ac:dyDescent="0.35">
      <c r="A19" s="81" t="s">
        <v>453</v>
      </c>
      <c r="B19" s="81" t="s">
        <v>454</v>
      </c>
      <c r="C19" s="81">
        <v>3</v>
      </c>
      <c r="D19" s="46">
        <v>5153506400</v>
      </c>
      <c r="E19" s="81">
        <v>8.24</v>
      </c>
      <c r="F19" s="81" t="s">
        <v>508</v>
      </c>
      <c r="G19" s="84">
        <v>6.7999999999999996E-3</v>
      </c>
      <c r="H19" s="81">
        <v>703.03</v>
      </c>
      <c r="J19" s="97" t="s">
        <v>504</v>
      </c>
    </row>
    <row r="20" spans="1:14" x14ac:dyDescent="0.35">
      <c r="A20" s="81" t="s">
        <v>468</v>
      </c>
      <c r="B20" s="81" t="s">
        <v>469</v>
      </c>
      <c r="C20" s="81">
        <v>3</v>
      </c>
      <c r="D20" s="46">
        <v>3161891800</v>
      </c>
      <c r="E20" s="81">
        <v>9.33</v>
      </c>
      <c r="F20" s="81" t="s">
        <v>470</v>
      </c>
      <c r="G20" s="84">
        <v>0.1973</v>
      </c>
      <c r="H20" s="81">
        <v>4.3899999999999997</v>
      </c>
      <c r="K20" t="s">
        <v>205</v>
      </c>
    </row>
    <row r="21" spans="1:14" x14ac:dyDescent="0.35">
      <c r="A21" s="81" t="s">
        <v>482</v>
      </c>
      <c r="B21" s="81" t="s">
        <v>483</v>
      </c>
      <c r="C21" s="81">
        <v>3</v>
      </c>
      <c r="D21" s="46">
        <v>1094789400</v>
      </c>
      <c r="E21" s="81">
        <v>15.15</v>
      </c>
      <c r="F21" s="81" t="s">
        <v>509</v>
      </c>
      <c r="G21" s="84">
        <v>0.30130000000000001</v>
      </c>
      <c r="H21" s="81">
        <v>7.38</v>
      </c>
      <c r="K21" t="s">
        <v>205</v>
      </c>
    </row>
    <row r="22" spans="1:14" x14ac:dyDescent="0.35">
      <c r="A22" s="81" t="s">
        <v>510</v>
      </c>
      <c r="B22" s="81" t="s">
        <v>511</v>
      </c>
      <c r="C22" s="81">
        <v>2</v>
      </c>
      <c r="D22" s="46">
        <v>1033802000</v>
      </c>
      <c r="E22" s="81">
        <v>37.729999999999997</v>
      </c>
      <c r="F22" s="81" t="s">
        <v>512</v>
      </c>
      <c r="G22" s="84">
        <v>0.21640000000000001</v>
      </c>
      <c r="H22" s="81">
        <v>5.47</v>
      </c>
      <c r="M22" t="s">
        <v>205</v>
      </c>
    </row>
    <row r="23" spans="1:14" x14ac:dyDescent="0.35">
      <c r="A23" s="81" t="s">
        <v>513</v>
      </c>
      <c r="B23" s="81" t="s">
        <v>514</v>
      </c>
      <c r="C23" s="81">
        <v>2</v>
      </c>
      <c r="D23" s="46">
        <v>1569006700</v>
      </c>
      <c r="E23" s="81">
        <v>18.63</v>
      </c>
      <c r="F23" s="81" t="s">
        <v>515</v>
      </c>
      <c r="G23" s="84">
        <v>0.18029999999999999</v>
      </c>
      <c r="H23" s="81">
        <v>6.47</v>
      </c>
      <c r="J23" t="s">
        <v>206</v>
      </c>
    </row>
    <row r="24" spans="1:14" x14ac:dyDescent="0.35">
      <c r="A24" s="81" t="s">
        <v>516</v>
      </c>
      <c r="B24" s="81" t="s">
        <v>517</v>
      </c>
      <c r="C24" s="81">
        <v>2</v>
      </c>
      <c r="D24" s="46">
        <v>2301163600</v>
      </c>
      <c r="E24" s="81">
        <v>2.31</v>
      </c>
      <c r="F24" s="81" t="s">
        <v>518</v>
      </c>
      <c r="G24" s="84">
        <v>0.1065</v>
      </c>
      <c r="H24" s="81">
        <v>9.0399999999999991</v>
      </c>
    </row>
    <row r="25" spans="1:14" x14ac:dyDescent="0.35">
      <c r="A25" s="81" t="s">
        <v>519</v>
      </c>
      <c r="B25" s="81" t="s">
        <v>520</v>
      </c>
      <c r="C25" s="81">
        <v>2</v>
      </c>
      <c r="D25" s="46">
        <v>2521608200</v>
      </c>
      <c r="E25" s="81">
        <v>17.82</v>
      </c>
      <c r="F25" s="81" t="s">
        <v>521</v>
      </c>
      <c r="G25" s="84">
        <v>0.29520000000000002</v>
      </c>
      <c r="H25" s="81">
        <v>20.9</v>
      </c>
      <c r="I25" s="95" t="s">
        <v>209</v>
      </c>
    </row>
    <row r="26" spans="1:14" x14ac:dyDescent="0.35">
      <c r="A26" s="81" t="s">
        <v>522</v>
      </c>
      <c r="B26" s="81" t="s">
        <v>523</v>
      </c>
      <c r="C26" s="81">
        <v>2</v>
      </c>
      <c r="D26" s="46">
        <v>1894755500</v>
      </c>
      <c r="E26" s="81">
        <v>5.0599999999999996</v>
      </c>
      <c r="F26" s="81" t="s">
        <v>524</v>
      </c>
      <c r="G26" s="84">
        <v>0.14430000000000001</v>
      </c>
      <c r="H26" s="81">
        <v>23.94</v>
      </c>
      <c r="I26" s="95" t="s">
        <v>209</v>
      </c>
    </row>
    <row r="27" spans="1:14" x14ac:dyDescent="0.35">
      <c r="A27" s="81" t="s">
        <v>525</v>
      </c>
      <c r="B27" s="81" t="s">
        <v>526</v>
      </c>
      <c r="C27" s="81">
        <v>2</v>
      </c>
      <c r="D27" s="46">
        <v>9000184300</v>
      </c>
      <c r="E27" s="81">
        <v>4.66</v>
      </c>
      <c r="F27" s="81" t="s">
        <v>527</v>
      </c>
      <c r="G27" s="84">
        <v>6.8400000000000002E-2</v>
      </c>
      <c r="H27" s="81">
        <v>4.74</v>
      </c>
      <c r="N27" t="s">
        <v>205</v>
      </c>
    </row>
    <row r="28" spans="1:14" x14ac:dyDescent="0.35">
      <c r="A28" s="81" t="s">
        <v>528</v>
      </c>
      <c r="B28" s="81" t="s">
        <v>529</v>
      </c>
      <c r="C28" s="81">
        <v>2</v>
      </c>
      <c r="D28" s="46">
        <v>3813269600</v>
      </c>
      <c r="E28" s="81">
        <v>8.1999999999999993</v>
      </c>
      <c r="F28" s="81" t="s">
        <v>585</v>
      </c>
      <c r="G28" s="84">
        <v>1.47E-2</v>
      </c>
      <c r="H28" s="81">
        <v>141.96</v>
      </c>
      <c r="I28" s="95" t="s">
        <v>209</v>
      </c>
      <c r="J28" t="s">
        <v>205</v>
      </c>
    </row>
    <row r="29" spans="1:14" x14ac:dyDescent="0.35">
      <c r="A29" s="81" t="s">
        <v>530</v>
      </c>
      <c r="B29" s="81" t="s">
        <v>531</v>
      </c>
      <c r="C29" s="81">
        <v>1</v>
      </c>
      <c r="D29" s="46">
        <v>829499200</v>
      </c>
      <c r="E29" s="81">
        <v>24.88</v>
      </c>
      <c r="F29" s="81" t="s">
        <v>532</v>
      </c>
      <c r="G29" s="84">
        <v>7.0800000000000002E-2</v>
      </c>
      <c r="H29" s="81">
        <v>64.73</v>
      </c>
    </row>
    <row r="30" spans="1:14" x14ac:dyDescent="0.35">
      <c r="A30" s="81" t="s">
        <v>533</v>
      </c>
      <c r="B30" s="81" t="s">
        <v>534</v>
      </c>
      <c r="C30" s="81">
        <v>1</v>
      </c>
      <c r="D30" s="46">
        <v>4080716300</v>
      </c>
      <c r="E30" s="81">
        <v>20.71</v>
      </c>
      <c r="F30" s="81" t="s">
        <v>535</v>
      </c>
      <c r="G30" s="84">
        <v>0.20730000000000001</v>
      </c>
      <c r="H30" s="81">
        <v>2.4500000000000002</v>
      </c>
      <c r="I30" t="s">
        <v>206</v>
      </c>
    </row>
    <row r="31" spans="1:14" x14ac:dyDescent="0.35">
      <c r="A31" s="81" t="s">
        <v>536</v>
      </c>
      <c r="B31" s="81" t="s">
        <v>537</v>
      </c>
      <c r="C31" s="81">
        <v>1</v>
      </c>
      <c r="D31" s="46">
        <v>2145638300</v>
      </c>
      <c r="E31" s="81">
        <v>15.87</v>
      </c>
      <c r="F31" s="81" t="s">
        <v>505</v>
      </c>
      <c r="G31" s="84">
        <v>7.6E-3</v>
      </c>
      <c r="H31" s="81">
        <v>381.56</v>
      </c>
      <c r="I31" t="s">
        <v>205</v>
      </c>
    </row>
    <row r="32" spans="1:14" x14ac:dyDescent="0.35">
      <c r="A32" s="81" t="s">
        <v>538</v>
      </c>
      <c r="B32" s="81" t="s">
        <v>539</v>
      </c>
      <c r="C32" s="81">
        <v>1</v>
      </c>
      <c r="D32" s="46">
        <v>1679941400</v>
      </c>
      <c r="E32" s="81">
        <v>10.45</v>
      </c>
      <c r="F32" s="81" t="s">
        <v>540</v>
      </c>
      <c r="G32" s="84">
        <v>6.5299999999999997E-2</v>
      </c>
      <c r="H32" s="81">
        <v>15.08</v>
      </c>
    </row>
    <row r="33" spans="1:9" x14ac:dyDescent="0.35">
      <c r="A33" s="81" t="s">
        <v>541</v>
      </c>
      <c r="B33" s="81" t="s">
        <v>542</v>
      </c>
      <c r="C33" s="81">
        <v>1</v>
      </c>
      <c r="D33" s="46">
        <v>4442332900</v>
      </c>
      <c r="E33" s="81">
        <v>18.57</v>
      </c>
      <c r="F33" s="81" t="s">
        <v>543</v>
      </c>
      <c r="G33" s="84">
        <v>1.0800000000000001E-2</v>
      </c>
      <c r="H33" s="81">
        <v>108.56</v>
      </c>
    </row>
    <row r="34" spans="1:9" x14ac:dyDescent="0.35">
      <c r="A34" s="81" t="s">
        <v>544</v>
      </c>
      <c r="B34" s="81" t="s">
        <v>545</v>
      </c>
      <c r="C34" s="81">
        <v>1</v>
      </c>
      <c r="D34" s="46">
        <v>4950443300</v>
      </c>
      <c r="E34" s="81">
        <v>16.649999999999999</v>
      </c>
      <c r="F34" s="81" t="s">
        <v>546</v>
      </c>
      <c r="G34" s="84">
        <v>0.26319999999999999</v>
      </c>
      <c r="H34" s="81">
        <v>2.21</v>
      </c>
    </row>
    <row r="35" spans="1:9" x14ac:dyDescent="0.35">
      <c r="A35" s="81" t="s">
        <v>547</v>
      </c>
      <c r="B35" s="81" t="s">
        <v>712</v>
      </c>
      <c r="C35" s="81">
        <v>1</v>
      </c>
      <c r="D35" s="46">
        <v>2237084200</v>
      </c>
      <c r="E35" s="81">
        <v>4.87</v>
      </c>
      <c r="F35" s="81" t="s">
        <v>549</v>
      </c>
      <c r="G35" s="84">
        <v>0.1048</v>
      </c>
      <c r="H35" s="81">
        <v>13.44</v>
      </c>
      <c r="I35" t="s">
        <v>205</v>
      </c>
    </row>
    <row r="36" spans="1:9" x14ac:dyDescent="0.35">
      <c r="A36" s="81" t="s">
        <v>550</v>
      </c>
      <c r="B36" s="81" t="s">
        <v>551</v>
      </c>
      <c r="C36" s="81">
        <v>1</v>
      </c>
      <c r="D36" s="46">
        <v>3475992900</v>
      </c>
      <c r="E36" s="81">
        <v>7.23</v>
      </c>
      <c r="F36" s="81" t="s">
        <v>552</v>
      </c>
      <c r="G36" s="84">
        <v>3.32E-2</v>
      </c>
      <c r="H36" s="81">
        <v>34.99</v>
      </c>
      <c r="I36" t="s">
        <v>205</v>
      </c>
    </row>
    <row r="37" spans="1:9" x14ac:dyDescent="0.35">
      <c r="A37" s="81" t="s">
        <v>553</v>
      </c>
      <c r="B37" s="81" t="s">
        <v>554</v>
      </c>
      <c r="C37" s="81">
        <v>1</v>
      </c>
      <c r="D37" s="46">
        <v>3512068900</v>
      </c>
      <c r="E37" s="81">
        <v>6.77</v>
      </c>
      <c r="F37" s="81" t="s">
        <v>555</v>
      </c>
      <c r="G37" s="84">
        <v>2.01E-2</v>
      </c>
      <c r="H37" s="81">
        <v>53.04</v>
      </c>
      <c r="I37" s="95" t="s">
        <v>209</v>
      </c>
    </row>
    <row r="38" spans="1:9" x14ac:dyDescent="0.35">
      <c r="A38" s="81" t="s">
        <v>556</v>
      </c>
      <c r="B38" s="81" t="s">
        <v>557</v>
      </c>
      <c r="C38" s="81">
        <v>1</v>
      </c>
      <c r="D38" s="46">
        <v>4534603200</v>
      </c>
      <c r="E38" s="81">
        <v>4.47</v>
      </c>
      <c r="F38" s="81" t="s">
        <v>558</v>
      </c>
      <c r="G38" s="84">
        <v>0.1022</v>
      </c>
      <c r="H38" s="81">
        <v>6.6</v>
      </c>
    </row>
    <row r="39" spans="1:9" x14ac:dyDescent="0.35">
      <c r="A39" s="81" t="s">
        <v>559</v>
      </c>
      <c r="B39" s="81" t="s">
        <v>560</v>
      </c>
      <c r="C39" s="81">
        <v>1</v>
      </c>
      <c r="D39" s="46">
        <v>3639733000</v>
      </c>
      <c r="E39" s="81">
        <v>2.38</v>
      </c>
      <c r="F39" s="81" t="s">
        <v>561</v>
      </c>
      <c r="G39" s="84">
        <v>4.6699999999999998E-2</v>
      </c>
      <c r="H39" s="81">
        <v>41.84</v>
      </c>
    </row>
    <row r="40" spans="1:9" x14ac:dyDescent="0.35">
      <c r="A40" s="81" t="s">
        <v>562</v>
      </c>
      <c r="B40" s="81" t="s">
        <v>563</v>
      </c>
      <c r="C40" s="81">
        <v>1</v>
      </c>
      <c r="D40" s="46">
        <v>2395482400</v>
      </c>
      <c r="E40" s="81">
        <v>7.83</v>
      </c>
      <c r="F40" s="81" t="s">
        <v>564</v>
      </c>
      <c r="G40" s="84">
        <v>4.9500000000000002E-2</v>
      </c>
      <c r="H40" s="81">
        <v>53.37</v>
      </c>
      <c r="I40" t="s">
        <v>205</v>
      </c>
    </row>
    <row r="41" spans="1:9" x14ac:dyDescent="0.35">
      <c r="A41" s="81" t="s">
        <v>565</v>
      </c>
      <c r="B41" s="81" t="s">
        <v>566</v>
      </c>
      <c r="C41" s="81">
        <v>1</v>
      </c>
      <c r="D41" s="46">
        <v>9233085500</v>
      </c>
      <c r="E41" s="81">
        <v>10.1</v>
      </c>
      <c r="F41" s="81" t="s">
        <v>567</v>
      </c>
      <c r="G41" s="84">
        <v>4.6199999999999998E-2</v>
      </c>
      <c r="H41" s="81">
        <v>12.18</v>
      </c>
    </row>
    <row r="42" spans="1:9" x14ac:dyDescent="0.35">
      <c r="A42" s="81" t="s">
        <v>568</v>
      </c>
      <c r="B42" s="81" t="s">
        <v>569</v>
      </c>
      <c r="C42" s="81">
        <v>1</v>
      </c>
      <c r="D42" s="46">
        <v>4981714500</v>
      </c>
      <c r="E42" s="81">
        <v>3.73</v>
      </c>
      <c r="F42" s="81" t="s">
        <v>561</v>
      </c>
      <c r="G42" s="84">
        <v>8.1299999999999997E-2</v>
      </c>
      <c r="H42" s="81">
        <v>11.7</v>
      </c>
    </row>
    <row r="43" spans="1:9" x14ac:dyDescent="0.35">
      <c r="A43" s="81" t="s">
        <v>570</v>
      </c>
      <c r="B43" s="81" t="s">
        <v>571</v>
      </c>
      <c r="C43" s="81">
        <v>1</v>
      </c>
      <c r="D43" s="46">
        <v>3834378400</v>
      </c>
      <c r="E43" s="81">
        <v>2.06</v>
      </c>
      <c r="F43" s="81" t="s">
        <v>572</v>
      </c>
      <c r="G43" s="84">
        <v>0.10249999999999999</v>
      </c>
      <c r="H43" s="81">
        <v>6.92</v>
      </c>
      <c r="I43" t="s">
        <v>209</v>
      </c>
    </row>
    <row r="44" spans="1:9" x14ac:dyDescent="0.35">
      <c r="A44" s="81" t="s">
        <v>573</v>
      </c>
      <c r="B44" s="81" t="s">
        <v>574</v>
      </c>
      <c r="C44" s="81">
        <v>1</v>
      </c>
      <c r="D44" s="46">
        <v>2039998000</v>
      </c>
      <c r="E44" s="81">
        <v>12.58</v>
      </c>
      <c r="F44" s="81" t="s">
        <v>575</v>
      </c>
      <c r="G44" s="84">
        <v>0.19739999999999999</v>
      </c>
      <c r="H44" s="81">
        <v>7.19</v>
      </c>
    </row>
    <row r="45" spans="1:9" x14ac:dyDescent="0.35">
      <c r="D45" s="46"/>
    </row>
  </sheetData>
  <mergeCells count="3">
    <mergeCell ref="A4:G4"/>
    <mergeCell ref="A13:H13"/>
    <mergeCell ref="I4:T4"/>
  </mergeCells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992C-938F-488E-9696-9AFCD031A105}">
  <dimension ref="A1:S61"/>
  <sheetViews>
    <sheetView workbookViewId="0">
      <selection activeCell="G37" sqref="G37"/>
    </sheetView>
  </sheetViews>
  <sheetFormatPr defaultRowHeight="14.15" x14ac:dyDescent="0.35"/>
  <cols>
    <col min="1" max="1" width="15.42578125" bestFit="1" customWidth="1"/>
    <col min="2" max="2" width="8.5703125" bestFit="1" customWidth="1"/>
    <col min="3" max="3" width="10.0703125" customWidth="1"/>
    <col min="4" max="4" width="14.42578125" bestFit="1" customWidth="1"/>
    <col min="5" max="5" width="9.5703125" bestFit="1" customWidth="1"/>
    <col min="6" max="6" width="29.28515625" customWidth="1"/>
    <col min="10" max="10" width="10.5" bestFit="1" customWidth="1"/>
    <col min="11" max="11" width="10.5" customWidth="1"/>
    <col min="12" max="12" width="9.28515625" customWidth="1"/>
    <col min="13" max="14" width="6.78515625" customWidth="1"/>
    <col min="15" max="15" width="9.0703125" bestFit="1" customWidth="1"/>
    <col min="19" max="19" width="7.42578125" bestFit="1" customWidth="1"/>
  </cols>
  <sheetData>
    <row r="1" spans="1:19" x14ac:dyDescent="0.35">
      <c r="A1" s="71" t="s">
        <v>379</v>
      </c>
      <c r="B1" s="71" t="s">
        <v>192</v>
      </c>
      <c r="C1" s="71" t="s">
        <v>9</v>
      </c>
      <c r="D1" s="71" t="s">
        <v>18</v>
      </c>
      <c r="E1" s="71" t="s">
        <v>19</v>
      </c>
      <c r="F1" s="70" t="s">
        <v>24</v>
      </c>
      <c r="G1" s="72" t="s">
        <v>397</v>
      </c>
    </row>
    <row r="2" spans="1:19" x14ac:dyDescent="0.35">
      <c r="A2" s="79" t="s">
        <v>144</v>
      </c>
      <c r="B2" s="63"/>
      <c r="C2" s="66"/>
      <c r="D2" s="63"/>
      <c r="E2" s="63"/>
      <c r="F2" s="1" t="s">
        <v>503</v>
      </c>
      <c r="G2" t="s">
        <v>502</v>
      </c>
    </row>
    <row r="4" spans="1:19" x14ac:dyDescent="0.35">
      <c r="A4" s="163" t="s">
        <v>141</v>
      </c>
      <c r="B4" s="163"/>
      <c r="C4" s="163"/>
      <c r="D4" s="163"/>
      <c r="E4" s="163"/>
      <c r="F4" s="163"/>
      <c r="G4" s="163"/>
      <c r="H4" s="64"/>
      <c r="I4" s="191" t="s">
        <v>4</v>
      </c>
      <c r="J4" s="191"/>
      <c r="K4" s="191"/>
      <c r="L4" s="191"/>
      <c r="M4" s="191"/>
      <c r="N4" s="191"/>
      <c r="O4" s="191"/>
      <c r="P4" s="191"/>
      <c r="Q4" s="191"/>
      <c r="R4" s="191"/>
      <c r="S4" s="191"/>
    </row>
    <row r="5" spans="1:19" ht="14.15" customHeight="1" x14ac:dyDescent="0.35">
      <c r="A5" s="65" t="s">
        <v>130</v>
      </c>
      <c r="B5" s="65" t="s">
        <v>129</v>
      </c>
      <c r="C5" s="65" t="s">
        <v>142</v>
      </c>
      <c r="D5" s="65" t="s">
        <v>140</v>
      </c>
      <c r="E5" s="65" t="s">
        <v>192</v>
      </c>
      <c r="F5" s="65" t="s">
        <v>131</v>
      </c>
      <c r="G5" s="65" t="s">
        <v>148</v>
      </c>
      <c r="H5" s="65"/>
      <c r="I5" s="51" t="s">
        <v>150</v>
      </c>
      <c r="J5" s="192" t="s">
        <v>493</v>
      </c>
      <c r="K5" s="192"/>
      <c r="L5" s="192"/>
      <c r="M5" s="192"/>
      <c r="N5" s="192"/>
      <c r="O5" s="51" t="s">
        <v>203</v>
      </c>
      <c r="P5" s="51" t="s">
        <v>149</v>
      </c>
      <c r="Q5" s="51" t="s">
        <v>152</v>
      </c>
      <c r="R5" s="51" t="s">
        <v>153</v>
      </c>
      <c r="S5" s="51" t="s">
        <v>376</v>
      </c>
    </row>
    <row r="6" spans="1:19" hidden="1" x14ac:dyDescent="0.35">
      <c r="A6" s="79" t="s">
        <v>401</v>
      </c>
      <c r="B6" s="63" t="s">
        <v>402</v>
      </c>
      <c r="C6" s="66">
        <v>0.20050000000000001</v>
      </c>
      <c r="D6" s="46">
        <v>6673986400</v>
      </c>
      <c r="E6" s="63">
        <v>9.4</v>
      </c>
      <c r="F6" s="63" t="s">
        <v>403</v>
      </c>
      <c r="G6" s="66">
        <v>0.1358</v>
      </c>
      <c r="H6" s="66"/>
      <c r="I6" s="1"/>
      <c r="J6" s="74" t="s">
        <v>205</v>
      </c>
      <c r="K6" s="74"/>
      <c r="L6" s="74"/>
      <c r="M6" s="74"/>
      <c r="N6" s="74"/>
      <c r="O6" s="1"/>
      <c r="P6" s="1"/>
      <c r="Q6" s="1"/>
      <c r="R6" s="1"/>
    </row>
    <row r="7" spans="1:19" hidden="1" x14ac:dyDescent="0.35">
      <c r="A7" s="63" t="s">
        <v>404</v>
      </c>
      <c r="B7" s="63" t="s">
        <v>405</v>
      </c>
      <c r="C7" s="66">
        <v>0.20019999999999999</v>
      </c>
      <c r="D7" s="46">
        <v>4513147800</v>
      </c>
      <c r="E7" s="63">
        <v>14.51</v>
      </c>
      <c r="F7" s="63" t="s">
        <v>406</v>
      </c>
      <c r="G7" s="66">
        <v>9.1200000000000003E-2</v>
      </c>
      <c r="H7" s="66"/>
      <c r="J7" s="74" t="s">
        <v>205</v>
      </c>
      <c r="K7" s="74"/>
      <c r="L7" s="74"/>
      <c r="M7" s="74"/>
      <c r="N7" s="74"/>
      <c r="O7" s="1"/>
    </row>
    <row r="8" spans="1:19" hidden="1" x14ac:dyDescent="0.35">
      <c r="A8" s="63" t="s">
        <v>407</v>
      </c>
      <c r="B8" s="63" t="s">
        <v>408</v>
      </c>
      <c r="C8" s="66">
        <v>0.20019999999999999</v>
      </c>
      <c r="D8" s="46">
        <v>2972117100</v>
      </c>
      <c r="E8" s="63">
        <v>23.68</v>
      </c>
      <c r="F8" s="63" t="s">
        <v>409</v>
      </c>
      <c r="G8" s="66">
        <v>9.8900000000000002E-2</v>
      </c>
      <c r="H8" s="66"/>
      <c r="J8" s="74" t="s">
        <v>205</v>
      </c>
      <c r="K8" s="74"/>
      <c r="L8" s="74"/>
      <c r="M8" s="74"/>
      <c r="N8" s="74"/>
      <c r="O8" s="1"/>
    </row>
    <row r="9" spans="1:19" hidden="1" x14ac:dyDescent="0.35">
      <c r="A9" s="63" t="s">
        <v>410</v>
      </c>
      <c r="B9" s="63" t="s">
        <v>411</v>
      </c>
      <c r="C9" s="66">
        <v>0.20019999999999999</v>
      </c>
      <c r="D9" s="46">
        <v>2370748100</v>
      </c>
      <c r="E9" s="63">
        <v>20.079999999999998</v>
      </c>
      <c r="F9" s="63" t="s">
        <v>409</v>
      </c>
      <c r="G9" s="66">
        <v>5.8500000000000003E-2</v>
      </c>
      <c r="H9" s="66"/>
      <c r="I9" s="63"/>
      <c r="J9" s="74" t="s">
        <v>205</v>
      </c>
      <c r="K9" s="74"/>
      <c r="L9" s="74"/>
      <c r="M9" s="74"/>
      <c r="N9" s="74"/>
      <c r="O9" s="1"/>
      <c r="P9" s="1"/>
      <c r="Q9" s="1"/>
      <c r="R9" s="1"/>
    </row>
    <row r="10" spans="1:19" x14ac:dyDescent="0.35">
      <c r="A10" s="163" t="s">
        <v>138</v>
      </c>
      <c r="B10" s="163"/>
      <c r="C10" s="163"/>
      <c r="D10" s="163"/>
      <c r="E10" s="163"/>
      <c r="F10" s="163"/>
      <c r="G10" s="163"/>
      <c r="H10" s="163"/>
      <c r="I10" s="1"/>
      <c r="J10" s="87" t="s">
        <v>489</v>
      </c>
      <c r="K10" s="87" t="s">
        <v>501</v>
      </c>
      <c r="L10" s="87" t="s">
        <v>496</v>
      </c>
      <c r="M10" s="87" t="s">
        <v>494</v>
      </c>
      <c r="N10" s="87" t="s">
        <v>495</v>
      </c>
      <c r="O10" s="1"/>
      <c r="P10" s="1"/>
      <c r="Q10" s="1"/>
      <c r="R10" s="1"/>
    </row>
    <row r="11" spans="1:19" x14ac:dyDescent="0.35">
      <c r="A11" s="65" t="s">
        <v>130</v>
      </c>
      <c r="B11" s="65" t="s">
        <v>129</v>
      </c>
      <c r="C11" s="65" t="s">
        <v>137</v>
      </c>
      <c r="D11" s="50" t="s">
        <v>140</v>
      </c>
      <c r="E11" s="65" t="s">
        <v>192</v>
      </c>
      <c r="F11" s="65" t="s">
        <v>131</v>
      </c>
      <c r="G11" s="65" t="s">
        <v>148</v>
      </c>
      <c r="H11" s="65" t="s">
        <v>497</v>
      </c>
      <c r="I11" s="1"/>
      <c r="J11" s="1"/>
      <c r="K11" s="1"/>
      <c r="L11" s="1"/>
      <c r="M11" s="1"/>
      <c r="N11" s="1"/>
      <c r="O11" s="1"/>
      <c r="P11" s="1"/>
      <c r="Q11" s="1"/>
      <c r="R11" s="1"/>
    </row>
    <row r="12" spans="1:19" ht="17.600000000000001" x14ac:dyDescent="0.55000000000000004">
      <c r="A12" s="79" t="s">
        <v>466</v>
      </c>
      <c r="B12" s="79" t="s">
        <v>467</v>
      </c>
      <c r="C12" s="79" t="s">
        <v>490</v>
      </c>
      <c r="D12" s="46">
        <v>12379834200</v>
      </c>
      <c r="E12" s="79">
        <v>20.88</v>
      </c>
      <c r="F12" s="79" t="s">
        <v>489</v>
      </c>
      <c r="G12" s="80">
        <v>0.29049999999999998</v>
      </c>
      <c r="H12" s="79">
        <v>3.5</v>
      </c>
      <c r="J12" s="85" t="s">
        <v>491</v>
      </c>
      <c r="K12" s="85"/>
      <c r="L12" s="85"/>
      <c r="M12" s="85"/>
      <c r="N12" s="85"/>
    </row>
    <row r="13" spans="1:19" x14ac:dyDescent="0.35">
      <c r="A13" s="79" t="s">
        <v>143</v>
      </c>
      <c r="B13" s="79" t="s">
        <v>144</v>
      </c>
      <c r="C13" s="79">
        <v>11</v>
      </c>
      <c r="D13" s="46">
        <v>2263394900</v>
      </c>
      <c r="E13" s="79">
        <v>80.97</v>
      </c>
      <c r="F13" s="79" t="s">
        <v>161</v>
      </c>
      <c r="G13" s="86">
        <v>0.27810000000000001</v>
      </c>
      <c r="H13" s="79">
        <v>29.41</v>
      </c>
    </row>
    <row r="14" spans="1:19" x14ac:dyDescent="0.35">
      <c r="A14" s="79" t="s">
        <v>154</v>
      </c>
      <c r="B14" s="79" t="s">
        <v>155</v>
      </c>
      <c r="C14" s="79">
        <v>7</v>
      </c>
      <c r="D14" s="46">
        <v>4227081700</v>
      </c>
      <c r="E14" s="79">
        <v>11.69</v>
      </c>
      <c r="F14" s="79" t="s">
        <v>210</v>
      </c>
      <c r="G14" s="80">
        <v>7.9000000000000008E-3</v>
      </c>
      <c r="H14" s="79">
        <v>810.31</v>
      </c>
      <c r="M14" s="88" t="s">
        <v>504</v>
      </c>
    </row>
    <row r="15" spans="1:19" x14ac:dyDescent="0.35">
      <c r="A15" s="79" t="s">
        <v>159</v>
      </c>
      <c r="B15" s="79" t="s">
        <v>211</v>
      </c>
      <c r="C15" s="79">
        <v>6</v>
      </c>
      <c r="D15" s="46">
        <v>5126851900</v>
      </c>
      <c r="E15" s="79">
        <v>9.27</v>
      </c>
      <c r="F15" s="79" t="s">
        <v>160</v>
      </c>
      <c r="G15" s="80">
        <v>0.1118</v>
      </c>
      <c r="H15" s="79">
        <v>17.07</v>
      </c>
      <c r="J15" t="s">
        <v>206</v>
      </c>
    </row>
    <row r="16" spans="1:19" x14ac:dyDescent="0.35">
      <c r="A16" s="79" t="s">
        <v>217</v>
      </c>
      <c r="B16" s="79" t="s">
        <v>218</v>
      </c>
      <c r="C16" s="79">
        <v>4</v>
      </c>
      <c r="D16" s="46">
        <v>1472487700</v>
      </c>
      <c r="E16" s="79">
        <v>4.8600000000000003</v>
      </c>
      <c r="F16" s="79" t="s">
        <v>445</v>
      </c>
      <c r="G16" s="80">
        <v>6.5500000000000003E-2</v>
      </c>
      <c r="H16" s="79">
        <v>53.89</v>
      </c>
      <c r="L16" t="s">
        <v>206</v>
      </c>
    </row>
    <row r="17" spans="1:14" x14ac:dyDescent="0.35">
      <c r="A17" s="79" t="s">
        <v>260</v>
      </c>
      <c r="B17" s="79" t="s">
        <v>261</v>
      </c>
      <c r="C17" s="79">
        <v>3</v>
      </c>
      <c r="D17" s="46">
        <v>2855314500</v>
      </c>
      <c r="E17" s="79">
        <v>12.99</v>
      </c>
      <c r="F17" s="79" t="s">
        <v>446</v>
      </c>
      <c r="G17" s="80">
        <v>6.6900000000000001E-2</v>
      </c>
      <c r="H17" s="79">
        <v>26.25</v>
      </c>
      <c r="K17" s="88" t="s">
        <v>209</v>
      </c>
    </row>
    <row r="18" spans="1:14" x14ac:dyDescent="0.35">
      <c r="A18" s="79" t="s">
        <v>286</v>
      </c>
      <c r="B18" s="79" t="s">
        <v>287</v>
      </c>
      <c r="C18" s="79">
        <v>3</v>
      </c>
      <c r="D18" s="46">
        <v>3695408500</v>
      </c>
      <c r="E18" s="79">
        <v>6.67</v>
      </c>
      <c r="F18" s="79" t="s">
        <v>499</v>
      </c>
      <c r="G18" s="80">
        <v>0.20449999999999999</v>
      </c>
      <c r="H18" s="79">
        <v>9.17</v>
      </c>
      <c r="M18" t="s">
        <v>206</v>
      </c>
    </row>
    <row r="19" spans="1:14" x14ac:dyDescent="0.35">
      <c r="A19" s="79" t="s">
        <v>447</v>
      </c>
      <c r="B19" s="79" t="s">
        <v>448</v>
      </c>
      <c r="C19" s="79">
        <v>2</v>
      </c>
      <c r="D19" s="46">
        <v>8636930100</v>
      </c>
      <c r="E19" s="79">
        <v>11.33</v>
      </c>
      <c r="F19" s="79" t="s">
        <v>498</v>
      </c>
      <c r="G19" s="80">
        <v>0.1174</v>
      </c>
      <c r="H19" s="79">
        <v>0.03</v>
      </c>
      <c r="J19" t="s">
        <v>205</v>
      </c>
    </row>
    <row r="20" spans="1:14" x14ac:dyDescent="0.35">
      <c r="A20" s="79" t="s">
        <v>451</v>
      </c>
      <c r="B20" s="79" t="s">
        <v>452</v>
      </c>
      <c r="C20" s="79">
        <v>2</v>
      </c>
      <c r="D20" s="46">
        <v>10897220600</v>
      </c>
      <c r="E20" s="79">
        <v>3.36</v>
      </c>
      <c r="F20" s="79" t="s">
        <v>450</v>
      </c>
      <c r="G20" s="80">
        <v>1.34E-2</v>
      </c>
      <c r="H20" s="79">
        <v>107.56</v>
      </c>
      <c r="J20" t="s">
        <v>205</v>
      </c>
    </row>
    <row r="21" spans="1:14" x14ac:dyDescent="0.35">
      <c r="A21" s="79" t="s">
        <v>453</v>
      </c>
      <c r="B21" s="79" t="s">
        <v>454</v>
      </c>
      <c r="C21" s="79">
        <v>2</v>
      </c>
      <c r="D21" s="46">
        <v>4684437200</v>
      </c>
      <c r="E21" s="79">
        <v>7.49</v>
      </c>
      <c r="F21" s="79" t="s">
        <v>450</v>
      </c>
      <c r="G21" s="80">
        <v>4.1000000000000003E-3</v>
      </c>
      <c r="H21" s="79">
        <v>1227.8599999999999</v>
      </c>
      <c r="J21" t="s">
        <v>205</v>
      </c>
    </row>
    <row r="22" spans="1:14" x14ac:dyDescent="0.35">
      <c r="A22" s="79" t="s">
        <v>455</v>
      </c>
      <c r="B22" s="79" t="s">
        <v>456</v>
      </c>
      <c r="C22" s="79">
        <v>2</v>
      </c>
      <c r="D22" s="46">
        <v>20796208000</v>
      </c>
      <c r="E22" s="79">
        <v>38.020000000000003</v>
      </c>
      <c r="F22" s="79" t="s">
        <v>495</v>
      </c>
      <c r="G22" s="80">
        <v>9.74E-2</v>
      </c>
      <c r="H22" s="79">
        <v>3.54</v>
      </c>
      <c r="N22" s="88" t="s">
        <v>206</v>
      </c>
    </row>
    <row r="23" spans="1:14" x14ac:dyDescent="0.35">
      <c r="A23" s="79" t="s">
        <v>457</v>
      </c>
      <c r="B23" s="79" t="s">
        <v>458</v>
      </c>
      <c r="C23" s="79">
        <v>2</v>
      </c>
      <c r="D23" s="46">
        <v>2661152300</v>
      </c>
      <c r="E23" s="79">
        <v>5.79</v>
      </c>
      <c r="F23" s="79" t="s">
        <v>459</v>
      </c>
      <c r="G23" s="80">
        <v>7.3400000000000007E-2</v>
      </c>
      <c r="H23" s="79">
        <v>32.85</v>
      </c>
      <c r="J23" t="s">
        <v>205</v>
      </c>
    </row>
    <row r="24" spans="1:14" x14ac:dyDescent="0.35">
      <c r="A24" s="79" t="s">
        <v>460</v>
      </c>
      <c r="B24" s="79" t="s">
        <v>461</v>
      </c>
      <c r="C24" s="79">
        <v>2</v>
      </c>
      <c r="D24" s="46">
        <v>2410327600</v>
      </c>
      <c r="E24" s="79">
        <v>14.66</v>
      </c>
      <c r="F24" s="79" t="s">
        <v>462</v>
      </c>
      <c r="G24" s="80">
        <v>0.20899999999999999</v>
      </c>
      <c r="H24" s="79" t="s">
        <v>449</v>
      </c>
      <c r="J24" t="s">
        <v>205</v>
      </c>
    </row>
    <row r="25" spans="1:14" x14ac:dyDescent="0.35">
      <c r="A25" s="79" t="s">
        <v>463</v>
      </c>
      <c r="B25" s="79" t="s">
        <v>464</v>
      </c>
      <c r="C25" s="79">
        <v>2</v>
      </c>
      <c r="D25" s="46">
        <v>6803287500</v>
      </c>
      <c r="E25" s="79">
        <v>5.0599999999999996</v>
      </c>
      <c r="F25" s="79" t="s">
        <v>465</v>
      </c>
      <c r="G25" s="80">
        <v>0.1764</v>
      </c>
      <c r="H25" s="79">
        <v>3.46</v>
      </c>
      <c r="L25" t="s">
        <v>206</v>
      </c>
    </row>
    <row r="26" spans="1:14" x14ac:dyDescent="0.35">
      <c r="A26" s="79" t="s">
        <v>468</v>
      </c>
      <c r="B26" s="79" t="s">
        <v>469</v>
      </c>
      <c r="C26" s="79">
        <v>2</v>
      </c>
      <c r="D26" s="46">
        <v>2873830900</v>
      </c>
      <c r="E26" s="79">
        <v>8.48</v>
      </c>
      <c r="F26" s="79" t="s">
        <v>470</v>
      </c>
      <c r="G26" s="80">
        <v>0.11899999999999999</v>
      </c>
      <c r="H26" s="79">
        <v>13.24</v>
      </c>
      <c r="L26" t="s">
        <v>206</v>
      </c>
    </row>
    <row r="27" spans="1:14" x14ac:dyDescent="0.35">
      <c r="A27" s="79" t="s">
        <v>401</v>
      </c>
      <c r="B27" s="79" t="s">
        <v>492</v>
      </c>
      <c r="C27" s="79">
        <v>2</v>
      </c>
      <c r="D27" s="46">
        <v>8008783700</v>
      </c>
      <c r="E27" s="79">
        <v>11.28</v>
      </c>
      <c r="F27" s="79" t="s">
        <v>409</v>
      </c>
      <c r="G27" s="80">
        <v>0.18890000000000001</v>
      </c>
      <c r="H27" s="79">
        <v>0.45</v>
      </c>
      <c r="J27" t="s">
        <v>205</v>
      </c>
    </row>
    <row r="28" spans="1:14" x14ac:dyDescent="0.35">
      <c r="A28" s="79" t="s">
        <v>407</v>
      </c>
      <c r="B28" s="79" t="s">
        <v>408</v>
      </c>
      <c r="C28" s="79">
        <v>2</v>
      </c>
      <c r="D28" s="46">
        <v>3567042600</v>
      </c>
      <c r="E28" s="79">
        <v>28.42</v>
      </c>
      <c r="F28" s="79" t="s">
        <v>488</v>
      </c>
      <c r="G28" s="80">
        <v>0.13170000000000001</v>
      </c>
      <c r="H28" s="79">
        <v>3.45</v>
      </c>
      <c r="J28" t="s">
        <v>205</v>
      </c>
    </row>
    <row r="29" spans="1:14" x14ac:dyDescent="0.35">
      <c r="A29" s="79" t="s">
        <v>410</v>
      </c>
      <c r="B29" s="79" t="s">
        <v>411</v>
      </c>
      <c r="C29" s="79">
        <v>2</v>
      </c>
      <c r="D29" s="46">
        <v>2845369900</v>
      </c>
      <c r="E29" s="79">
        <v>24.1</v>
      </c>
      <c r="F29" s="79" t="s">
        <v>409</v>
      </c>
      <c r="G29" s="80">
        <v>4.7E-2</v>
      </c>
      <c r="H29" s="79">
        <v>70.849999999999994</v>
      </c>
      <c r="J29" t="s">
        <v>205</v>
      </c>
    </row>
    <row r="30" spans="1:14" x14ac:dyDescent="0.35">
      <c r="A30" s="79" t="s">
        <v>471</v>
      </c>
      <c r="B30" s="79" t="s">
        <v>472</v>
      </c>
      <c r="C30" s="79">
        <v>2</v>
      </c>
      <c r="D30" s="46">
        <v>6144246500</v>
      </c>
      <c r="E30" s="79">
        <v>7.12</v>
      </c>
      <c r="F30" s="79" t="s">
        <v>473</v>
      </c>
      <c r="G30" s="80">
        <v>2.4799999999999999E-2</v>
      </c>
      <c r="H30" s="79">
        <v>29.6</v>
      </c>
      <c r="M30" t="s">
        <v>205</v>
      </c>
    </row>
    <row r="31" spans="1:14" x14ac:dyDescent="0.35">
      <c r="A31" s="79" t="s">
        <v>474</v>
      </c>
      <c r="B31" s="79" t="s">
        <v>475</v>
      </c>
      <c r="C31" s="79">
        <v>2</v>
      </c>
      <c r="D31" s="46">
        <v>7098631700</v>
      </c>
      <c r="E31" s="79">
        <v>5.67</v>
      </c>
      <c r="F31" s="79" t="s">
        <v>476</v>
      </c>
      <c r="G31" s="80">
        <v>0.11310000000000001</v>
      </c>
      <c r="H31" s="79">
        <v>0.36</v>
      </c>
      <c r="K31" t="s">
        <v>206</v>
      </c>
      <c r="M31" t="s">
        <v>205</v>
      </c>
    </row>
    <row r="32" spans="1:14" x14ac:dyDescent="0.35">
      <c r="A32" s="79" t="s">
        <v>477</v>
      </c>
      <c r="B32" s="79" t="s">
        <v>478</v>
      </c>
      <c r="C32" s="79">
        <v>2</v>
      </c>
      <c r="D32" s="46">
        <v>3582517700</v>
      </c>
      <c r="E32" s="79">
        <v>12.89</v>
      </c>
      <c r="F32" s="79" t="s">
        <v>479</v>
      </c>
      <c r="G32" s="80">
        <v>0.1993</v>
      </c>
      <c r="H32" s="79">
        <v>0.97</v>
      </c>
      <c r="J32" t="s">
        <v>205</v>
      </c>
    </row>
    <row r="33" spans="1:14" x14ac:dyDescent="0.35">
      <c r="A33" s="79" t="s">
        <v>480</v>
      </c>
      <c r="B33" s="79" t="s">
        <v>481</v>
      </c>
      <c r="C33" s="79">
        <v>2</v>
      </c>
      <c r="D33" s="46">
        <v>3962343800</v>
      </c>
      <c r="E33" s="79">
        <v>31.85</v>
      </c>
      <c r="F33" s="79" t="s">
        <v>500</v>
      </c>
      <c r="G33" s="80">
        <v>0.14630000000000001</v>
      </c>
      <c r="H33" s="79">
        <v>0.09</v>
      </c>
      <c r="M33" t="s">
        <v>205</v>
      </c>
    </row>
    <row r="34" spans="1:14" x14ac:dyDescent="0.35">
      <c r="A34" s="79" t="s">
        <v>482</v>
      </c>
      <c r="B34" s="79" t="s">
        <v>483</v>
      </c>
      <c r="C34" s="79">
        <v>2</v>
      </c>
      <c r="D34" s="46">
        <v>995066010</v>
      </c>
      <c r="E34" s="79">
        <v>13.77</v>
      </c>
      <c r="F34" s="79" t="s">
        <v>484</v>
      </c>
      <c r="G34" s="80">
        <v>0.24640000000000001</v>
      </c>
      <c r="H34" s="79">
        <v>2.52</v>
      </c>
      <c r="K34" t="s">
        <v>206</v>
      </c>
    </row>
    <row r="35" spans="1:14" x14ac:dyDescent="0.35">
      <c r="A35" s="79" t="s">
        <v>485</v>
      </c>
      <c r="B35" s="79" t="s">
        <v>486</v>
      </c>
      <c r="C35" s="79">
        <v>2</v>
      </c>
      <c r="D35" s="46">
        <v>9025627500</v>
      </c>
      <c r="E35" s="79">
        <v>26.2</v>
      </c>
      <c r="F35" s="79" t="s">
        <v>487</v>
      </c>
      <c r="G35" s="80">
        <v>4.9399999999999999E-2</v>
      </c>
      <c r="H35" s="79">
        <v>18.989999999999998</v>
      </c>
      <c r="K35" t="s">
        <v>206</v>
      </c>
      <c r="N35" t="s">
        <v>206</v>
      </c>
    </row>
    <row r="36" spans="1:14" x14ac:dyDescent="0.35">
      <c r="A36" s="63"/>
      <c r="B36" s="63"/>
      <c r="C36" s="63"/>
      <c r="D36" s="63"/>
      <c r="E36" s="63"/>
      <c r="F36" s="63"/>
      <c r="G36" s="63"/>
      <c r="H36" s="63"/>
    </row>
    <row r="37" spans="1:14" x14ac:dyDescent="0.35">
      <c r="A37" s="63"/>
      <c r="B37" s="63"/>
      <c r="C37" s="63"/>
      <c r="D37" s="63"/>
      <c r="E37" s="63"/>
      <c r="F37" s="63"/>
      <c r="G37" s="63"/>
      <c r="H37" s="63"/>
    </row>
    <row r="38" spans="1:14" x14ac:dyDescent="0.35">
      <c r="A38" s="63"/>
      <c r="B38" s="63"/>
      <c r="C38" s="63"/>
      <c r="D38" s="63"/>
      <c r="E38" s="63"/>
      <c r="F38" s="63"/>
      <c r="G38" s="63"/>
      <c r="H38" s="63"/>
    </row>
    <row r="39" spans="1:14" x14ac:dyDescent="0.35">
      <c r="A39" s="63"/>
      <c r="B39" s="63"/>
      <c r="C39" s="63"/>
      <c r="D39" s="63"/>
      <c r="E39" s="63"/>
      <c r="F39" s="63"/>
      <c r="G39" s="63"/>
      <c r="H39" s="63"/>
    </row>
    <row r="40" spans="1:14" x14ac:dyDescent="0.35">
      <c r="A40" s="63"/>
      <c r="B40" s="63"/>
      <c r="C40" s="63"/>
      <c r="D40" s="63"/>
      <c r="E40" s="63"/>
      <c r="F40" s="63"/>
      <c r="G40" s="63"/>
      <c r="H40" s="63"/>
    </row>
    <row r="41" spans="1:14" x14ac:dyDescent="0.35">
      <c r="A41" s="63"/>
      <c r="B41" s="63"/>
      <c r="C41" s="63"/>
      <c r="D41" s="63"/>
      <c r="E41" s="63"/>
      <c r="F41" s="63"/>
      <c r="G41" s="63"/>
      <c r="H41" s="63"/>
    </row>
    <row r="42" spans="1:14" x14ac:dyDescent="0.35">
      <c r="A42" s="63"/>
      <c r="B42" s="63"/>
      <c r="C42" s="63"/>
      <c r="D42" s="63"/>
      <c r="E42" s="63"/>
      <c r="F42" s="63"/>
      <c r="G42" s="63"/>
      <c r="H42" s="63"/>
    </row>
    <row r="43" spans="1:14" x14ac:dyDescent="0.35">
      <c r="A43" s="63"/>
      <c r="B43" s="63"/>
      <c r="C43" s="63"/>
      <c r="D43" s="63"/>
      <c r="E43" s="63"/>
      <c r="F43" s="63"/>
      <c r="G43" s="63"/>
      <c r="H43" s="63"/>
    </row>
    <row r="44" spans="1:14" x14ac:dyDescent="0.35">
      <c r="A44" s="63"/>
      <c r="B44" s="63"/>
      <c r="C44" s="63"/>
      <c r="D44" s="63"/>
      <c r="E44" s="63"/>
      <c r="F44" s="63"/>
      <c r="G44" s="63"/>
      <c r="H44" s="63"/>
    </row>
    <row r="45" spans="1:14" x14ac:dyDescent="0.35">
      <c r="A45" s="63"/>
      <c r="B45" s="63"/>
      <c r="C45" s="63"/>
      <c r="D45" s="63"/>
      <c r="E45" s="63"/>
      <c r="F45" s="63"/>
      <c r="G45" s="63"/>
      <c r="H45" s="63"/>
    </row>
    <row r="46" spans="1:14" x14ac:dyDescent="0.35">
      <c r="A46" s="63"/>
      <c r="B46" s="63"/>
      <c r="C46" s="63"/>
      <c r="D46" s="63"/>
      <c r="E46" s="63"/>
      <c r="F46" s="63"/>
      <c r="G46" s="63"/>
      <c r="H46" s="63"/>
    </row>
    <row r="47" spans="1:14" x14ac:dyDescent="0.35">
      <c r="A47" s="63"/>
      <c r="B47" s="63"/>
      <c r="C47" s="63"/>
      <c r="D47" s="63"/>
      <c r="E47" s="63"/>
      <c r="F47" s="63"/>
      <c r="G47" s="63"/>
      <c r="H47" s="63"/>
    </row>
    <row r="48" spans="1:14" x14ac:dyDescent="0.35">
      <c r="A48" s="63"/>
      <c r="B48" s="63"/>
      <c r="C48" s="63"/>
      <c r="D48" s="63"/>
      <c r="E48" s="63"/>
      <c r="F48" s="63"/>
      <c r="G48" s="63"/>
      <c r="H48" s="63"/>
    </row>
    <row r="49" spans="1:8" x14ac:dyDescent="0.35">
      <c r="A49" s="63"/>
      <c r="B49" s="63"/>
      <c r="C49" s="63"/>
      <c r="D49" s="63"/>
      <c r="E49" s="63"/>
      <c r="F49" s="63"/>
      <c r="G49" s="63"/>
      <c r="H49" s="63"/>
    </row>
    <row r="50" spans="1:8" x14ac:dyDescent="0.35">
      <c r="A50" s="63"/>
      <c r="B50" s="63"/>
      <c r="C50" s="63"/>
      <c r="D50" s="63"/>
      <c r="E50" s="63"/>
      <c r="F50" s="63"/>
      <c r="G50" s="63"/>
      <c r="H50" s="63"/>
    </row>
    <row r="51" spans="1:8" x14ac:dyDescent="0.35">
      <c r="A51" s="63"/>
      <c r="B51" s="63"/>
      <c r="C51" s="63"/>
      <c r="D51" s="63"/>
      <c r="E51" s="63"/>
      <c r="F51" s="63"/>
      <c r="G51" s="63"/>
      <c r="H51" s="63"/>
    </row>
    <row r="52" spans="1:8" x14ac:dyDescent="0.35">
      <c r="A52" s="63"/>
      <c r="B52" s="63"/>
      <c r="C52" s="63"/>
      <c r="D52" s="63"/>
      <c r="E52" s="63"/>
      <c r="F52" s="63"/>
      <c r="G52" s="63"/>
      <c r="H52" s="63"/>
    </row>
    <row r="53" spans="1:8" x14ac:dyDescent="0.35">
      <c r="A53" s="63"/>
      <c r="B53" s="63"/>
      <c r="C53" s="63"/>
      <c r="D53" s="63"/>
      <c r="E53" s="63"/>
      <c r="F53" s="63"/>
      <c r="G53" s="63"/>
      <c r="H53" s="63"/>
    </row>
    <row r="54" spans="1:8" x14ac:dyDescent="0.35">
      <c r="A54" s="63"/>
      <c r="B54" s="63"/>
      <c r="C54" s="63"/>
      <c r="D54" s="63"/>
      <c r="E54" s="63"/>
      <c r="F54" s="63"/>
      <c r="G54" s="63"/>
      <c r="H54" s="63"/>
    </row>
    <row r="55" spans="1:8" x14ac:dyDescent="0.35">
      <c r="A55" s="63"/>
      <c r="B55" s="63"/>
      <c r="C55" s="63"/>
      <c r="D55" s="63"/>
      <c r="E55" s="63"/>
      <c r="F55" s="63"/>
      <c r="G55" s="63"/>
      <c r="H55" s="63"/>
    </row>
    <row r="56" spans="1:8" x14ac:dyDescent="0.35">
      <c r="A56" s="63"/>
      <c r="B56" s="63"/>
      <c r="C56" s="63"/>
      <c r="D56" s="63"/>
      <c r="E56" s="63"/>
      <c r="F56" s="63"/>
      <c r="G56" s="63"/>
      <c r="H56" s="63"/>
    </row>
    <row r="57" spans="1:8" x14ac:dyDescent="0.35">
      <c r="A57" s="63"/>
      <c r="B57" s="63"/>
      <c r="C57" s="63"/>
      <c r="D57" s="63"/>
      <c r="E57" s="63"/>
      <c r="F57" s="63"/>
      <c r="G57" s="63"/>
      <c r="H57" s="63"/>
    </row>
    <row r="58" spans="1:8" x14ac:dyDescent="0.35">
      <c r="A58" s="63"/>
      <c r="B58" s="63"/>
      <c r="C58" s="63"/>
      <c r="D58" s="63"/>
      <c r="E58" s="63"/>
      <c r="F58" s="63"/>
      <c r="G58" s="63"/>
      <c r="H58" s="63"/>
    </row>
    <row r="59" spans="1:8" x14ac:dyDescent="0.35">
      <c r="A59" s="63"/>
      <c r="B59" s="63"/>
      <c r="C59" s="63"/>
      <c r="D59" s="63"/>
      <c r="E59" s="63"/>
      <c r="F59" s="63"/>
      <c r="G59" s="63"/>
      <c r="H59" s="63"/>
    </row>
    <row r="60" spans="1:8" x14ac:dyDescent="0.35">
      <c r="A60" s="63"/>
      <c r="B60" s="63"/>
      <c r="C60" s="63"/>
      <c r="D60" s="63"/>
      <c r="E60" s="63"/>
      <c r="F60" s="63"/>
      <c r="G60" s="63"/>
      <c r="H60" s="63"/>
    </row>
    <row r="61" spans="1:8" x14ac:dyDescent="0.35">
      <c r="A61" s="63"/>
      <c r="B61" s="63"/>
      <c r="C61" s="63"/>
      <c r="D61" s="63"/>
      <c r="E61" s="63"/>
      <c r="F61" s="63"/>
      <c r="G61" s="63"/>
      <c r="H61" s="63"/>
    </row>
  </sheetData>
  <mergeCells count="4">
    <mergeCell ref="A4:G4"/>
    <mergeCell ref="I4:S4"/>
    <mergeCell ref="A10:H10"/>
    <mergeCell ref="J5:N5"/>
  </mergeCells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6F4CA-23E1-4FCC-96A2-BDE9C94B79FF}">
  <dimension ref="A1:P78"/>
  <sheetViews>
    <sheetView topLeftCell="A37" workbookViewId="0">
      <selection activeCell="G37" sqref="G37"/>
    </sheetView>
  </sheetViews>
  <sheetFormatPr defaultRowHeight="14.15" x14ac:dyDescent="0.35"/>
  <cols>
    <col min="1" max="1" width="15.42578125" bestFit="1" customWidth="1"/>
    <col min="2" max="2" width="8.5703125" bestFit="1" customWidth="1"/>
    <col min="3" max="3" width="10.0703125" customWidth="1"/>
    <col min="4" max="4" width="14.42578125" bestFit="1" customWidth="1"/>
    <col min="5" max="5" width="9.5703125" bestFit="1" customWidth="1"/>
    <col min="6" max="6" width="36.0703125" bestFit="1" customWidth="1"/>
    <col min="10" max="10" width="8.5" customWidth="1"/>
    <col min="11" max="11" width="9.0703125" bestFit="1" customWidth="1"/>
    <col min="16" max="16" width="7.42578125" bestFit="1" customWidth="1"/>
  </cols>
  <sheetData>
    <row r="1" spans="1:16" x14ac:dyDescent="0.35">
      <c r="A1" s="71" t="s">
        <v>379</v>
      </c>
      <c r="B1" s="71" t="s">
        <v>192</v>
      </c>
      <c r="C1" s="71" t="s">
        <v>9</v>
      </c>
      <c r="D1" s="71" t="s">
        <v>18</v>
      </c>
      <c r="E1" s="71" t="s">
        <v>19</v>
      </c>
      <c r="F1" s="70" t="s">
        <v>24</v>
      </c>
      <c r="G1" s="72" t="s">
        <v>397</v>
      </c>
    </row>
    <row r="2" spans="1:16" s="33" customFormat="1" ht="28.3" x14ac:dyDescent="0.35">
      <c r="A2" s="56" t="s">
        <v>229</v>
      </c>
      <c r="B2" s="56">
        <v>11.46</v>
      </c>
      <c r="C2" s="55" t="s">
        <v>388</v>
      </c>
      <c r="D2" s="56"/>
      <c r="E2" s="56"/>
      <c r="F2" s="55" t="s">
        <v>387</v>
      </c>
    </row>
    <row r="3" spans="1:16" s="33" customFormat="1" x14ac:dyDescent="0.35">
      <c r="A3" s="56" t="s">
        <v>380</v>
      </c>
      <c r="B3" s="56">
        <v>23.23</v>
      </c>
      <c r="C3" s="56" t="s">
        <v>391</v>
      </c>
      <c r="D3" s="56" t="s">
        <v>389</v>
      </c>
      <c r="E3" s="56">
        <v>24.69</v>
      </c>
      <c r="F3" s="56" t="s">
        <v>390</v>
      </c>
      <c r="G3" s="33" t="s">
        <v>398</v>
      </c>
    </row>
    <row r="4" spans="1:16" s="33" customFormat="1" x14ac:dyDescent="0.35">
      <c r="A4" s="56" t="s">
        <v>381</v>
      </c>
      <c r="B4" s="56">
        <v>19.14</v>
      </c>
      <c r="C4" s="56" t="s">
        <v>392</v>
      </c>
      <c r="D4" s="56">
        <v>18.7</v>
      </c>
      <c r="E4" s="56">
        <v>19.600000000000001</v>
      </c>
      <c r="F4" s="56" t="s">
        <v>396</v>
      </c>
    </row>
    <row r="5" spans="1:16" s="33" customFormat="1" x14ac:dyDescent="0.35">
      <c r="A5" s="56" t="s">
        <v>144</v>
      </c>
      <c r="B5" s="56">
        <v>66.92</v>
      </c>
      <c r="C5" s="56" t="s">
        <v>393</v>
      </c>
      <c r="D5" s="56"/>
      <c r="E5" s="56"/>
      <c r="F5" s="56" t="s">
        <v>395</v>
      </c>
    </row>
    <row r="6" spans="1:16" s="33" customFormat="1" x14ac:dyDescent="0.35">
      <c r="A6" s="56" t="s">
        <v>382</v>
      </c>
      <c r="B6" s="56">
        <v>23.93</v>
      </c>
      <c r="C6" s="56"/>
      <c r="D6" s="56"/>
      <c r="E6" s="56"/>
      <c r="F6" s="56"/>
    </row>
    <row r="7" spans="1:16" s="33" customFormat="1" x14ac:dyDescent="0.35">
      <c r="A7" s="56" t="s">
        <v>383</v>
      </c>
      <c r="B7" s="56">
        <v>3285.38</v>
      </c>
      <c r="C7" s="56"/>
      <c r="D7" s="56" t="s">
        <v>394</v>
      </c>
      <c r="E7" s="56"/>
      <c r="F7" s="56"/>
    </row>
    <row r="8" spans="1:16" x14ac:dyDescent="0.35">
      <c r="A8" s="56"/>
      <c r="B8" s="56"/>
      <c r="C8" s="59"/>
      <c r="D8" s="56"/>
      <c r="E8" s="56"/>
      <c r="F8" s="1"/>
    </row>
    <row r="10" spans="1:16" x14ac:dyDescent="0.35">
      <c r="A10" s="163" t="s">
        <v>141</v>
      </c>
      <c r="B10" s="163"/>
      <c r="C10" s="163"/>
      <c r="D10" s="163"/>
      <c r="E10" s="163"/>
      <c r="F10" s="163"/>
      <c r="G10" s="163"/>
      <c r="H10" s="57"/>
      <c r="I10" s="191" t="s">
        <v>4</v>
      </c>
      <c r="J10" s="191"/>
      <c r="K10" s="191"/>
      <c r="L10" s="191"/>
      <c r="M10" s="191"/>
      <c r="N10" s="191"/>
      <c r="O10" s="191"/>
      <c r="P10" s="191"/>
    </row>
    <row r="11" spans="1:16" ht="14.15" customHeight="1" x14ac:dyDescent="0.35">
      <c r="A11" s="58" t="s">
        <v>130</v>
      </c>
      <c r="B11" s="58" t="s">
        <v>129</v>
      </c>
      <c r="C11" s="58" t="s">
        <v>142</v>
      </c>
      <c r="D11" s="58" t="s">
        <v>140</v>
      </c>
      <c r="E11" s="58" t="s">
        <v>192</v>
      </c>
      <c r="F11" s="58" t="s">
        <v>131</v>
      </c>
      <c r="G11" s="58" t="s">
        <v>148</v>
      </c>
      <c r="H11" s="58"/>
      <c r="I11" s="51" t="s">
        <v>150</v>
      </c>
      <c r="J11" s="52" t="s">
        <v>151</v>
      </c>
      <c r="K11" s="52" t="s">
        <v>203</v>
      </c>
      <c r="L11" s="51" t="s">
        <v>149</v>
      </c>
      <c r="M11" s="51" t="s">
        <v>152</v>
      </c>
      <c r="N11" s="51" t="s">
        <v>153</v>
      </c>
      <c r="O11" s="51" t="s">
        <v>204</v>
      </c>
      <c r="P11" s="51" t="s">
        <v>376</v>
      </c>
    </row>
    <row r="12" spans="1:16" ht="13.75" customHeight="1" x14ac:dyDescent="0.35">
      <c r="A12" s="56" t="s">
        <v>193</v>
      </c>
      <c r="B12" s="56" t="s">
        <v>194</v>
      </c>
      <c r="C12" s="59">
        <v>0.1991</v>
      </c>
      <c r="D12" s="46">
        <v>3797461900</v>
      </c>
      <c r="E12" s="56">
        <v>5.12</v>
      </c>
      <c r="F12" s="56" t="s">
        <v>195</v>
      </c>
      <c r="G12" s="59">
        <v>0.214</v>
      </c>
      <c r="H12" s="59"/>
      <c r="I12" s="1"/>
      <c r="J12" s="1"/>
      <c r="K12" s="1"/>
      <c r="L12" s="1"/>
      <c r="M12" s="1"/>
      <c r="N12" s="1"/>
      <c r="O12" s="1"/>
      <c r="P12" s="60" t="s">
        <v>209</v>
      </c>
    </row>
    <row r="13" spans="1:16" x14ac:dyDescent="0.35">
      <c r="A13" s="56" t="s">
        <v>233</v>
      </c>
      <c r="B13" s="56" t="s">
        <v>234</v>
      </c>
      <c r="C13" s="59">
        <v>0.2</v>
      </c>
      <c r="D13" s="46">
        <v>5626533500</v>
      </c>
      <c r="E13" s="56">
        <v>21.54</v>
      </c>
      <c r="F13" s="56" t="s">
        <v>235</v>
      </c>
      <c r="G13" s="59">
        <v>0.2432</v>
      </c>
      <c r="H13" s="59"/>
      <c r="I13" s="1"/>
      <c r="J13" s="1"/>
      <c r="K13" s="1"/>
      <c r="L13" s="1"/>
      <c r="M13" s="1"/>
      <c r="N13" s="1"/>
      <c r="O13" s="1"/>
      <c r="P13" t="s">
        <v>205</v>
      </c>
    </row>
    <row r="14" spans="1:16" x14ac:dyDescent="0.35">
      <c r="A14" s="56" t="s">
        <v>236</v>
      </c>
      <c r="B14" s="56" t="s">
        <v>384</v>
      </c>
      <c r="C14" s="59">
        <v>0.20069999999999999</v>
      </c>
      <c r="D14" s="46">
        <v>1558535400</v>
      </c>
      <c r="E14" s="56">
        <v>7.24</v>
      </c>
      <c r="F14" s="56" t="s">
        <v>237</v>
      </c>
      <c r="G14" s="59">
        <v>0.2671</v>
      </c>
      <c r="H14" s="59"/>
      <c r="J14" s="1"/>
      <c r="K14" s="1"/>
    </row>
    <row r="15" spans="1:16" x14ac:dyDescent="0.35">
      <c r="A15" s="56" t="s">
        <v>238</v>
      </c>
      <c r="B15" s="56" t="s">
        <v>239</v>
      </c>
      <c r="C15" s="59">
        <v>0.2001</v>
      </c>
      <c r="D15" s="46">
        <v>7023189300</v>
      </c>
      <c r="E15" s="56">
        <v>46.54</v>
      </c>
      <c r="F15" s="56" t="s">
        <v>240</v>
      </c>
      <c r="G15" s="59">
        <v>5.2699999999999997E-2</v>
      </c>
      <c r="H15" s="59"/>
      <c r="J15" t="s">
        <v>205</v>
      </c>
      <c r="K15" s="1"/>
    </row>
    <row r="16" spans="1:16" x14ac:dyDescent="0.35">
      <c r="A16" s="56" t="s">
        <v>241</v>
      </c>
      <c r="B16" s="56" t="s">
        <v>385</v>
      </c>
      <c r="C16" s="59">
        <v>0.19919999999999999</v>
      </c>
      <c r="D16" s="46">
        <v>3964197700</v>
      </c>
      <c r="E16" s="56">
        <v>6.26</v>
      </c>
      <c r="F16" s="56" t="s">
        <v>195</v>
      </c>
      <c r="G16" s="59">
        <v>0.1177</v>
      </c>
      <c r="H16" s="59"/>
      <c r="I16" s="56"/>
      <c r="J16" s="1"/>
      <c r="K16" s="1"/>
      <c r="L16" s="1"/>
      <c r="M16" s="1"/>
      <c r="N16" s="1"/>
      <c r="O16" s="1"/>
      <c r="P16" t="s">
        <v>205</v>
      </c>
    </row>
    <row r="17" spans="1:16" x14ac:dyDescent="0.35">
      <c r="A17" s="56" t="s">
        <v>242</v>
      </c>
      <c r="B17" s="56" t="s">
        <v>243</v>
      </c>
      <c r="C17" s="59">
        <v>0.2</v>
      </c>
      <c r="D17" s="46">
        <v>1527800000</v>
      </c>
      <c r="E17" s="56">
        <v>76.39</v>
      </c>
      <c r="F17" s="56" t="s">
        <v>244</v>
      </c>
      <c r="G17" s="59">
        <v>9.1600000000000001E-2</v>
      </c>
      <c r="H17" s="59"/>
      <c r="I17" s="1"/>
      <c r="J17" s="1"/>
      <c r="K17" s="1"/>
      <c r="L17" s="1"/>
      <c r="M17" s="1"/>
      <c r="N17" t="s">
        <v>205</v>
      </c>
      <c r="O17" s="1"/>
    </row>
    <row r="18" spans="1:16" x14ac:dyDescent="0.35">
      <c r="A18" s="163" t="s">
        <v>138</v>
      </c>
      <c r="B18" s="163"/>
      <c r="C18" s="163"/>
      <c r="D18" s="163"/>
      <c r="E18" s="163"/>
      <c r="F18" s="163"/>
      <c r="G18" s="163"/>
      <c r="H18" s="163"/>
      <c r="I18" s="1"/>
      <c r="J18" s="1"/>
      <c r="K18" s="1"/>
      <c r="L18" s="1"/>
      <c r="M18" s="1"/>
      <c r="N18" s="1"/>
      <c r="O18" s="1"/>
    </row>
    <row r="19" spans="1:16" x14ac:dyDescent="0.35">
      <c r="A19" s="58" t="s">
        <v>130</v>
      </c>
      <c r="B19" s="58" t="s">
        <v>129</v>
      </c>
      <c r="C19" s="58" t="s">
        <v>137</v>
      </c>
      <c r="D19" s="50" t="s">
        <v>140</v>
      </c>
      <c r="E19" s="58" t="s">
        <v>192</v>
      </c>
      <c r="F19" s="58" t="s">
        <v>131</v>
      </c>
      <c r="G19" s="58" t="s">
        <v>148</v>
      </c>
      <c r="H19" s="58"/>
      <c r="I19" s="1"/>
      <c r="J19" s="1"/>
      <c r="K19" s="1"/>
      <c r="L19" s="1"/>
      <c r="M19" s="1"/>
      <c r="N19" s="1"/>
      <c r="O19" s="1"/>
    </row>
    <row r="20" spans="1:16" x14ac:dyDescent="0.35">
      <c r="A20" s="56" t="s">
        <v>143</v>
      </c>
      <c r="B20" s="56" t="s">
        <v>144</v>
      </c>
      <c r="C20" s="56">
        <v>9</v>
      </c>
      <c r="D20" s="46">
        <v>1870648200</v>
      </c>
      <c r="E20" s="56">
        <v>66.92</v>
      </c>
      <c r="F20" s="56" t="s">
        <v>161</v>
      </c>
      <c r="G20" s="59">
        <v>5.7999999999999996E-3</v>
      </c>
      <c r="H20" s="56" t="s">
        <v>377</v>
      </c>
    </row>
    <row r="21" spans="1:16" x14ac:dyDescent="0.35">
      <c r="A21" s="56" t="s">
        <v>154</v>
      </c>
      <c r="B21" s="56" t="s">
        <v>155</v>
      </c>
      <c r="C21" s="56">
        <v>5</v>
      </c>
      <c r="D21" s="46">
        <v>3493037600</v>
      </c>
      <c r="E21" s="56">
        <v>9.66</v>
      </c>
      <c r="F21" s="56" t="s">
        <v>210</v>
      </c>
      <c r="G21" s="59">
        <v>0.16289999999999999</v>
      </c>
      <c r="H21" s="56">
        <v>7.06</v>
      </c>
      <c r="O21" t="s">
        <v>205</v>
      </c>
    </row>
    <row r="22" spans="1:16" ht="14.15" customHeight="1" x14ac:dyDescent="0.35">
      <c r="A22" s="56" t="s">
        <v>159</v>
      </c>
      <c r="B22" s="56" t="s">
        <v>211</v>
      </c>
      <c r="C22" s="56">
        <v>4</v>
      </c>
      <c r="D22" s="46">
        <v>4236427700</v>
      </c>
      <c r="E22" s="56">
        <v>7.66</v>
      </c>
      <c r="F22" s="56" t="s">
        <v>160</v>
      </c>
      <c r="G22" s="59">
        <v>0.16209999999999999</v>
      </c>
      <c r="H22" s="56">
        <v>1.42</v>
      </c>
      <c r="J22" t="s">
        <v>205</v>
      </c>
    </row>
    <row r="23" spans="1:16" x14ac:dyDescent="0.35">
      <c r="A23" s="56" t="s">
        <v>171</v>
      </c>
      <c r="B23" s="56" t="s">
        <v>172</v>
      </c>
      <c r="C23" s="56">
        <v>3</v>
      </c>
      <c r="D23" s="46">
        <v>3134659100</v>
      </c>
      <c r="E23" s="56">
        <v>4.54</v>
      </c>
      <c r="F23" s="56" t="s">
        <v>173</v>
      </c>
      <c r="G23" s="59">
        <v>8.9399999999999993E-2</v>
      </c>
      <c r="H23" s="56">
        <v>24.55</v>
      </c>
      <c r="P23" t="s">
        <v>205</v>
      </c>
    </row>
    <row r="24" spans="1:16" x14ac:dyDescent="0.35">
      <c r="A24" s="56" t="s">
        <v>220</v>
      </c>
      <c r="B24" s="56" t="s">
        <v>221</v>
      </c>
      <c r="C24" s="56">
        <v>2</v>
      </c>
      <c r="D24" s="46">
        <v>3007440200</v>
      </c>
      <c r="E24" s="56">
        <v>55.07</v>
      </c>
      <c r="F24" s="56" t="s">
        <v>222</v>
      </c>
      <c r="G24" s="59">
        <v>6.5600000000000006E-2</v>
      </c>
      <c r="H24" s="56">
        <v>22.24</v>
      </c>
      <c r="J24" t="s">
        <v>205</v>
      </c>
    </row>
    <row r="25" spans="1:16" x14ac:dyDescent="0.35">
      <c r="A25" s="56" t="s">
        <v>214</v>
      </c>
      <c r="B25" s="56" t="s">
        <v>215</v>
      </c>
      <c r="C25" s="56">
        <v>2</v>
      </c>
      <c r="D25" s="46">
        <v>16525451000</v>
      </c>
      <c r="E25" s="56">
        <v>3.63</v>
      </c>
      <c r="F25" s="56" t="s">
        <v>216</v>
      </c>
      <c r="G25" s="59">
        <v>5.0099999999999999E-2</v>
      </c>
      <c r="H25" s="56">
        <v>2.87</v>
      </c>
      <c r="K25" t="s">
        <v>205</v>
      </c>
    </row>
    <row r="26" spans="1:16" x14ac:dyDescent="0.35">
      <c r="A26" s="56" t="s">
        <v>212</v>
      </c>
      <c r="B26" s="56" t="s">
        <v>378</v>
      </c>
      <c r="C26" s="56">
        <v>2</v>
      </c>
      <c r="D26" s="46">
        <v>12761367600</v>
      </c>
      <c r="E26" s="56">
        <v>32.49</v>
      </c>
      <c r="F26" s="56" t="s">
        <v>213</v>
      </c>
      <c r="G26" s="59">
        <v>0.1757</v>
      </c>
      <c r="H26" s="56">
        <v>5.44</v>
      </c>
      <c r="J26" s="60" t="s">
        <v>209</v>
      </c>
      <c r="L26" t="s">
        <v>71</v>
      </c>
    </row>
    <row r="27" spans="1:16" x14ac:dyDescent="0.35">
      <c r="A27" s="56" t="s">
        <v>217</v>
      </c>
      <c r="B27" s="56" t="s">
        <v>218</v>
      </c>
      <c r="C27" s="56">
        <v>2</v>
      </c>
      <c r="D27" s="46">
        <v>1217983650</v>
      </c>
      <c r="E27" s="56">
        <v>4.0199999999999996</v>
      </c>
      <c r="F27" s="56" t="s">
        <v>219</v>
      </c>
      <c r="G27" s="59">
        <v>0.187</v>
      </c>
      <c r="H27" s="56">
        <v>6.69</v>
      </c>
      <c r="J27" t="s">
        <v>206</v>
      </c>
    </row>
    <row r="28" spans="1:16" x14ac:dyDescent="0.35">
      <c r="A28" s="56" t="s">
        <v>230</v>
      </c>
      <c r="B28" s="56" t="s">
        <v>231</v>
      </c>
      <c r="C28" s="56">
        <v>2</v>
      </c>
      <c r="D28" s="46">
        <v>3572322000</v>
      </c>
      <c r="E28" s="56">
        <v>16.260000000000002</v>
      </c>
      <c r="F28" s="56" t="s">
        <v>232</v>
      </c>
      <c r="G28" s="59">
        <v>0.16889999999999999</v>
      </c>
      <c r="H28" s="56">
        <v>1.95</v>
      </c>
      <c r="J28" s="33"/>
      <c r="N28" t="s">
        <v>205</v>
      </c>
    </row>
    <row r="29" spans="1:16" x14ac:dyDescent="0.35">
      <c r="A29" s="56" t="s">
        <v>228</v>
      </c>
      <c r="B29" s="56" t="s">
        <v>229</v>
      </c>
      <c r="C29" s="56">
        <v>2</v>
      </c>
      <c r="D29" s="46">
        <v>3283849600</v>
      </c>
      <c r="E29" s="56">
        <v>11.46</v>
      </c>
      <c r="F29" s="56" t="s">
        <v>195</v>
      </c>
      <c r="G29" s="59">
        <v>8.0199999999999994E-2</v>
      </c>
      <c r="H29" s="56">
        <v>30.92</v>
      </c>
      <c r="P29" s="60" t="s">
        <v>209</v>
      </c>
    </row>
    <row r="30" spans="1:16" x14ac:dyDescent="0.35">
      <c r="A30" s="56" t="s">
        <v>225</v>
      </c>
      <c r="B30" s="56" t="s">
        <v>226</v>
      </c>
      <c r="C30" s="56">
        <v>2</v>
      </c>
      <c r="D30" s="46">
        <v>4482664000</v>
      </c>
      <c r="E30" s="56">
        <v>6.4</v>
      </c>
      <c r="F30" s="56" t="s">
        <v>227</v>
      </c>
      <c r="G30" s="59">
        <v>9.7999999999999997E-3</v>
      </c>
      <c r="H30" s="56">
        <v>69.14</v>
      </c>
      <c r="L30" t="s">
        <v>205</v>
      </c>
    </row>
    <row r="31" spans="1:16" x14ac:dyDescent="0.35">
      <c r="A31" s="56" t="s">
        <v>223</v>
      </c>
      <c r="B31" s="56" t="s">
        <v>224</v>
      </c>
      <c r="C31" s="56">
        <v>2</v>
      </c>
      <c r="D31" s="46">
        <v>15029289000</v>
      </c>
      <c r="E31" s="56">
        <v>21.44</v>
      </c>
      <c r="F31" s="56" t="s">
        <v>222</v>
      </c>
      <c r="G31" s="59">
        <v>0.1762</v>
      </c>
      <c r="H31" s="56">
        <v>1.42</v>
      </c>
      <c r="J31" t="s">
        <v>205</v>
      </c>
    </row>
    <row r="32" spans="1:16" x14ac:dyDescent="0.35">
      <c r="A32" s="67" t="s">
        <v>245</v>
      </c>
      <c r="B32" s="67" t="s">
        <v>386</v>
      </c>
      <c r="C32" s="67">
        <v>1</v>
      </c>
      <c r="D32" s="68">
        <v>2901320400</v>
      </c>
      <c r="E32" s="67">
        <v>17.62</v>
      </c>
      <c r="F32" s="67" t="s">
        <v>195</v>
      </c>
      <c r="G32" s="69">
        <v>0.14680000000000001</v>
      </c>
      <c r="H32" s="67">
        <v>2.38</v>
      </c>
    </row>
    <row r="33" spans="1:8" x14ac:dyDescent="0.35">
      <c r="A33" s="67" t="s">
        <v>246</v>
      </c>
      <c r="B33" s="67" t="s">
        <v>247</v>
      </c>
      <c r="C33" s="67">
        <v>1</v>
      </c>
      <c r="D33" s="68">
        <v>2613624400</v>
      </c>
      <c r="E33" s="67">
        <v>12.13</v>
      </c>
      <c r="F33" s="67" t="s">
        <v>248</v>
      </c>
      <c r="G33" s="69">
        <v>3.0300000000000001E-2</v>
      </c>
      <c r="H33" s="67">
        <v>38.25</v>
      </c>
    </row>
    <row r="34" spans="1:8" x14ac:dyDescent="0.35">
      <c r="A34" s="67" t="s">
        <v>249</v>
      </c>
      <c r="B34" s="67" t="s">
        <v>250</v>
      </c>
      <c r="C34" s="67">
        <v>1</v>
      </c>
      <c r="D34" s="68">
        <v>952985250</v>
      </c>
      <c r="E34" s="67">
        <v>16.5</v>
      </c>
      <c r="F34" s="67" t="s">
        <v>251</v>
      </c>
      <c r="G34" s="69">
        <v>0.1128</v>
      </c>
      <c r="H34" s="67">
        <v>43.68</v>
      </c>
    </row>
    <row r="35" spans="1:8" x14ac:dyDescent="0.35">
      <c r="A35" s="67" t="s">
        <v>252</v>
      </c>
      <c r="B35" s="67" t="s">
        <v>253</v>
      </c>
      <c r="C35" s="67">
        <v>1</v>
      </c>
      <c r="D35" s="68">
        <v>1450040300</v>
      </c>
      <c r="E35" s="67">
        <v>15.15</v>
      </c>
      <c r="F35" s="67" t="s">
        <v>254</v>
      </c>
      <c r="G35" s="69">
        <v>9.01E-2</v>
      </c>
      <c r="H35" s="67">
        <v>19.2</v>
      </c>
    </row>
    <row r="36" spans="1:8" x14ac:dyDescent="0.35">
      <c r="A36" s="67" t="s">
        <v>255</v>
      </c>
      <c r="B36" s="67" t="s">
        <v>256</v>
      </c>
      <c r="C36" s="67">
        <v>1</v>
      </c>
      <c r="D36" s="68">
        <v>1978774600</v>
      </c>
      <c r="E36" s="67">
        <v>26.95</v>
      </c>
      <c r="F36" s="67" t="s">
        <v>257</v>
      </c>
      <c r="G36" s="69">
        <v>9.06E-2</v>
      </c>
      <c r="H36" s="67">
        <v>6.77</v>
      </c>
    </row>
    <row r="37" spans="1:8" x14ac:dyDescent="0.35">
      <c r="A37" s="67" t="s">
        <v>258</v>
      </c>
      <c r="B37" s="67" t="s">
        <v>259</v>
      </c>
      <c r="C37" s="67">
        <v>1</v>
      </c>
      <c r="D37" s="68">
        <v>1939913900</v>
      </c>
      <c r="E37" s="67">
        <v>10.79</v>
      </c>
      <c r="F37" s="67" t="s">
        <v>158</v>
      </c>
      <c r="G37" s="69">
        <v>2.06E-2</v>
      </c>
      <c r="H37" s="67">
        <v>119.83</v>
      </c>
    </row>
    <row r="38" spans="1:8" x14ac:dyDescent="0.35">
      <c r="A38" s="67" t="s">
        <v>260</v>
      </c>
      <c r="B38" s="67" t="s">
        <v>261</v>
      </c>
      <c r="C38" s="67">
        <v>1</v>
      </c>
      <c r="D38" s="68">
        <v>2360745000</v>
      </c>
      <c r="E38" s="67">
        <v>10.74</v>
      </c>
      <c r="F38" s="67" t="s">
        <v>262</v>
      </c>
      <c r="G38" s="69">
        <v>1.0200000000000001E-2</v>
      </c>
      <c r="H38" s="67">
        <v>149.74</v>
      </c>
    </row>
    <row r="39" spans="1:8" x14ac:dyDescent="0.35">
      <c r="A39" s="67" t="s">
        <v>263</v>
      </c>
      <c r="B39" s="67" t="s">
        <v>264</v>
      </c>
      <c r="C39" s="67">
        <v>1</v>
      </c>
      <c r="D39" s="68">
        <v>2202040500</v>
      </c>
      <c r="E39" s="67">
        <v>39.82</v>
      </c>
      <c r="F39" s="67" t="s">
        <v>265</v>
      </c>
      <c r="G39" s="69">
        <v>0.16309999999999999</v>
      </c>
      <c r="H39" s="67">
        <v>25.42</v>
      </c>
    </row>
    <row r="40" spans="1:8" x14ac:dyDescent="0.35">
      <c r="A40" s="67" t="s">
        <v>266</v>
      </c>
      <c r="B40" s="67" t="s">
        <v>267</v>
      </c>
      <c r="C40" s="67">
        <v>1</v>
      </c>
      <c r="D40" s="68">
        <v>1758400000</v>
      </c>
      <c r="E40" s="67">
        <v>10.99</v>
      </c>
      <c r="F40" s="67" t="s">
        <v>268</v>
      </c>
      <c r="G40" s="69">
        <v>4.3799999999999999E-2</v>
      </c>
      <c r="H40" s="67">
        <v>104.45</v>
      </c>
    </row>
    <row r="41" spans="1:8" x14ac:dyDescent="0.35">
      <c r="A41" s="67" t="s">
        <v>269</v>
      </c>
      <c r="B41" s="67" t="s">
        <v>270</v>
      </c>
      <c r="C41" s="67">
        <v>1</v>
      </c>
      <c r="D41" s="68">
        <v>6787174300</v>
      </c>
      <c r="E41" s="67">
        <v>52.09</v>
      </c>
      <c r="F41" s="67" t="s">
        <v>271</v>
      </c>
      <c r="G41" s="69">
        <v>8.1000000000000003E-2</v>
      </c>
      <c r="H41" s="67">
        <v>6.73</v>
      </c>
    </row>
    <row r="42" spans="1:8" x14ac:dyDescent="0.35">
      <c r="A42" s="67" t="s">
        <v>272</v>
      </c>
      <c r="B42" s="67" t="s">
        <v>273</v>
      </c>
      <c r="C42" s="67">
        <v>1</v>
      </c>
      <c r="D42" s="68">
        <v>3156280100</v>
      </c>
      <c r="E42" s="67">
        <v>26.65</v>
      </c>
      <c r="F42" s="67" t="s">
        <v>274</v>
      </c>
      <c r="G42" s="69">
        <v>1.9300000000000001E-2</v>
      </c>
      <c r="H42" s="67">
        <v>64.78</v>
      </c>
    </row>
    <row r="43" spans="1:8" x14ac:dyDescent="0.35">
      <c r="A43" s="67" t="s">
        <v>275</v>
      </c>
      <c r="B43" s="67" t="s">
        <v>276</v>
      </c>
      <c r="C43" s="67">
        <v>1</v>
      </c>
      <c r="D43" s="68">
        <v>26860382000</v>
      </c>
      <c r="E43" s="67">
        <v>14.7</v>
      </c>
      <c r="F43" s="67" t="s">
        <v>277</v>
      </c>
      <c r="G43" s="69">
        <v>9.4600000000000004E-2</v>
      </c>
      <c r="H43" s="67">
        <v>0.92</v>
      </c>
    </row>
    <row r="44" spans="1:8" x14ac:dyDescent="0.35">
      <c r="A44" s="67" t="s">
        <v>278</v>
      </c>
      <c r="B44" s="67" t="s">
        <v>279</v>
      </c>
      <c r="C44" s="67">
        <v>1</v>
      </c>
      <c r="D44" s="68">
        <v>3349632300</v>
      </c>
      <c r="E44" s="67">
        <v>4.2</v>
      </c>
      <c r="F44" s="67" t="s">
        <v>195</v>
      </c>
      <c r="G44" s="69">
        <v>5.8200000000000002E-2</v>
      </c>
      <c r="H44" s="67">
        <v>35.17</v>
      </c>
    </row>
    <row r="45" spans="1:8" x14ac:dyDescent="0.35">
      <c r="A45" s="67" t="s">
        <v>280</v>
      </c>
      <c r="B45" s="67" t="s">
        <v>281</v>
      </c>
      <c r="C45" s="67">
        <v>1</v>
      </c>
      <c r="D45" s="68">
        <v>11999090400</v>
      </c>
      <c r="E45" s="67">
        <v>6.7</v>
      </c>
      <c r="F45" s="67" t="s">
        <v>282</v>
      </c>
      <c r="G45" s="69">
        <v>0.1338</v>
      </c>
      <c r="H45" s="67">
        <v>1.39</v>
      </c>
    </row>
    <row r="46" spans="1:8" x14ac:dyDescent="0.35">
      <c r="A46" s="67" t="s">
        <v>283</v>
      </c>
      <c r="B46" s="67" t="s">
        <v>284</v>
      </c>
      <c r="C46" s="67">
        <v>1</v>
      </c>
      <c r="D46" s="68">
        <v>2074775300</v>
      </c>
      <c r="E46" s="67">
        <v>5.18</v>
      </c>
      <c r="F46" s="67" t="s">
        <v>285</v>
      </c>
      <c r="G46" s="69">
        <v>5.9700000000000003E-2</v>
      </c>
      <c r="H46" s="67">
        <v>39.72</v>
      </c>
    </row>
    <row r="47" spans="1:8" x14ac:dyDescent="0.35">
      <c r="A47" s="67" t="s">
        <v>286</v>
      </c>
      <c r="B47" s="67" t="s">
        <v>287</v>
      </c>
      <c r="C47" s="67">
        <v>1</v>
      </c>
      <c r="D47" s="68">
        <v>3052728800</v>
      </c>
      <c r="E47" s="67">
        <v>5.51</v>
      </c>
      <c r="F47" s="67" t="s">
        <v>288</v>
      </c>
      <c r="G47" s="69">
        <v>9.5899999999999999E-2</v>
      </c>
      <c r="H47" s="67">
        <v>10.02</v>
      </c>
    </row>
    <row r="48" spans="1:8" x14ac:dyDescent="0.35">
      <c r="A48" s="67" t="s">
        <v>289</v>
      </c>
      <c r="B48" s="67" t="s">
        <v>290</v>
      </c>
      <c r="C48" s="67">
        <v>1</v>
      </c>
      <c r="D48" s="68">
        <v>1867630000</v>
      </c>
      <c r="E48" s="67">
        <v>5.94</v>
      </c>
      <c r="F48" s="67" t="s">
        <v>291</v>
      </c>
      <c r="G48" s="69">
        <v>2.3300000000000001E-2</v>
      </c>
      <c r="H48" s="67">
        <v>105.17</v>
      </c>
    </row>
    <row r="49" spans="1:8" x14ac:dyDescent="0.35">
      <c r="A49" s="67" t="s">
        <v>292</v>
      </c>
      <c r="B49" s="67" t="s">
        <v>293</v>
      </c>
      <c r="C49" s="67">
        <v>1</v>
      </c>
      <c r="D49" s="68">
        <v>2523304800</v>
      </c>
      <c r="E49" s="67">
        <v>3.03</v>
      </c>
      <c r="F49" s="67" t="s">
        <v>294</v>
      </c>
      <c r="G49" s="69">
        <v>1.8700000000000001E-2</v>
      </c>
      <c r="H49" s="67">
        <v>115.36</v>
      </c>
    </row>
    <row r="50" spans="1:8" x14ac:dyDescent="0.35">
      <c r="A50" s="67" t="s">
        <v>295</v>
      </c>
      <c r="B50" s="67" t="s">
        <v>296</v>
      </c>
      <c r="C50" s="67">
        <v>1</v>
      </c>
      <c r="D50" s="68">
        <v>5124260300</v>
      </c>
      <c r="E50" s="67">
        <v>4.6100000000000003</v>
      </c>
      <c r="F50" s="67" t="s">
        <v>297</v>
      </c>
      <c r="G50" s="69">
        <v>8.43E-2</v>
      </c>
      <c r="H50" s="67">
        <v>12.46</v>
      </c>
    </row>
    <row r="51" spans="1:8" x14ac:dyDescent="0.35">
      <c r="A51" s="67" t="s">
        <v>298</v>
      </c>
      <c r="B51" s="67" t="s">
        <v>299</v>
      </c>
      <c r="C51" s="67">
        <v>1</v>
      </c>
      <c r="D51" s="68">
        <v>3276984000</v>
      </c>
      <c r="E51" s="67">
        <v>9.57</v>
      </c>
      <c r="F51" s="67" t="s">
        <v>300</v>
      </c>
      <c r="G51" s="69">
        <v>4.87E-2</v>
      </c>
      <c r="H51" s="67">
        <v>31.56</v>
      </c>
    </row>
    <row r="52" spans="1:8" x14ac:dyDescent="0.35">
      <c r="A52" s="67" t="s">
        <v>301</v>
      </c>
      <c r="B52" s="67" t="s">
        <v>302</v>
      </c>
      <c r="C52" s="67">
        <v>1</v>
      </c>
      <c r="D52" s="68">
        <v>4429168900</v>
      </c>
      <c r="E52" s="67">
        <v>5.82</v>
      </c>
      <c r="F52" s="67" t="s">
        <v>303</v>
      </c>
      <c r="G52" s="69">
        <v>0.30620000000000003</v>
      </c>
      <c r="H52" s="67">
        <v>5.17</v>
      </c>
    </row>
    <row r="53" spans="1:8" x14ac:dyDescent="0.35">
      <c r="A53" s="67" t="s">
        <v>304</v>
      </c>
      <c r="B53" s="67" t="s">
        <v>305</v>
      </c>
      <c r="C53" s="67">
        <v>1</v>
      </c>
      <c r="D53" s="68">
        <v>41819787000</v>
      </c>
      <c r="E53" s="67">
        <v>26.07</v>
      </c>
      <c r="F53" s="67" t="s">
        <v>306</v>
      </c>
      <c r="G53" s="69">
        <v>5.9499999999999997E-2</v>
      </c>
      <c r="H53" s="67">
        <v>4.59</v>
      </c>
    </row>
    <row r="54" spans="1:8" x14ac:dyDescent="0.35">
      <c r="A54" s="67" t="s">
        <v>307</v>
      </c>
      <c r="B54" s="67" t="s">
        <v>308</v>
      </c>
      <c r="C54" s="67">
        <v>1</v>
      </c>
      <c r="D54" s="68">
        <v>1525419000</v>
      </c>
      <c r="E54" s="67">
        <v>51.76</v>
      </c>
      <c r="F54" s="67" t="s">
        <v>309</v>
      </c>
      <c r="G54" s="69">
        <v>0.30769999999999997</v>
      </c>
      <c r="H54" s="67">
        <v>2.2599999999999998</v>
      </c>
    </row>
    <row r="55" spans="1:8" x14ac:dyDescent="0.35">
      <c r="A55" s="67" t="s">
        <v>310</v>
      </c>
      <c r="B55" s="67" t="s">
        <v>311</v>
      </c>
      <c r="C55" s="67">
        <v>1</v>
      </c>
      <c r="D55" s="68">
        <v>7359923900</v>
      </c>
      <c r="E55" s="67">
        <v>12.46</v>
      </c>
      <c r="F55" s="67" t="s">
        <v>312</v>
      </c>
      <c r="G55" s="69">
        <v>0.1109</v>
      </c>
      <c r="H55" s="67">
        <v>10.65</v>
      </c>
    </row>
    <row r="56" spans="1:8" x14ac:dyDescent="0.35">
      <c r="A56" s="67" t="s">
        <v>313</v>
      </c>
      <c r="B56" s="67" t="s">
        <v>314</v>
      </c>
      <c r="C56" s="67">
        <v>1</v>
      </c>
      <c r="D56" s="68">
        <v>7613130200</v>
      </c>
      <c r="E56" s="67">
        <v>10.95</v>
      </c>
      <c r="F56" s="67" t="s">
        <v>315</v>
      </c>
      <c r="G56" s="69">
        <v>0.1474</v>
      </c>
      <c r="H56" s="67">
        <v>4.92</v>
      </c>
    </row>
    <row r="57" spans="1:8" x14ac:dyDescent="0.35">
      <c r="A57" s="67" t="s">
        <v>316</v>
      </c>
      <c r="B57" s="67" t="s">
        <v>317</v>
      </c>
      <c r="C57" s="67">
        <v>1</v>
      </c>
      <c r="D57" s="68">
        <v>2903663600</v>
      </c>
      <c r="E57" s="67">
        <v>7.54</v>
      </c>
      <c r="F57" s="67" t="s">
        <v>318</v>
      </c>
      <c r="G57" s="69">
        <v>2.3599999999999999E-2</v>
      </c>
      <c r="H57" s="67">
        <v>129.57</v>
      </c>
    </row>
    <row r="58" spans="1:8" x14ac:dyDescent="0.35">
      <c r="A58" s="67" t="s">
        <v>319</v>
      </c>
      <c r="B58" s="67" t="s">
        <v>320</v>
      </c>
      <c r="C58" s="67">
        <v>1</v>
      </c>
      <c r="D58" s="68">
        <v>2024107300</v>
      </c>
      <c r="E58" s="67">
        <v>18.11</v>
      </c>
      <c r="F58" s="67" t="s">
        <v>195</v>
      </c>
      <c r="G58" s="69">
        <v>8.0500000000000002E-2</v>
      </c>
      <c r="H58" s="67">
        <v>29.77</v>
      </c>
    </row>
    <row r="59" spans="1:8" x14ac:dyDescent="0.35">
      <c r="A59" s="67" t="s">
        <v>321</v>
      </c>
      <c r="B59" s="67" t="s">
        <v>322</v>
      </c>
      <c r="C59" s="67">
        <v>1</v>
      </c>
      <c r="D59" s="68">
        <v>5362573500</v>
      </c>
      <c r="E59" s="67">
        <v>6.44</v>
      </c>
      <c r="F59" s="67" t="s">
        <v>323</v>
      </c>
      <c r="G59" s="69">
        <v>3.8800000000000001E-2</v>
      </c>
      <c r="H59" s="67">
        <v>19.149999999999999</v>
      </c>
    </row>
    <row r="60" spans="1:8" x14ac:dyDescent="0.35">
      <c r="A60" s="67" t="s">
        <v>324</v>
      </c>
      <c r="B60" s="67" t="s">
        <v>325</v>
      </c>
      <c r="C60" s="67">
        <v>1</v>
      </c>
      <c r="D60" s="68">
        <v>2217918000</v>
      </c>
      <c r="E60" s="67">
        <v>17.11</v>
      </c>
      <c r="F60" s="67" t="s">
        <v>158</v>
      </c>
      <c r="G60" s="69">
        <v>0.23860000000000001</v>
      </c>
      <c r="H60" s="67">
        <v>1.85</v>
      </c>
    </row>
    <row r="61" spans="1:8" x14ac:dyDescent="0.35">
      <c r="A61" s="67" t="s">
        <v>326</v>
      </c>
      <c r="B61" s="67" t="s">
        <v>327</v>
      </c>
      <c r="C61" s="67">
        <v>1</v>
      </c>
      <c r="D61" s="68">
        <v>1403511800</v>
      </c>
      <c r="E61" s="67">
        <v>31.93</v>
      </c>
      <c r="F61" s="67" t="s">
        <v>195</v>
      </c>
      <c r="G61" s="69">
        <v>0.1011</v>
      </c>
      <c r="H61" s="67">
        <v>22.36</v>
      </c>
    </row>
    <row r="62" spans="1:8" x14ac:dyDescent="0.35">
      <c r="A62" s="67" t="s">
        <v>328</v>
      </c>
      <c r="B62" s="67" t="s">
        <v>329</v>
      </c>
      <c r="C62" s="67">
        <v>1</v>
      </c>
      <c r="D62" s="68">
        <v>1441308100</v>
      </c>
      <c r="E62" s="67">
        <v>17.5</v>
      </c>
      <c r="F62" s="67" t="s">
        <v>330</v>
      </c>
      <c r="G62" s="69">
        <v>8.5699999999999998E-2</v>
      </c>
      <c r="H62" s="67">
        <v>11.08</v>
      </c>
    </row>
    <row r="63" spans="1:8" x14ac:dyDescent="0.35">
      <c r="A63" s="67" t="s">
        <v>331</v>
      </c>
      <c r="B63" s="67" t="s">
        <v>332</v>
      </c>
      <c r="C63" s="67">
        <v>1</v>
      </c>
      <c r="D63" s="68">
        <v>10358420200</v>
      </c>
      <c r="E63" s="67">
        <v>11.76</v>
      </c>
      <c r="F63" s="67" t="s">
        <v>158</v>
      </c>
      <c r="G63" s="69">
        <v>7.5399999999999995E-2</v>
      </c>
      <c r="H63" s="67">
        <v>0.48</v>
      </c>
    </row>
    <row r="64" spans="1:8" x14ac:dyDescent="0.35">
      <c r="A64" s="67" t="s">
        <v>333</v>
      </c>
      <c r="B64" s="67" t="s">
        <v>334</v>
      </c>
      <c r="C64" s="67">
        <v>1</v>
      </c>
      <c r="D64" s="68">
        <v>1963500000</v>
      </c>
      <c r="E64" s="67">
        <v>25.5</v>
      </c>
      <c r="F64" s="67" t="s">
        <v>335</v>
      </c>
      <c r="G64" s="69">
        <v>4.82E-2</v>
      </c>
      <c r="H64" s="67">
        <v>31.3</v>
      </c>
    </row>
    <row r="65" spans="1:8" x14ac:dyDescent="0.35">
      <c r="A65" s="67" t="s">
        <v>336</v>
      </c>
      <c r="B65" s="67" t="s">
        <v>337</v>
      </c>
      <c r="C65" s="67">
        <v>1</v>
      </c>
      <c r="D65" s="68">
        <v>2542018900</v>
      </c>
      <c r="E65" s="67">
        <v>9.49</v>
      </c>
      <c r="F65" s="67" t="s">
        <v>338</v>
      </c>
      <c r="G65" s="69">
        <v>7.1999999999999995E-2</v>
      </c>
      <c r="H65" s="67">
        <v>44.82</v>
      </c>
    </row>
    <row r="66" spans="1:8" x14ac:dyDescent="0.35">
      <c r="A66" s="67" t="s">
        <v>339</v>
      </c>
      <c r="B66" s="67" t="s">
        <v>340</v>
      </c>
      <c r="C66" s="67">
        <v>1</v>
      </c>
      <c r="D66" s="68">
        <v>7941906800</v>
      </c>
      <c r="E66" s="67">
        <v>18.89</v>
      </c>
      <c r="F66" s="67" t="s">
        <v>341</v>
      </c>
      <c r="G66" s="69">
        <v>6.5000000000000002E-2</v>
      </c>
      <c r="H66" s="67">
        <v>1.6</v>
      </c>
    </row>
    <row r="67" spans="1:8" x14ac:dyDescent="0.35">
      <c r="A67" s="67" t="s">
        <v>342</v>
      </c>
      <c r="B67" s="67" t="s">
        <v>343</v>
      </c>
      <c r="C67" s="67">
        <v>1</v>
      </c>
      <c r="D67" s="68">
        <v>3280947400</v>
      </c>
      <c r="E67" s="67">
        <v>20.190000000000001</v>
      </c>
      <c r="F67" s="67" t="s">
        <v>344</v>
      </c>
      <c r="G67" s="69">
        <v>1.77E-2</v>
      </c>
      <c r="H67" s="67">
        <v>41.07</v>
      </c>
    </row>
    <row r="68" spans="1:8" x14ac:dyDescent="0.35">
      <c r="A68" s="67" t="s">
        <v>345</v>
      </c>
      <c r="B68" s="67" t="s">
        <v>346</v>
      </c>
      <c r="C68" s="67">
        <v>1</v>
      </c>
      <c r="D68" s="68">
        <v>6756339000</v>
      </c>
      <c r="E68" s="67">
        <v>26.52</v>
      </c>
      <c r="F68" s="67" t="s">
        <v>347</v>
      </c>
      <c r="G68" s="69">
        <v>9.6299999999999997E-2</v>
      </c>
      <c r="H68" s="67">
        <v>11.28</v>
      </c>
    </row>
    <row r="69" spans="1:8" x14ac:dyDescent="0.35">
      <c r="A69" s="67" t="s">
        <v>348</v>
      </c>
      <c r="B69" s="67" t="s">
        <v>349</v>
      </c>
      <c r="C69" s="67">
        <v>1</v>
      </c>
      <c r="D69" s="68">
        <v>6330953200</v>
      </c>
      <c r="E69" s="67">
        <v>9.6999999999999993</v>
      </c>
      <c r="F69" s="67" t="s">
        <v>350</v>
      </c>
      <c r="G69" s="69">
        <v>7.22E-2</v>
      </c>
      <c r="H69" s="67">
        <v>8.4700000000000006</v>
      </c>
    </row>
    <row r="70" spans="1:8" x14ac:dyDescent="0.35">
      <c r="A70" s="67" t="s">
        <v>351</v>
      </c>
      <c r="B70" s="67" t="s">
        <v>352</v>
      </c>
      <c r="C70" s="67">
        <v>1</v>
      </c>
      <c r="D70" s="68">
        <v>2336901900</v>
      </c>
      <c r="E70" s="67">
        <v>13.21</v>
      </c>
      <c r="F70" s="67" t="s">
        <v>353</v>
      </c>
      <c r="G70" s="69">
        <v>6.9500000000000006E-2</v>
      </c>
      <c r="H70" s="67">
        <v>12.93</v>
      </c>
    </row>
    <row r="71" spans="1:8" x14ac:dyDescent="0.35">
      <c r="A71" s="67" t="s">
        <v>354</v>
      </c>
      <c r="B71" s="67" t="s">
        <v>355</v>
      </c>
      <c r="C71" s="67">
        <v>1</v>
      </c>
      <c r="D71" s="68">
        <v>11041800700</v>
      </c>
      <c r="E71" s="67">
        <v>11.55</v>
      </c>
      <c r="F71" s="67" t="s">
        <v>356</v>
      </c>
      <c r="G71" s="69">
        <v>3.4500000000000003E-2</v>
      </c>
      <c r="H71" s="67">
        <v>15.12</v>
      </c>
    </row>
    <row r="72" spans="1:8" x14ac:dyDescent="0.35">
      <c r="A72" s="67" t="s">
        <v>357</v>
      </c>
      <c r="B72" s="67" t="s">
        <v>358</v>
      </c>
      <c r="C72" s="67">
        <v>1</v>
      </c>
      <c r="D72" s="68">
        <v>21370452000</v>
      </c>
      <c r="E72" s="67">
        <v>32.01</v>
      </c>
      <c r="F72" s="67" t="s">
        <v>312</v>
      </c>
      <c r="G72" s="69">
        <v>7.1300000000000002E-2</v>
      </c>
      <c r="H72" s="67">
        <v>1.18</v>
      </c>
    </row>
    <row r="73" spans="1:8" x14ac:dyDescent="0.35">
      <c r="A73" s="67" t="s">
        <v>359</v>
      </c>
      <c r="B73" s="67" t="s">
        <v>360</v>
      </c>
      <c r="C73" s="67">
        <v>1</v>
      </c>
      <c r="D73" s="68">
        <v>8490075700</v>
      </c>
      <c r="E73" s="67">
        <v>10.67</v>
      </c>
      <c r="F73" s="67" t="s">
        <v>361</v>
      </c>
      <c r="G73" s="69">
        <v>1.0999999999999999E-2</v>
      </c>
      <c r="H73" s="67">
        <v>36.08</v>
      </c>
    </row>
    <row r="74" spans="1:8" x14ac:dyDescent="0.35">
      <c r="A74" s="67" t="s">
        <v>362</v>
      </c>
      <c r="B74" s="67" t="s">
        <v>363</v>
      </c>
      <c r="C74" s="67">
        <v>1</v>
      </c>
      <c r="D74" s="68">
        <v>9154312300</v>
      </c>
      <c r="E74" s="67">
        <v>8.58</v>
      </c>
      <c r="F74" s="67" t="s">
        <v>361</v>
      </c>
      <c r="G74" s="69">
        <v>2.3599999999999999E-2</v>
      </c>
      <c r="H74" s="67">
        <v>25.36</v>
      </c>
    </row>
    <row r="75" spans="1:8" x14ac:dyDescent="0.35">
      <c r="A75" s="67" t="s">
        <v>364</v>
      </c>
      <c r="B75" s="67" t="s">
        <v>365</v>
      </c>
      <c r="C75" s="67">
        <v>1</v>
      </c>
      <c r="D75" s="68">
        <v>5550366500</v>
      </c>
      <c r="E75" s="67">
        <v>11.46</v>
      </c>
      <c r="F75" s="67" t="s">
        <v>366</v>
      </c>
      <c r="G75" s="69">
        <v>2.0400000000000001E-2</v>
      </c>
      <c r="H75" s="67">
        <v>15.6</v>
      </c>
    </row>
    <row r="76" spans="1:8" x14ac:dyDescent="0.35">
      <c r="A76" s="67" t="s">
        <v>367</v>
      </c>
      <c r="B76" s="67" t="s">
        <v>368</v>
      </c>
      <c r="C76" s="67">
        <v>1</v>
      </c>
      <c r="D76" s="68">
        <v>1838062300</v>
      </c>
      <c r="E76" s="67">
        <v>1.86</v>
      </c>
      <c r="F76" s="67" t="s">
        <v>369</v>
      </c>
      <c r="G76" s="69">
        <v>0.1113</v>
      </c>
      <c r="H76" s="67">
        <v>11.77</v>
      </c>
    </row>
    <row r="77" spans="1:8" x14ac:dyDescent="0.35">
      <c r="A77" s="67" t="s">
        <v>370</v>
      </c>
      <c r="B77" s="67" t="s">
        <v>371</v>
      </c>
      <c r="C77" s="67">
        <v>1</v>
      </c>
      <c r="D77" s="68">
        <v>5166700200</v>
      </c>
      <c r="E77" s="67">
        <v>6.71</v>
      </c>
      <c r="F77" s="67" t="s">
        <v>372</v>
      </c>
      <c r="G77" s="69">
        <v>2.7799999999999998E-2</v>
      </c>
      <c r="H77" s="67">
        <v>62.8</v>
      </c>
    </row>
    <row r="78" spans="1:8" x14ac:dyDescent="0.35">
      <c r="A78" s="67" t="s">
        <v>373</v>
      </c>
      <c r="B78" s="67" t="s">
        <v>374</v>
      </c>
      <c r="C78" s="67">
        <v>1</v>
      </c>
      <c r="D78" s="68">
        <v>4675569600</v>
      </c>
      <c r="E78" s="67">
        <v>2.62</v>
      </c>
      <c r="F78" s="67" t="s">
        <v>375</v>
      </c>
      <c r="G78" s="69">
        <v>4.36E-2</v>
      </c>
      <c r="H78" s="67">
        <v>24.27</v>
      </c>
    </row>
  </sheetData>
  <mergeCells count="3">
    <mergeCell ref="A18:H18"/>
    <mergeCell ref="A10:G10"/>
    <mergeCell ref="I10:P10"/>
  </mergeCells>
  <phoneticPr fontId="1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D501C-AAB9-4B4A-B913-C0EA70DDB89B}">
  <dimension ref="A1:Q39"/>
  <sheetViews>
    <sheetView workbookViewId="0">
      <selection activeCell="G37" sqref="G37"/>
    </sheetView>
  </sheetViews>
  <sheetFormatPr defaultRowHeight="14.15" x14ac:dyDescent="0.35"/>
  <cols>
    <col min="1" max="1" width="14" bestFit="1" customWidth="1"/>
    <col min="3" max="3" width="6.7109375" bestFit="1" customWidth="1"/>
    <col min="4" max="4" width="14.42578125" bestFit="1" customWidth="1"/>
    <col min="5" max="5" width="6.140625" bestFit="1" customWidth="1"/>
    <col min="6" max="6" width="29.78515625" customWidth="1"/>
    <col min="10" max="10" width="8.5" customWidth="1"/>
    <col min="11" max="11" width="9.0703125" bestFit="1" customWidth="1"/>
  </cols>
  <sheetData>
    <row r="1" spans="1:17" ht="14.15" customHeight="1" x14ac:dyDescent="0.35">
      <c r="A1" s="163" t="s">
        <v>141</v>
      </c>
      <c r="B1" s="163"/>
      <c r="C1" s="163"/>
      <c r="D1" s="163"/>
      <c r="E1" s="163"/>
      <c r="F1" s="163"/>
      <c r="G1" s="163"/>
      <c r="H1" s="163"/>
      <c r="I1" s="1"/>
      <c r="J1" s="191" t="s">
        <v>4</v>
      </c>
      <c r="K1" s="191"/>
      <c r="L1" s="191"/>
      <c r="M1" s="191"/>
      <c r="N1" s="191"/>
      <c r="O1" s="191"/>
      <c r="P1" s="191"/>
    </row>
    <row r="2" spans="1:17" ht="13.75" customHeight="1" x14ac:dyDescent="0.35">
      <c r="A2" s="49" t="s">
        <v>130</v>
      </c>
      <c r="B2" s="49" t="s">
        <v>129</v>
      </c>
      <c r="C2" s="49" t="s">
        <v>142</v>
      </c>
      <c r="D2" s="49" t="s">
        <v>140</v>
      </c>
      <c r="E2" s="49"/>
      <c r="F2" s="49" t="s">
        <v>131</v>
      </c>
      <c r="G2" s="193" t="s">
        <v>148</v>
      </c>
      <c r="H2" s="193"/>
      <c r="I2" s="1"/>
      <c r="J2" s="51" t="s">
        <v>150</v>
      </c>
      <c r="K2" s="52" t="s">
        <v>151</v>
      </c>
      <c r="L2" s="52" t="s">
        <v>203</v>
      </c>
      <c r="M2" s="51" t="s">
        <v>149</v>
      </c>
      <c r="N2" s="51" t="s">
        <v>152</v>
      </c>
      <c r="O2" s="51" t="s">
        <v>153</v>
      </c>
      <c r="P2" s="51" t="s">
        <v>204</v>
      </c>
      <c r="Q2" s="47"/>
    </row>
    <row r="3" spans="1:17" x14ac:dyDescent="0.35">
      <c r="A3" s="42" t="s">
        <v>193</v>
      </c>
      <c r="B3" s="42" t="s">
        <v>194</v>
      </c>
      <c r="C3" s="39">
        <v>0.19939999999999999</v>
      </c>
      <c r="D3" s="45">
        <v>3167023900</v>
      </c>
      <c r="E3" s="42">
        <v>4.2699999999999996</v>
      </c>
      <c r="F3" s="42" t="s">
        <v>195</v>
      </c>
      <c r="G3" s="194">
        <v>0.3513</v>
      </c>
      <c r="H3" s="194"/>
      <c r="I3" s="1"/>
      <c r="J3" s="1"/>
      <c r="K3" s="53"/>
      <c r="L3" s="53"/>
      <c r="M3" s="1"/>
      <c r="N3" s="1"/>
      <c r="O3" s="1"/>
      <c r="P3" s="1"/>
    </row>
    <row r="4" spans="1:17" x14ac:dyDescent="0.35">
      <c r="A4" s="42" t="s">
        <v>196</v>
      </c>
      <c r="B4" s="42" t="s">
        <v>197</v>
      </c>
      <c r="C4" s="39">
        <v>0.1991</v>
      </c>
      <c r="D4" s="45">
        <v>1680070000</v>
      </c>
      <c r="E4" s="42">
        <v>5.6</v>
      </c>
      <c r="F4" s="42" t="s">
        <v>198</v>
      </c>
      <c r="G4" s="194">
        <v>4.41E-2</v>
      </c>
      <c r="H4" s="194"/>
      <c r="I4" s="1"/>
      <c r="J4" s="1"/>
      <c r="K4" s="53" t="s">
        <v>205</v>
      </c>
      <c r="L4" s="53"/>
      <c r="M4" s="1"/>
      <c r="N4" s="1"/>
      <c r="O4" s="1"/>
      <c r="P4" s="1"/>
    </row>
    <row r="5" spans="1:17" x14ac:dyDescent="0.35">
      <c r="A5" s="42" t="s">
        <v>199</v>
      </c>
      <c r="B5" s="42" t="s">
        <v>200</v>
      </c>
      <c r="C5" s="39">
        <v>0.2</v>
      </c>
      <c r="D5" s="45">
        <v>13834120000</v>
      </c>
      <c r="E5" s="42">
        <v>62.35</v>
      </c>
      <c r="F5" s="42" t="s">
        <v>201</v>
      </c>
      <c r="G5" s="194">
        <v>0.12479999999999999</v>
      </c>
      <c r="H5" s="194"/>
      <c r="I5" s="1"/>
      <c r="J5" s="1"/>
      <c r="K5" s="53"/>
      <c r="L5" s="53" t="s">
        <v>205</v>
      </c>
      <c r="M5" s="1"/>
      <c r="N5" s="1"/>
      <c r="O5" s="1"/>
      <c r="P5" s="1"/>
    </row>
    <row r="6" spans="1:17" x14ac:dyDescent="0.35">
      <c r="A6" s="163" t="s">
        <v>138</v>
      </c>
      <c r="B6" s="163"/>
      <c r="C6" s="163"/>
      <c r="D6" s="163"/>
      <c r="E6" s="163"/>
      <c r="F6" s="163"/>
      <c r="G6" s="163"/>
      <c r="H6" s="163"/>
      <c r="I6" s="1"/>
      <c r="K6" s="62"/>
      <c r="L6" s="62"/>
    </row>
    <row r="7" spans="1:17" x14ac:dyDescent="0.35">
      <c r="A7" s="49" t="s">
        <v>130</v>
      </c>
      <c r="B7" s="49" t="s">
        <v>129</v>
      </c>
      <c r="C7" s="49" t="s">
        <v>137</v>
      </c>
      <c r="D7" s="50" t="s">
        <v>140</v>
      </c>
      <c r="E7" s="49" t="s">
        <v>192</v>
      </c>
      <c r="F7" s="49" t="s">
        <v>131</v>
      </c>
      <c r="G7" s="49" t="s">
        <v>148</v>
      </c>
      <c r="H7" s="49" t="s">
        <v>188</v>
      </c>
      <c r="I7" s="1"/>
      <c r="K7" s="62"/>
      <c r="L7" s="62"/>
    </row>
    <row r="8" spans="1:17" x14ac:dyDescent="0.35">
      <c r="A8" s="42" t="s">
        <v>143</v>
      </c>
      <c r="B8" s="42" t="s">
        <v>144</v>
      </c>
      <c r="C8" s="42">
        <v>8</v>
      </c>
      <c r="D8" s="45">
        <v>1700690900</v>
      </c>
      <c r="E8" s="42">
        <v>60.84</v>
      </c>
      <c r="F8" s="42" t="s">
        <v>161</v>
      </c>
      <c r="G8" s="39">
        <v>4.4999999999999997E-3</v>
      </c>
      <c r="H8" s="42">
        <v>6814.98</v>
      </c>
      <c r="I8" s="1"/>
      <c r="J8" s="1"/>
      <c r="K8" s="53"/>
      <c r="L8" s="53"/>
      <c r="M8" s="1"/>
      <c r="N8" s="1"/>
      <c r="O8" s="1"/>
      <c r="P8" s="1"/>
    </row>
    <row r="9" spans="1:17" ht="17.600000000000001" x14ac:dyDescent="0.55000000000000004">
      <c r="A9" s="42" t="s">
        <v>146</v>
      </c>
      <c r="B9" s="42" t="s">
        <v>147</v>
      </c>
      <c r="C9" s="42">
        <v>5</v>
      </c>
      <c r="D9" s="45">
        <v>9138090300</v>
      </c>
      <c r="E9" s="42">
        <v>7.5</v>
      </c>
      <c r="F9" s="42" t="s">
        <v>145</v>
      </c>
      <c r="G9" s="39">
        <v>0.1933</v>
      </c>
      <c r="H9" s="42">
        <v>1.08</v>
      </c>
      <c r="I9" s="1"/>
      <c r="J9" s="42" t="s">
        <v>205</v>
      </c>
      <c r="K9" s="53"/>
      <c r="L9" s="54"/>
      <c r="M9" s="1"/>
      <c r="N9" s="1"/>
      <c r="O9" s="1"/>
      <c r="P9" s="1"/>
    </row>
    <row r="10" spans="1:17" x14ac:dyDescent="0.35">
      <c r="A10" s="42" t="s">
        <v>154</v>
      </c>
      <c r="B10" s="42" t="s">
        <v>155</v>
      </c>
      <c r="C10" s="42">
        <v>4</v>
      </c>
      <c r="D10" s="45">
        <v>3174831300</v>
      </c>
      <c r="E10" s="42">
        <v>8.7799999999999994</v>
      </c>
      <c r="F10" s="42" t="s">
        <v>202</v>
      </c>
      <c r="G10" s="39">
        <v>1.26E-2</v>
      </c>
      <c r="H10" s="42">
        <v>330.68</v>
      </c>
      <c r="I10" s="1"/>
      <c r="J10" s="1"/>
      <c r="K10" s="53"/>
      <c r="L10" s="53"/>
      <c r="M10" s="1"/>
      <c r="N10" s="1"/>
      <c r="O10" s="1"/>
      <c r="P10" s="1" t="s">
        <v>205</v>
      </c>
    </row>
    <row r="11" spans="1:17" x14ac:dyDescent="0.35">
      <c r="A11" s="42" t="s">
        <v>156</v>
      </c>
      <c r="B11" s="42" t="s">
        <v>157</v>
      </c>
      <c r="C11" s="42">
        <v>4</v>
      </c>
      <c r="D11" s="45">
        <v>3229182600</v>
      </c>
      <c r="E11" s="42">
        <v>7.94</v>
      </c>
      <c r="F11" s="42" t="s">
        <v>158</v>
      </c>
      <c r="G11" s="39">
        <v>9.5000000000000001E-2</v>
      </c>
      <c r="H11" s="42">
        <v>8.67</v>
      </c>
      <c r="I11" s="1"/>
      <c r="J11" s="1"/>
      <c r="K11" s="53" t="s">
        <v>205</v>
      </c>
      <c r="L11" s="53"/>
      <c r="M11" s="1"/>
      <c r="N11" s="1"/>
      <c r="O11" s="1"/>
      <c r="P11" s="1"/>
    </row>
    <row r="12" spans="1:17" x14ac:dyDescent="0.35">
      <c r="A12" s="42" t="s">
        <v>159</v>
      </c>
      <c r="B12" s="42" t="s">
        <v>189</v>
      </c>
      <c r="C12" s="42">
        <v>3</v>
      </c>
      <c r="D12" s="45">
        <v>3849286800</v>
      </c>
      <c r="E12" s="42">
        <v>6.96</v>
      </c>
      <c r="F12" s="42" t="s">
        <v>160</v>
      </c>
      <c r="G12" s="39">
        <v>0.16089999999999999</v>
      </c>
      <c r="H12" s="42">
        <v>3.97</v>
      </c>
      <c r="I12" s="1"/>
      <c r="J12" s="1"/>
      <c r="K12" s="53" t="s">
        <v>205</v>
      </c>
      <c r="L12" s="53"/>
      <c r="M12" s="1"/>
      <c r="N12" s="1"/>
      <c r="O12" s="1"/>
      <c r="P12" s="1"/>
    </row>
    <row r="13" spans="1:17" x14ac:dyDescent="0.35">
      <c r="A13" s="43" t="s">
        <v>182</v>
      </c>
      <c r="B13" s="43" t="s">
        <v>190</v>
      </c>
      <c r="C13" s="43" t="s">
        <v>191</v>
      </c>
      <c r="D13" s="46">
        <v>77860508000</v>
      </c>
      <c r="E13" s="43">
        <v>19.93</v>
      </c>
      <c r="F13" s="43" t="s">
        <v>164</v>
      </c>
      <c r="G13" s="44">
        <v>2.6700000000000002E-2</v>
      </c>
      <c r="H13" s="43">
        <v>35.340000000000003</v>
      </c>
      <c r="I13" s="1"/>
      <c r="J13" s="1"/>
      <c r="K13" s="53"/>
      <c r="L13" s="60" t="s">
        <v>209</v>
      </c>
      <c r="M13" s="1"/>
      <c r="N13" s="1"/>
      <c r="O13" s="1"/>
      <c r="P13" s="1"/>
    </row>
    <row r="14" spans="1:17" ht="17.600000000000001" x14ac:dyDescent="0.55000000000000004">
      <c r="A14" s="43" t="s">
        <v>162</v>
      </c>
      <c r="B14" s="43" t="s">
        <v>163</v>
      </c>
      <c r="C14" s="43">
        <v>2</v>
      </c>
      <c r="D14" s="46">
        <v>33082301000</v>
      </c>
      <c r="E14" s="43">
        <v>10.66</v>
      </c>
      <c r="F14" s="43" t="s">
        <v>164</v>
      </c>
      <c r="G14" s="44">
        <v>8.6E-3</v>
      </c>
      <c r="H14" s="43">
        <v>128.35</v>
      </c>
      <c r="I14" s="1"/>
      <c r="J14" s="1"/>
      <c r="K14" s="53"/>
      <c r="L14" s="54" t="s">
        <v>206</v>
      </c>
      <c r="M14" s="1"/>
      <c r="N14" s="1"/>
      <c r="O14" s="1"/>
      <c r="P14" s="1"/>
    </row>
    <row r="15" spans="1:17" x14ac:dyDescent="0.35">
      <c r="A15" s="42" t="s">
        <v>165</v>
      </c>
      <c r="B15" s="42" t="s">
        <v>166</v>
      </c>
      <c r="C15" s="42">
        <v>2</v>
      </c>
      <c r="D15" s="45">
        <v>2651135100</v>
      </c>
      <c r="E15" s="42">
        <v>5.93</v>
      </c>
      <c r="F15" s="42" t="s">
        <v>167</v>
      </c>
      <c r="G15" s="39">
        <v>2.3400000000000001E-2</v>
      </c>
      <c r="H15" s="42">
        <v>234.05</v>
      </c>
      <c r="I15" s="1"/>
      <c r="J15" s="1"/>
      <c r="K15" s="53"/>
      <c r="L15" s="53"/>
      <c r="M15" s="1"/>
      <c r="N15" s="1"/>
      <c r="O15" s="1"/>
      <c r="P15" s="1" t="s">
        <v>205</v>
      </c>
    </row>
    <row r="16" spans="1:17" x14ac:dyDescent="0.35">
      <c r="A16" s="42" t="s">
        <v>168</v>
      </c>
      <c r="B16" s="42" t="s">
        <v>169</v>
      </c>
      <c r="C16" s="42">
        <v>2</v>
      </c>
      <c r="D16" s="45">
        <v>2120095700</v>
      </c>
      <c r="E16" s="42">
        <v>6.22</v>
      </c>
      <c r="F16" s="42" t="s">
        <v>170</v>
      </c>
      <c r="G16" s="39">
        <v>9.3399999999999997E-2</v>
      </c>
      <c r="H16" s="42">
        <v>22.13</v>
      </c>
      <c r="I16" s="1"/>
      <c r="J16" s="1" t="s">
        <v>205</v>
      </c>
      <c r="K16" s="53"/>
      <c r="L16" s="53"/>
      <c r="M16" s="1"/>
      <c r="N16" s="1"/>
      <c r="O16" s="1"/>
      <c r="P16" s="1"/>
    </row>
    <row r="17" spans="1:16" x14ac:dyDescent="0.35">
      <c r="A17" s="42" t="s">
        <v>171</v>
      </c>
      <c r="B17" s="42" t="s">
        <v>172</v>
      </c>
      <c r="C17" s="42">
        <v>2</v>
      </c>
      <c r="D17" s="45">
        <v>2851573200</v>
      </c>
      <c r="E17" s="42">
        <v>4.13</v>
      </c>
      <c r="F17" s="42" t="s">
        <v>173</v>
      </c>
      <c r="G17" s="39">
        <v>0.09</v>
      </c>
      <c r="H17" s="42">
        <v>24.32</v>
      </c>
      <c r="I17" s="1"/>
      <c r="J17" s="1"/>
      <c r="K17" s="53"/>
      <c r="L17" s="53"/>
      <c r="M17" s="1"/>
      <c r="N17" s="1"/>
      <c r="O17" s="1"/>
      <c r="P17" s="1"/>
    </row>
    <row r="18" spans="1:16" s="61" customFormat="1" x14ac:dyDescent="0.35">
      <c r="A18" s="42" t="s">
        <v>174</v>
      </c>
      <c r="B18" s="42" t="s">
        <v>175</v>
      </c>
      <c r="C18" s="42">
        <v>2</v>
      </c>
      <c r="D18" s="45">
        <v>2049589300</v>
      </c>
      <c r="E18" s="42">
        <v>4.82</v>
      </c>
      <c r="F18" s="42" t="s">
        <v>176</v>
      </c>
      <c r="G18" s="39">
        <v>5.62E-2</v>
      </c>
      <c r="H18" s="42">
        <v>30.75</v>
      </c>
      <c r="I18" s="1"/>
      <c r="J18" s="1"/>
      <c r="K18" s="53" t="s">
        <v>205</v>
      </c>
      <c r="L18" s="53"/>
      <c r="M18" s="1"/>
      <c r="N18" s="1"/>
      <c r="O18" s="1"/>
      <c r="P18" s="1"/>
    </row>
    <row r="19" spans="1:16" x14ac:dyDescent="0.35">
      <c r="A19" s="42" t="s">
        <v>177</v>
      </c>
      <c r="B19" s="42" t="s">
        <v>178</v>
      </c>
      <c r="C19" s="42">
        <v>2</v>
      </c>
      <c r="D19" s="45">
        <v>1640195000</v>
      </c>
      <c r="E19" s="42">
        <v>29.03</v>
      </c>
      <c r="F19" s="42" t="s">
        <v>158</v>
      </c>
      <c r="G19" s="39">
        <v>0.24560000000000001</v>
      </c>
      <c r="H19" s="42">
        <v>1.1499999999999999</v>
      </c>
      <c r="I19" s="1"/>
      <c r="J19" s="1"/>
      <c r="K19" s="53" t="s">
        <v>205</v>
      </c>
      <c r="L19" s="53"/>
      <c r="M19" s="1"/>
      <c r="N19" s="1"/>
      <c r="O19" s="1"/>
      <c r="P19" s="1"/>
    </row>
    <row r="20" spans="1:16" x14ac:dyDescent="0.35">
      <c r="A20" s="42" t="s">
        <v>179</v>
      </c>
      <c r="B20" s="42" t="s">
        <v>180</v>
      </c>
      <c r="C20" s="42">
        <v>2</v>
      </c>
      <c r="D20" s="45">
        <v>7373596200</v>
      </c>
      <c r="E20" s="42">
        <v>18.22</v>
      </c>
      <c r="F20" s="42" t="s">
        <v>181</v>
      </c>
      <c r="G20" s="39">
        <v>8.0000000000000002E-3</v>
      </c>
      <c r="H20" s="42">
        <v>99.79</v>
      </c>
      <c r="I20" s="1"/>
      <c r="J20" s="1"/>
      <c r="K20" s="53"/>
      <c r="L20" s="53"/>
      <c r="M20" s="1"/>
      <c r="N20" s="1" t="s">
        <v>205</v>
      </c>
      <c r="O20" s="1"/>
      <c r="P20" s="1"/>
    </row>
    <row r="21" spans="1:16" x14ac:dyDescent="0.35">
      <c r="A21" s="42" t="s">
        <v>183</v>
      </c>
      <c r="B21" s="42" t="s">
        <v>184</v>
      </c>
      <c r="C21" s="42">
        <v>2</v>
      </c>
      <c r="D21" s="45">
        <v>14808567000</v>
      </c>
      <c r="E21" s="42">
        <v>7.39</v>
      </c>
      <c r="F21" s="42" t="s">
        <v>185</v>
      </c>
      <c r="G21" s="39">
        <v>4.6199999999999998E-2</v>
      </c>
      <c r="H21" s="42">
        <v>10.17</v>
      </c>
      <c r="I21" s="1"/>
      <c r="J21" s="1"/>
      <c r="K21" s="53"/>
      <c r="L21" s="53" t="s">
        <v>205</v>
      </c>
      <c r="M21" s="1"/>
      <c r="N21" s="1"/>
      <c r="O21" s="1"/>
      <c r="P21" s="1"/>
    </row>
    <row r="22" spans="1:16" ht="17.600000000000001" x14ac:dyDescent="0.55000000000000004">
      <c r="A22" s="43" t="s">
        <v>186</v>
      </c>
      <c r="B22" s="43" t="s">
        <v>187</v>
      </c>
      <c r="C22" s="43">
        <v>2</v>
      </c>
      <c r="D22" s="46">
        <v>25634191000</v>
      </c>
      <c r="E22" s="43">
        <v>10.02</v>
      </c>
      <c r="F22" s="43" t="s">
        <v>164</v>
      </c>
      <c r="G22" s="44">
        <v>4.3099999999999999E-2</v>
      </c>
      <c r="H22" s="43">
        <v>2.75</v>
      </c>
      <c r="I22" s="1"/>
      <c r="J22" s="1"/>
      <c r="K22" s="53"/>
      <c r="L22" s="54" t="s">
        <v>206</v>
      </c>
      <c r="M22" s="1"/>
      <c r="N22" s="1"/>
      <c r="O22" s="1"/>
      <c r="P22" s="1"/>
    </row>
    <row r="23" spans="1:16" x14ac:dyDescent="0.35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</row>
    <row r="24" spans="1:16" x14ac:dyDescent="0.35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</row>
    <row r="32" spans="1:16" ht="14.15" customHeight="1" x14ac:dyDescent="0.35"/>
    <row r="38" spans="1:10" x14ac:dyDescent="0.35">
      <c r="A38" s="33"/>
      <c r="B38" s="33"/>
      <c r="C38" s="33"/>
      <c r="D38" s="41"/>
      <c r="E38" s="33"/>
      <c r="F38" s="33"/>
      <c r="G38" s="33"/>
      <c r="H38" s="33"/>
      <c r="I38" s="33"/>
      <c r="J38" s="33"/>
    </row>
    <row r="39" spans="1:10" x14ac:dyDescent="0.35">
      <c r="A39" s="33"/>
      <c r="B39" s="33"/>
      <c r="C39" s="33"/>
      <c r="D39" s="41"/>
      <c r="E39" s="33"/>
      <c r="F39" s="33"/>
      <c r="G39" s="33"/>
      <c r="H39" s="33"/>
      <c r="I39" s="33"/>
      <c r="J39" s="33"/>
    </row>
  </sheetData>
  <mergeCells count="7">
    <mergeCell ref="J1:P1"/>
    <mergeCell ref="A6:H6"/>
    <mergeCell ref="G2:H2"/>
    <mergeCell ref="A1:H1"/>
    <mergeCell ref="G3:H3"/>
    <mergeCell ref="G4:H4"/>
    <mergeCell ref="G5:H5"/>
  </mergeCells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34459-5EB1-4A59-9793-0BC954CF31E3}">
  <dimension ref="A1:U23"/>
  <sheetViews>
    <sheetView workbookViewId="0">
      <selection activeCell="G37" sqref="G37"/>
    </sheetView>
  </sheetViews>
  <sheetFormatPr defaultRowHeight="14.15" x14ac:dyDescent="0.35"/>
  <cols>
    <col min="2" max="2" width="15.42578125" bestFit="1" customWidth="1"/>
    <col min="3" max="3" width="18.5" customWidth="1"/>
    <col min="7" max="7" width="15.7109375" bestFit="1" customWidth="1"/>
    <col min="8" max="8" width="9.5703125" customWidth="1"/>
    <col min="20" max="20" width="15.5" customWidth="1"/>
    <col min="21" max="21" width="53.140625" bestFit="1" customWidth="1"/>
  </cols>
  <sheetData>
    <row r="1" spans="1:21" x14ac:dyDescent="0.35">
      <c r="A1" s="199" t="s">
        <v>71</v>
      </c>
      <c r="B1" s="199" t="s">
        <v>3</v>
      </c>
      <c r="C1" s="199" t="s">
        <v>9</v>
      </c>
      <c r="D1" s="199" t="s">
        <v>18</v>
      </c>
      <c r="E1" s="199" t="s">
        <v>19</v>
      </c>
      <c r="F1" s="196" t="s">
        <v>16</v>
      </c>
      <c r="G1" s="197"/>
      <c r="H1" s="198"/>
      <c r="I1" s="196" t="s">
        <v>17</v>
      </c>
      <c r="J1" s="197"/>
      <c r="K1" s="198"/>
      <c r="L1" s="27"/>
      <c r="M1" s="27" t="s">
        <v>21</v>
      </c>
      <c r="N1" s="27"/>
      <c r="O1" s="196" t="s">
        <v>22</v>
      </c>
      <c r="P1" s="197"/>
      <c r="Q1" s="198"/>
      <c r="R1" s="196" t="s">
        <v>23</v>
      </c>
      <c r="S1" s="197"/>
      <c r="T1" s="198"/>
      <c r="U1" s="199" t="s">
        <v>11</v>
      </c>
    </row>
    <row r="2" spans="1:21" x14ac:dyDescent="0.35">
      <c r="A2" s="200"/>
      <c r="B2" s="200"/>
      <c r="C2" s="200"/>
      <c r="D2" s="200"/>
      <c r="E2" s="200"/>
      <c r="F2" s="9" t="s">
        <v>15</v>
      </c>
      <c r="G2" s="9" t="s">
        <v>10</v>
      </c>
      <c r="H2" s="9" t="s">
        <v>24</v>
      </c>
      <c r="I2" s="9" t="s">
        <v>15</v>
      </c>
      <c r="J2" s="9" t="s">
        <v>10</v>
      </c>
      <c r="K2" s="9" t="s">
        <v>24</v>
      </c>
      <c r="L2" s="9" t="s">
        <v>15</v>
      </c>
      <c r="M2" s="9" t="s">
        <v>10</v>
      </c>
      <c r="N2" s="9" t="s">
        <v>24</v>
      </c>
      <c r="O2" s="9" t="s">
        <v>15</v>
      </c>
      <c r="P2" s="9" t="s">
        <v>10</v>
      </c>
      <c r="Q2" s="9" t="s">
        <v>24</v>
      </c>
      <c r="R2" s="9" t="s">
        <v>15</v>
      </c>
      <c r="S2" s="9" t="s">
        <v>10</v>
      </c>
      <c r="T2" s="9" t="s">
        <v>24</v>
      </c>
      <c r="U2" s="200"/>
    </row>
    <row r="3" spans="1:21" x14ac:dyDescent="0.35">
      <c r="A3" s="201" t="s">
        <v>0</v>
      </c>
      <c r="B3" s="8" t="s">
        <v>1</v>
      </c>
      <c r="C3" s="8" t="s">
        <v>44</v>
      </c>
      <c r="D3" s="3">
        <v>3480</v>
      </c>
      <c r="E3" s="3">
        <v>3530</v>
      </c>
      <c r="F3" s="4"/>
      <c r="G3" s="4"/>
      <c r="H3" s="4"/>
      <c r="I3" s="6">
        <v>3488</v>
      </c>
      <c r="J3" s="6">
        <v>9691</v>
      </c>
      <c r="K3" s="6"/>
      <c r="L3" s="4"/>
      <c r="M3" s="4"/>
      <c r="N3" s="4"/>
      <c r="O3" s="6"/>
      <c r="P3" s="6"/>
      <c r="Q3" s="6"/>
      <c r="R3" s="4"/>
      <c r="S3" s="4"/>
      <c r="T3" s="4"/>
      <c r="U3" s="2"/>
    </row>
    <row r="4" spans="1:21" x14ac:dyDescent="0.35">
      <c r="A4" s="202"/>
      <c r="B4" s="8" t="s">
        <v>2</v>
      </c>
      <c r="C4" s="8" t="s">
        <v>45</v>
      </c>
      <c r="D4" s="3">
        <v>2700</v>
      </c>
      <c r="E4" s="3">
        <v>2900</v>
      </c>
      <c r="F4" s="4"/>
      <c r="G4" s="4"/>
      <c r="H4" s="4"/>
      <c r="I4" s="6">
        <v>2885</v>
      </c>
      <c r="J4" s="6">
        <v>2176</v>
      </c>
      <c r="K4" s="6"/>
      <c r="L4" s="4"/>
      <c r="M4" s="4"/>
      <c r="N4" s="4"/>
      <c r="O4" s="6"/>
      <c r="P4" s="6"/>
      <c r="Q4" s="6"/>
      <c r="R4" s="4"/>
      <c r="S4" s="4"/>
      <c r="T4" s="4"/>
      <c r="U4" s="2"/>
    </row>
    <row r="5" spans="1:21" x14ac:dyDescent="0.35">
      <c r="A5" s="203" t="s">
        <v>4</v>
      </c>
      <c r="B5" s="24" t="s">
        <v>47</v>
      </c>
      <c r="C5" s="24" t="s">
        <v>48</v>
      </c>
      <c r="D5" s="3">
        <v>1318</v>
      </c>
      <c r="E5" s="3"/>
      <c r="F5" s="4"/>
      <c r="G5" s="4"/>
      <c r="H5" s="4"/>
      <c r="I5" s="6"/>
      <c r="J5" s="6"/>
      <c r="K5" s="6"/>
      <c r="L5" s="4"/>
      <c r="M5" s="4"/>
      <c r="N5" s="4"/>
      <c r="O5" s="6"/>
      <c r="P5" s="6"/>
      <c r="Q5" s="6"/>
      <c r="R5" s="4"/>
      <c r="S5" s="4"/>
      <c r="T5" s="4"/>
      <c r="U5" s="2"/>
    </row>
    <row r="6" spans="1:21" x14ac:dyDescent="0.35">
      <c r="A6" s="204"/>
      <c r="B6" s="24" t="s">
        <v>51</v>
      </c>
      <c r="C6" s="24" t="s">
        <v>52</v>
      </c>
      <c r="D6" s="12" t="s">
        <v>26</v>
      </c>
      <c r="E6" s="15">
        <v>1440</v>
      </c>
      <c r="F6" s="10"/>
      <c r="G6" s="10"/>
      <c r="H6" s="10"/>
      <c r="I6" s="14"/>
      <c r="J6" s="14"/>
      <c r="K6" s="14"/>
      <c r="L6" s="10"/>
      <c r="M6" s="10"/>
      <c r="N6" s="10"/>
      <c r="O6" s="14"/>
      <c r="P6" s="14"/>
      <c r="Q6" s="14"/>
      <c r="R6" s="10"/>
      <c r="S6" s="10"/>
      <c r="T6" s="10"/>
      <c r="U6" s="16"/>
    </row>
    <row r="7" spans="1:21" x14ac:dyDescent="0.35">
      <c r="A7" s="204"/>
      <c r="B7" s="24" t="s">
        <v>49</v>
      </c>
      <c r="C7" s="24" t="s">
        <v>50</v>
      </c>
      <c r="D7" s="12">
        <v>1890</v>
      </c>
      <c r="E7" s="15">
        <v>1970</v>
      </c>
      <c r="F7" s="10"/>
      <c r="G7" s="10"/>
      <c r="H7" s="10"/>
      <c r="I7" s="14"/>
      <c r="J7" s="14"/>
      <c r="K7" s="14"/>
      <c r="L7" s="10"/>
      <c r="M7" s="10"/>
      <c r="N7" s="10"/>
      <c r="O7" s="14"/>
      <c r="P7" s="14"/>
      <c r="Q7" s="14"/>
      <c r="R7" s="10"/>
      <c r="S7" s="10"/>
      <c r="T7" s="10"/>
      <c r="U7" s="16"/>
    </row>
    <row r="8" spans="1:21" x14ac:dyDescent="0.35">
      <c r="A8" s="205"/>
      <c r="B8" s="25" t="s">
        <v>46</v>
      </c>
      <c r="C8" s="24" t="s">
        <v>52</v>
      </c>
      <c r="D8" s="12"/>
      <c r="E8" s="3"/>
      <c r="F8" s="5"/>
      <c r="G8" s="5"/>
      <c r="H8" s="5"/>
      <c r="I8" s="7"/>
      <c r="J8" s="7"/>
      <c r="K8" s="7"/>
      <c r="L8" s="10"/>
      <c r="M8" s="11"/>
      <c r="N8" s="10"/>
      <c r="O8" s="7"/>
      <c r="P8" s="7"/>
      <c r="Q8" s="7"/>
      <c r="R8" s="5"/>
      <c r="S8" s="5"/>
      <c r="T8" s="5"/>
      <c r="U8" s="2"/>
    </row>
    <row r="9" spans="1:21" hidden="1" x14ac:dyDescent="0.35">
      <c r="A9" s="195" t="s">
        <v>20</v>
      </c>
      <c r="B9" s="8" t="s">
        <v>5</v>
      </c>
      <c r="C9" s="8" t="s">
        <v>30</v>
      </c>
      <c r="D9" s="3"/>
      <c r="E9" s="3">
        <v>16.8</v>
      </c>
      <c r="F9" s="4"/>
      <c r="G9" s="21"/>
      <c r="H9" s="4"/>
      <c r="I9" s="6"/>
      <c r="J9" s="23"/>
      <c r="K9" s="6"/>
      <c r="L9" s="4"/>
      <c r="M9" s="19"/>
      <c r="N9" s="4"/>
      <c r="O9" s="6"/>
      <c r="P9" s="6"/>
      <c r="Q9" s="6"/>
      <c r="R9" s="4"/>
      <c r="S9" s="4"/>
      <c r="T9" s="4"/>
      <c r="U9" s="2"/>
    </row>
    <row r="10" spans="1:21" hidden="1" x14ac:dyDescent="0.35">
      <c r="A10" s="195"/>
      <c r="B10" s="8" t="s">
        <v>6</v>
      </c>
      <c r="C10" s="8" t="s">
        <v>13</v>
      </c>
      <c r="D10" s="3">
        <v>29</v>
      </c>
      <c r="E10" s="3">
        <v>38</v>
      </c>
      <c r="F10" s="4"/>
      <c r="G10" s="21"/>
      <c r="H10" s="4"/>
      <c r="I10" s="6"/>
      <c r="J10" s="23"/>
      <c r="K10" s="6"/>
      <c r="L10" s="4"/>
      <c r="M10" s="21"/>
      <c r="N10" s="4"/>
      <c r="O10" s="6"/>
      <c r="P10" s="23"/>
      <c r="Q10" s="6"/>
      <c r="R10" s="4"/>
      <c r="S10" s="4"/>
      <c r="T10" s="4"/>
      <c r="U10" s="2"/>
    </row>
    <row r="11" spans="1:21" hidden="1" x14ac:dyDescent="0.35">
      <c r="A11" s="195"/>
      <c r="B11" s="8" t="s">
        <v>8</v>
      </c>
      <c r="C11" s="8" t="s">
        <v>14</v>
      </c>
      <c r="D11" s="3">
        <v>36</v>
      </c>
      <c r="E11" s="3">
        <v>41</v>
      </c>
      <c r="F11" s="4"/>
      <c r="G11" s="21"/>
      <c r="H11" s="4"/>
      <c r="I11" s="6"/>
      <c r="J11" s="23"/>
      <c r="K11" s="6"/>
      <c r="L11" s="4"/>
      <c r="M11" s="21"/>
      <c r="N11" s="4"/>
      <c r="O11" s="6"/>
      <c r="P11" s="23"/>
      <c r="Q11" s="6"/>
      <c r="R11" s="4"/>
      <c r="S11" s="21"/>
      <c r="T11" s="4"/>
      <c r="U11" s="2"/>
    </row>
    <row r="12" spans="1:21" hidden="1" x14ac:dyDescent="0.35">
      <c r="A12" s="195"/>
      <c r="B12" s="8" t="s">
        <v>7</v>
      </c>
      <c r="C12" s="8" t="s">
        <v>12</v>
      </c>
      <c r="D12" s="3">
        <v>10</v>
      </c>
      <c r="E12" s="3">
        <v>12.5</v>
      </c>
      <c r="F12" s="4"/>
      <c r="G12" s="10"/>
      <c r="H12" s="4"/>
      <c r="I12" s="6"/>
      <c r="J12" s="18"/>
      <c r="K12" s="6"/>
      <c r="L12" s="4"/>
      <c r="M12" s="21"/>
      <c r="N12" s="4"/>
      <c r="O12" s="6"/>
      <c r="P12" s="23"/>
      <c r="Q12" s="6"/>
      <c r="R12" s="4"/>
      <c r="S12" s="21"/>
      <c r="T12" s="4"/>
      <c r="U12" s="2"/>
    </row>
    <row r="13" spans="1:21" hidden="1" x14ac:dyDescent="0.35">
      <c r="A13" s="195"/>
      <c r="B13" s="8" t="s">
        <v>32</v>
      </c>
      <c r="C13" s="8"/>
      <c r="D13" s="3"/>
      <c r="E13" s="3"/>
      <c r="F13" s="4"/>
      <c r="G13" s="21"/>
      <c r="H13" s="4"/>
      <c r="I13" s="6"/>
      <c r="J13" s="18"/>
      <c r="K13" s="6"/>
      <c r="L13" s="4"/>
      <c r="M13" s="21"/>
      <c r="N13" s="4"/>
      <c r="O13" s="6"/>
      <c r="P13" s="6"/>
      <c r="Q13" s="6"/>
      <c r="R13" s="4"/>
      <c r="S13" s="4"/>
      <c r="T13" s="4"/>
      <c r="U13" s="2"/>
    </row>
    <row r="14" spans="1:21" hidden="1" x14ac:dyDescent="0.35">
      <c r="A14" s="195"/>
      <c r="B14" s="8" t="s">
        <v>33</v>
      </c>
      <c r="C14" s="8" t="s">
        <v>53</v>
      </c>
      <c r="D14" s="3">
        <v>28</v>
      </c>
      <c r="E14" s="3">
        <v>30.1</v>
      </c>
      <c r="F14" s="4"/>
      <c r="G14" s="21"/>
      <c r="H14" s="4"/>
      <c r="I14" s="6"/>
      <c r="J14" s="23"/>
      <c r="K14" s="6"/>
      <c r="L14" s="4"/>
      <c r="M14" s="19"/>
      <c r="N14" s="4"/>
      <c r="O14" s="6"/>
      <c r="P14" s="18"/>
      <c r="Q14" s="6"/>
      <c r="R14" s="4"/>
      <c r="S14" s="19"/>
      <c r="T14" s="4"/>
      <c r="U14" s="2"/>
    </row>
    <row r="15" spans="1:21" x14ac:dyDescent="0.35">
      <c r="A15" s="195"/>
      <c r="B15" s="8" t="s">
        <v>41</v>
      </c>
      <c r="C15" s="8" t="s">
        <v>54</v>
      </c>
      <c r="D15" s="3">
        <v>5.0599999999999996</v>
      </c>
      <c r="E15" s="3">
        <v>5.45</v>
      </c>
      <c r="F15" s="4"/>
      <c r="G15" s="21"/>
      <c r="H15" s="4"/>
      <c r="I15" s="6">
        <v>5.39</v>
      </c>
      <c r="J15" s="23">
        <v>8.4400000000000003E-2</v>
      </c>
      <c r="K15" s="6" t="s">
        <v>70</v>
      </c>
      <c r="L15" s="4"/>
      <c r="M15" s="19"/>
      <c r="N15" s="4"/>
      <c r="O15" s="6"/>
      <c r="P15" s="18"/>
      <c r="Q15" s="6"/>
      <c r="R15" s="4"/>
      <c r="S15" s="19"/>
      <c r="T15" s="4"/>
      <c r="U15" s="2"/>
    </row>
    <row r="16" spans="1:21" x14ac:dyDescent="0.35">
      <c r="A16" s="195"/>
      <c r="B16" s="8" t="s">
        <v>56</v>
      </c>
      <c r="C16" s="8" t="s">
        <v>52</v>
      </c>
      <c r="D16" s="3"/>
      <c r="E16" s="3"/>
      <c r="F16" s="4"/>
      <c r="G16" s="21"/>
      <c r="H16" s="4"/>
      <c r="I16" s="6"/>
      <c r="J16" s="23"/>
      <c r="K16" s="6"/>
      <c r="L16" s="4"/>
      <c r="M16" s="19"/>
      <c r="N16" s="4"/>
      <c r="O16" s="6"/>
      <c r="P16" s="18"/>
      <c r="Q16" s="6"/>
      <c r="R16" s="4"/>
      <c r="S16" s="19"/>
      <c r="T16" s="4"/>
      <c r="U16" s="2"/>
    </row>
    <row r="17" spans="1:21" x14ac:dyDescent="0.35">
      <c r="A17" s="195"/>
      <c r="B17" s="8" t="s">
        <v>63</v>
      </c>
      <c r="C17" s="8"/>
      <c r="D17" s="3"/>
      <c r="E17" s="3"/>
      <c r="F17" s="4"/>
      <c r="G17" s="21"/>
      <c r="H17" s="4"/>
      <c r="I17" s="6"/>
      <c r="J17" s="23"/>
      <c r="K17" s="6"/>
      <c r="L17" s="4"/>
      <c r="M17" s="19"/>
      <c r="N17" s="4"/>
      <c r="O17" s="6"/>
      <c r="P17" s="18"/>
      <c r="Q17" s="6"/>
      <c r="R17" s="4"/>
      <c r="S17" s="19"/>
      <c r="T17" s="4"/>
      <c r="U17" s="2"/>
    </row>
    <row r="18" spans="1:21" x14ac:dyDescent="0.35">
      <c r="A18" s="195"/>
      <c r="B18" s="8" t="s">
        <v>68</v>
      </c>
      <c r="C18" s="8"/>
      <c r="D18" s="3"/>
      <c r="E18" s="3"/>
      <c r="F18" s="4"/>
      <c r="G18" s="21"/>
      <c r="H18" s="4"/>
      <c r="I18" s="6"/>
      <c r="J18" s="23"/>
      <c r="K18" s="6"/>
      <c r="L18" s="4"/>
      <c r="M18" s="19"/>
      <c r="N18" s="4"/>
      <c r="O18" s="6"/>
      <c r="P18" s="18"/>
      <c r="Q18" s="6"/>
      <c r="R18" s="4"/>
      <c r="S18" s="19"/>
      <c r="T18" s="4"/>
      <c r="U18" s="2"/>
    </row>
    <row r="23" spans="1:21" x14ac:dyDescent="0.35">
      <c r="E23" s="26"/>
    </row>
  </sheetData>
  <mergeCells count="13">
    <mergeCell ref="A9:A18"/>
    <mergeCell ref="I1:K1"/>
    <mergeCell ref="O1:Q1"/>
    <mergeCell ref="R1:T1"/>
    <mergeCell ref="U1:U2"/>
    <mergeCell ref="A3:A4"/>
    <mergeCell ref="A5:A8"/>
    <mergeCell ref="A1:A2"/>
    <mergeCell ref="B1:B2"/>
    <mergeCell ref="C1:C2"/>
    <mergeCell ref="D1:D2"/>
    <mergeCell ref="E1:E2"/>
    <mergeCell ref="F1:H1"/>
  </mergeCells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2E07-CC22-4B39-B3C1-6597436BE9C8}">
  <dimension ref="A1:U23"/>
  <sheetViews>
    <sheetView workbookViewId="0">
      <pane xSplit="7" ySplit="20" topLeftCell="M21" activePane="bottomRight" state="frozen"/>
      <selection activeCell="G37" sqref="G37"/>
      <selection pane="topRight" activeCell="G37" sqref="G37"/>
      <selection pane="bottomLeft" activeCell="G37" sqref="G37"/>
      <selection pane="bottomRight" activeCell="G37" sqref="G37"/>
    </sheetView>
  </sheetViews>
  <sheetFormatPr defaultRowHeight="14.15" x14ac:dyDescent="0.35"/>
  <cols>
    <col min="2" max="2" width="15.42578125" bestFit="1" customWidth="1"/>
    <col min="3" max="3" width="18.5" customWidth="1"/>
    <col min="7" max="7" width="15.7109375" bestFit="1" customWidth="1"/>
    <col min="8" max="8" width="9.5703125" customWidth="1"/>
    <col min="20" max="20" width="15.5" customWidth="1"/>
    <col min="21" max="21" width="53.140625" bestFit="1" customWidth="1"/>
  </cols>
  <sheetData>
    <row r="1" spans="1:21" x14ac:dyDescent="0.35">
      <c r="A1" s="199"/>
      <c r="B1" s="199" t="s">
        <v>3</v>
      </c>
      <c r="C1" s="199" t="s">
        <v>9</v>
      </c>
      <c r="D1" s="199" t="s">
        <v>18</v>
      </c>
      <c r="E1" s="199" t="s">
        <v>19</v>
      </c>
      <c r="F1" s="196" t="s">
        <v>16</v>
      </c>
      <c r="G1" s="197"/>
      <c r="H1" s="198"/>
      <c r="I1" s="196" t="s">
        <v>17</v>
      </c>
      <c r="J1" s="197"/>
      <c r="K1" s="198"/>
      <c r="L1" s="22"/>
      <c r="M1" s="22" t="s">
        <v>21</v>
      </c>
      <c r="N1" s="22"/>
      <c r="O1" s="196" t="s">
        <v>22</v>
      </c>
      <c r="P1" s="197"/>
      <c r="Q1" s="198"/>
      <c r="R1" s="196" t="s">
        <v>23</v>
      </c>
      <c r="S1" s="197"/>
      <c r="T1" s="198"/>
      <c r="U1" s="199" t="s">
        <v>11</v>
      </c>
    </row>
    <row r="2" spans="1:21" x14ac:dyDescent="0.35">
      <c r="A2" s="200"/>
      <c r="B2" s="200"/>
      <c r="C2" s="200"/>
      <c r="D2" s="200"/>
      <c r="E2" s="200"/>
      <c r="F2" s="9" t="s">
        <v>15</v>
      </c>
      <c r="G2" s="9" t="s">
        <v>10</v>
      </c>
      <c r="H2" s="9" t="s">
        <v>24</v>
      </c>
      <c r="I2" s="9" t="s">
        <v>15</v>
      </c>
      <c r="J2" s="9" t="s">
        <v>10</v>
      </c>
      <c r="K2" s="9" t="s">
        <v>24</v>
      </c>
      <c r="L2" s="9" t="s">
        <v>15</v>
      </c>
      <c r="M2" s="9" t="s">
        <v>10</v>
      </c>
      <c r="N2" s="9" t="s">
        <v>24</v>
      </c>
      <c r="O2" s="9" t="s">
        <v>15</v>
      </c>
      <c r="P2" s="9" t="s">
        <v>10</v>
      </c>
      <c r="Q2" s="9" t="s">
        <v>24</v>
      </c>
      <c r="R2" s="9" t="s">
        <v>15</v>
      </c>
      <c r="S2" s="9" t="s">
        <v>10</v>
      </c>
      <c r="T2" s="9" t="s">
        <v>24</v>
      </c>
      <c r="U2" s="200"/>
    </row>
    <row r="3" spans="1:21" x14ac:dyDescent="0.35">
      <c r="A3" s="201" t="s">
        <v>0</v>
      </c>
      <c r="B3" s="8" t="s">
        <v>1</v>
      </c>
      <c r="C3" s="8" t="s">
        <v>44</v>
      </c>
      <c r="D3" s="3">
        <v>3480</v>
      </c>
      <c r="E3" s="3">
        <v>3530</v>
      </c>
      <c r="F3" s="4">
        <v>3490</v>
      </c>
      <c r="G3" s="4">
        <v>9000</v>
      </c>
      <c r="H3" s="4" t="s">
        <v>57</v>
      </c>
      <c r="I3" s="6">
        <v>3423</v>
      </c>
      <c r="J3" s="6">
        <v>9700</v>
      </c>
      <c r="K3" s="6" t="s">
        <v>62</v>
      </c>
      <c r="L3" s="4">
        <v>3457</v>
      </c>
      <c r="M3" s="4">
        <v>10490</v>
      </c>
      <c r="N3" s="4"/>
      <c r="O3" s="6">
        <v>3429</v>
      </c>
      <c r="P3" s="6">
        <v>13000</v>
      </c>
      <c r="Q3" s="6"/>
      <c r="R3" s="4"/>
      <c r="S3" s="4"/>
      <c r="T3" s="4"/>
      <c r="U3" s="2"/>
    </row>
    <row r="4" spans="1:21" x14ac:dyDescent="0.35">
      <c r="A4" s="202"/>
      <c r="B4" s="8" t="s">
        <v>2</v>
      </c>
      <c r="C4" s="8" t="s">
        <v>45</v>
      </c>
      <c r="D4" s="3">
        <v>2700</v>
      </c>
      <c r="E4" s="3">
        <v>2900</v>
      </c>
      <c r="F4" s="4">
        <v>2804</v>
      </c>
      <c r="G4" s="4">
        <v>2275</v>
      </c>
      <c r="H4" s="4"/>
      <c r="I4" s="6">
        <v>2765</v>
      </c>
      <c r="J4" s="6">
        <v>2350</v>
      </c>
      <c r="K4" s="6"/>
      <c r="L4" s="4">
        <v>2843</v>
      </c>
      <c r="M4" s="4">
        <v>2550</v>
      </c>
      <c r="N4" s="4"/>
      <c r="O4" s="6">
        <v>2783</v>
      </c>
      <c r="P4" s="6">
        <v>3174</v>
      </c>
      <c r="Q4" s="6"/>
      <c r="R4" s="4"/>
      <c r="S4" s="4"/>
      <c r="T4" s="4"/>
      <c r="U4" s="2"/>
    </row>
    <row r="5" spans="1:21" x14ac:dyDescent="0.35">
      <c r="A5" s="203" t="s">
        <v>4</v>
      </c>
      <c r="B5" s="24" t="s">
        <v>47</v>
      </c>
      <c r="C5" s="24" t="s">
        <v>48</v>
      </c>
      <c r="D5" s="3">
        <v>1318</v>
      </c>
      <c r="E5" s="3"/>
      <c r="F5" s="4">
        <v>1319</v>
      </c>
      <c r="G5" s="4"/>
      <c r="H5" s="4" t="s">
        <v>58</v>
      </c>
      <c r="I5" s="6"/>
      <c r="J5" s="6"/>
      <c r="K5" s="6"/>
      <c r="L5" s="4"/>
      <c r="M5" s="4"/>
      <c r="N5" s="4"/>
      <c r="O5" s="6"/>
      <c r="P5" s="6"/>
      <c r="Q5" s="6"/>
      <c r="R5" s="4">
        <v>1335</v>
      </c>
      <c r="S5" s="4">
        <v>1218</v>
      </c>
      <c r="T5" s="4"/>
      <c r="U5" s="2"/>
    </row>
    <row r="6" spans="1:21" x14ac:dyDescent="0.35">
      <c r="A6" s="204"/>
      <c r="B6" s="24" t="s">
        <v>51</v>
      </c>
      <c r="C6" s="24" t="s">
        <v>52</v>
      </c>
      <c r="D6" s="12" t="s">
        <v>26</v>
      </c>
      <c r="E6" s="15">
        <v>1440</v>
      </c>
      <c r="F6" s="10"/>
      <c r="G6" s="10"/>
      <c r="H6" s="10"/>
      <c r="I6" s="14"/>
      <c r="J6" s="14"/>
      <c r="K6" s="14"/>
      <c r="L6" s="10"/>
      <c r="M6" s="10"/>
      <c r="N6" s="10"/>
      <c r="O6" s="14"/>
      <c r="P6" s="14"/>
      <c r="Q6" s="14"/>
      <c r="R6" s="10"/>
      <c r="S6" s="10"/>
      <c r="T6" s="10"/>
      <c r="U6" s="16"/>
    </row>
    <row r="7" spans="1:21" x14ac:dyDescent="0.35">
      <c r="A7" s="204"/>
      <c r="B7" s="24" t="s">
        <v>49</v>
      </c>
      <c r="C7" s="24" t="s">
        <v>50</v>
      </c>
      <c r="D7" s="12">
        <v>1890</v>
      </c>
      <c r="E7" s="15">
        <v>1970</v>
      </c>
      <c r="F7" s="10">
        <v>1966</v>
      </c>
      <c r="G7" s="10">
        <v>345</v>
      </c>
      <c r="H7" s="10"/>
      <c r="I7" s="14"/>
      <c r="J7" s="14"/>
      <c r="K7" s="14"/>
      <c r="L7" s="10"/>
      <c r="M7" s="10"/>
      <c r="N7" s="10"/>
      <c r="O7" s="14"/>
      <c r="P7" s="14"/>
      <c r="Q7" s="14"/>
      <c r="R7" s="10"/>
      <c r="S7" s="10"/>
      <c r="T7" s="10"/>
      <c r="U7" s="16"/>
    </row>
    <row r="8" spans="1:21" x14ac:dyDescent="0.35">
      <c r="A8" s="205"/>
      <c r="B8" s="25" t="s">
        <v>46</v>
      </c>
      <c r="C8" s="24" t="s">
        <v>52</v>
      </c>
      <c r="D8" s="12"/>
      <c r="E8" s="3"/>
      <c r="F8" s="5"/>
      <c r="G8" s="5"/>
      <c r="H8" s="5"/>
      <c r="I8" s="7"/>
      <c r="J8" s="7"/>
      <c r="K8" s="7"/>
      <c r="L8" s="10"/>
      <c r="M8" s="11"/>
      <c r="N8" s="10"/>
      <c r="O8" s="7"/>
      <c r="P8" s="7"/>
      <c r="Q8" s="7"/>
      <c r="R8" s="5"/>
      <c r="S8" s="5"/>
      <c r="T8" s="5"/>
      <c r="U8" s="2"/>
    </row>
    <row r="9" spans="1:21" hidden="1" x14ac:dyDescent="0.35">
      <c r="A9" s="195" t="s">
        <v>20</v>
      </c>
      <c r="B9" s="8" t="s">
        <v>5</v>
      </c>
      <c r="C9" s="8" t="s">
        <v>30</v>
      </c>
      <c r="D9" s="3"/>
      <c r="E9" s="3">
        <v>16.8</v>
      </c>
      <c r="F9" s="4"/>
      <c r="G9" s="21"/>
      <c r="H9" s="4"/>
      <c r="I9" s="6"/>
      <c r="J9" s="23"/>
      <c r="K9" s="6"/>
      <c r="L9" s="4"/>
      <c r="M9" s="19"/>
      <c r="N9" s="4"/>
      <c r="O9" s="6"/>
      <c r="P9" s="6"/>
      <c r="Q9" s="6"/>
      <c r="R9" s="4"/>
      <c r="S9" s="4"/>
      <c r="T9" s="4"/>
      <c r="U9" s="2"/>
    </row>
    <row r="10" spans="1:21" hidden="1" x14ac:dyDescent="0.35">
      <c r="A10" s="195"/>
      <c r="B10" s="8" t="s">
        <v>6</v>
      </c>
      <c r="C10" s="8" t="s">
        <v>13</v>
      </c>
      <c r="D10" s="3">
        <v>29</v>
      </c>
      <c r="E10" s="3">
        <v>38</v>
      </c>
      <c r="F10" s="4"/>
      <c r="G10" s="21"/>
      <c r="H10" s="4"/>
      <c r="I10" s="6"/>
      <c r="J10" s="23"/>
      <c r="K10" s="6"/>
      <c r="L10" s="4"/>
      <c r="M10" s="21"/>
      <c r="N10" s="4"/>
      <c r="O10" s="6"/>
      <c r="P10" s="23"/>
      <c r="Q10" s="6"/>
      <c r="R10" s="4"/>
      <c r="S10" s="4"/>
      <c r="T10" s="4"/>
      <c r="U10" s="2"/>
    </row>
    <row r="11" spans="1:21" hidden="1" x14ac:dyDescent="0.35">
      <c r="A11" s="195"/>
      <c r="B11" s="8" t="s">
        <v>8</v>
      </c>
      <c r="C11" s="8" t="s">
        <v>14</v>
      </c>
      <c r="D11" s="3">
        <v>36</v>
      </c>
      <c r="E11" s="3">
        <v>41</v>
      </c>
      <c r="F11" s="4">
        <v>37.369999999999997</v>
      </c>
      <c r="G11" s="21"/>
      <c r="H11" s="4" t="s">
        <v>59</v>
      </c>
      <c r="I11" s="6">
        <v>37.24</v>
      </c>
      <c r="J11" s="23"/>
      <c r="K11" s="6" t="s">
        <v>65</v>
      </c>
      <c r="L11" s="4"/>
      <c r="M11" s="21"/>
      <c r="N11" s="4"/>
      <c r="O11" s="6"/>
      <c r="P11" s="23"/>
      <c r="Q11" s="6"/>
      <c r="R11" s="4"/>
      <c r="S11" s="21"/>
      <c r="T11" s="4"/>
      <c r="U11" s="2"/>
    </row>
    <row r="12" spans="1:21" hidden="1" x14ac:dyDescent="0.35">
      <c r="A12" s="195"/>
      <c r="B12" s="8" t="s">
        <v>7</v>
      </c>
      <c r="C12" s="8" t="s">
        <v>12</v>
      </c>
      <c r="D12" s="3">
        <v>10</v>
      </c>
      <c r="E12" s="3">
        <v>12.5</v>
      </c>
      <c r="F12" s="4">
        <v>11.67</v>
      </c>
      <c r="G12" s="10">
        <v>3.75</v>
      </c>
      <c r="H12" s="4"/>
      <c r="I12" s="6"/>
      <c r="J12" s="18"/>
      <c r="K12" s="6"/>
      <c r="L12" s="4"/>
      <c r="M12" s="21"/>
      <c r="N12" s="4"/>
      <c r="O12" s="6"/>
      <c r="P12" s="23"/>
      <c r="Q12" s="6"/>
      <c r="R12" s="4"/>
      <c r="S12" s="21"/>
      <c r="T12" s="4"/>
      <c r="U12" s="2"/>
    </row>
    <row r="13" spans="1:21" hidden="1" x14ac:dyDescent="0.35">
      <c r="A13" s="195"/>
      <c r="B13" s="8" t="s">
        <v>32</v>
      </c>
      <c r="C13" s="8"/>
      <c r="D13" s="3"/>
      <c r="E13" s="3"/>
      <c r="F13" s="4"/>
      <c r="G13" s="21"/>
      <c r="H13" s="4"/>
      <c r="I13" s="6"/>
      <c r="J13" s="18"/>
      <c r="K13" s="6"/>
      <c r="L13" s="4"/>
      <c r="M13" s="21"/>
      <c r="N13" s="4"/>
      <c r="O13" s="6"/>
      <c r="P13" s="6"/>
      <c r="Q13" s="6"/>
      <c r="R13" s="4"/>
      <c r="S13" s="4"/>
      <c r="T13" s="4"/>
      <c r="U13" s="2"/>
    </row>
    <row r="14" spans="1:21" hidden="1" x14ac:dyDescent="0.35">
      <c r="A14" s="195"/>
      <c r="B14" s="8" t="s">
        <v>33</v>
      </c>
      <c r="C14" s="8" t="s">
        <v>53</v>
      </c>
      <c r="D14" s="3">
        <v>28</v>
      </c>
      <c r="E14" s="3">
        <v>30.1</v>
      </c>
      <c r="F14" s="4">
        <v>28.16</v>
      </c>
      <c r="G14" s="21">
        <v>2.23E-2</v>
      </c>
      <c r="H14" s="4" t="s">
        <v>55</v>
      </c>
      <c r="I14" s="6"/>
      <c r="J14" s="23"/>
      <c r="K14" s="6" t="s">
        <v>66</v>
      </c>
      <c r="L14" s="4"/>
      <c r="M14" s="19"/>
      <c r="N14" s="4"/>
      <c r="O14" s="6"/>
      <c r="P14" s="18"/>
      <c r="Q14" s="6"/>
      <c r="R14" s="4"/>
      <c r="S14" s="19"/>
      <c r="T14" s="4"/>
      <c r="U14" s="2"/>
    </row>
    <row r="15" spans="1:21" x14ac:dyDescent="0.35">
      <c r="A15" s="195"/>
      <c r="B15" s="8" t="s">
        <v>41</v>
      </c>
      <c r="C15" s="8" t="s">
        <v>54</v>
      </c>
      <c r="D15" s="3">
        <v>5.6</v>
      </c>
      <c r="E15" s="3">
        <v>6</v>
      </c>
      <c r="F15" s="4">
        <v>5.76</v>
      </c>
      <c r="G15" s="21">
        <v>0.15</v>
      </c>
      <c r="H15" s="4" t="s">
        <v>60</v>
      </c>
      <c r="I15" s="6">
        <v>5.63</v>
      </c>
      <c r="J15" s="23"/>
      <c r="K15" s="6" t="s">
        <v>67</v>
      </c>
      <c r="L15" s="4">
        <v>5.63</v>
      </c>
      <c r="M15" s="19">
        <v>9.5799999999999996E-2</v>
      </c>
      <c r="N15" s="4"/>
      <c r="O15" s="6">
        <v>5.16</v>
      </c>
      <c r="P15" s="18">
        <v>0.12</v>
      </c>
      <c r="Q15" s="6" t="s">
        <v>35</v>
      </c>
      <c r="R15" s="4">
        <v>5.18</v>
      </c>
      <c r="S15" s="19"/>
      <c r="T15" s="4" t="s">
        <v>69</v>
      </c>
      <c r="U15" s="2"/>
    </row>
    <row r="16" spans="1:21" x14ac:dyDescent="0.35">
      <c r="A16" s="195"/>
      <c r="B16" s="8" t="s">
        <v>56</v>
      </c>
      <c r="C16" s="8" t="s">
        <v>52</v>
      </c>
      <c r="D16" s="3"/>
      <c r="E16" s="3"/>
      <c r="F16" s="4"/>
      <c r="G16" s="21"/>
      <c r="H16" s="4" t="s">
        <v>61</v>
      </c>
      <c r="I16" s="6"/>
      <c r="J16" s="23"/>
      <c r="K16" s="6" t="s">
        <v>61</v>
      </c>
      <c r="L16" s="4"/>
      <c r="M16" s="19"/>
      <c r="N16" s="4"/>
      <c r="O16" s="6"/>
      <c r="P16" s="18"/>
      <c r="Q16" s="6"/>
      <c r="R16" s="4"/>
      <c r="S16" s="19"/>
      <c r="T16" s="4"/>
      <c r="U16" s="2"/>
    </row>
    <row r="17" spans="1:21" x14ac:dyDescent="0.35">
      <c r="A17" s="195"/>
      <c r="B17" s="8" t="s">
        <v>63</v>
      </c>
      <c r="C17" s="8"/>
      <c r="D17" s="3"/>
      <c r="E17" s="3"/>
      <c r="F17" s="4"/>
      <c r="G17" s="21"/>
      <c r="H17" s="4"/>
      <c r="I17" s="6"/>
      <c r="J17" s="23"/>
      <c r="K17" s="6" t="s">
        <v>64</v>
      </c>
      <c r="L17" s="4">
        <v>18.760000000000002</v>
      </c>
      <c r="M17" s="19"/>
      <c r="N17" s="4"/>
      <c r="O17" s="6"/>
      <c r="P17" s="18"/>
      <c r="Q17" s="6"/>
      <c r="R17" s="4"/>
      <c r="S17" s="19"/>
      <c r="T17" s="4"/>
      <c r="U17" s="2"/>
    </row>
    <row r="18" spans="1:21" x14ac:dyDescent="0.35">
      <c r="A18" s="195"/>
      <c r="B18" s="8" t="s">
        <v>68</v>
      </c>
      <c r="C18" s="8"/>
      <c r="D18" s="3"/>
      <c r="E18" s="3"/>
      <c r="F18" s="4"/>
      <c r="G18" s="21"/>
      <c r="H18" s="4"/>
      <c r="I18" s="6"/>
      <c r="J18" s="23"/>
      <c r="K18" s="6" t="s">
        <v>64</v>
      </c>
      <c r="L18" s="4"/>
      <c r="M18" s="19"/>
      <c r="N18" s="4"/>
      <c r="O18" s="6"/>
      <c r="P18" s="18"/>
      <c r="Q18" s="6"/>
      <c r="R18" s="4"/>
      <c r="S18" s="19"/>
      <c r="T18" s="4"/>
      <c r="U18" s="2"/>
    </row>
    <row r="23" spans="1:21" x14ac:dyDescent="0.35">
      <c r="E23" s="26"/>
    </row>
  </sheetData>
  <mergeCells count="13">
    <mergeCell ref="A9:A18"/>
    <mergeCell ref="I1:K1"/>
    <mergeCell ref="O1:Q1"/>
    <mergeCell ref="R1:T1"/>
    <mergeCell ref="U1:U2"/>
    <mergeCell ref="A3:A4"/>
    <mergeCell ref="A5:A8"/>
    <mergeCell ref="A1:A2"/>
    <mergeCell ref="B1:B2"/>
    <mergeCell ref="C1:C2"/>
    <mergeCell ref="D1:D2"/>
    <mergeCell ref="E1:E2"/>
    <mergeCell ref="F1:H1"/>
  </mergeCells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FF77F-4502-4032-A63C-9B59F4CFC09C}">
  <dimension ref="A1:U20"/>
  <sheetViews>
    <sheetView workbookViewId="0">
      <pane xSplit="5" topLeftCell="F1" activePane="topRight" state="frozen"/>
      <selection activeCell="G37" sqref="G37"/>
      <selection pane="topRight" activeCell="G37" sqref="G37"/>
    </sheetView>
  </sheetViews>
  <sheetFormatPr defaultRowHeight="14.15" x14ac:dyDescent="0.35"/>
  <cols>
    <col min="2" max="2" width="15.42578125" bestFit="1" customWidth="1"/>
    <col min="3" max="3" width="18.5" customWidth="1"/>
    <col min="7" max="7" width="15.7109375" bestFit="1" customWidth="1"/>
    <col min="8" max="8" width="9.5703125" customWidth="1"/>
    <col min="9" max="19" width="9.140625" customWidth="1"/>
    <col min="20" max="20" width="15.5" customWidth="1"/>
    <col min="21" max="21" width="53.140625" bestFit="1" customWidth="1"/>
  </cols>
  <sheetData>
    <row r="1" spans="1:21" x14ac:dyDescent="0.35">
      <c r="A1" s="199"/>
      <c r="B1" s="199" t="s">
        <v>3</v>
      </c>
      <c r="C1" s="199" t="s">
        <v>9</v>
      </c>
      <c r="D1" s="199" t="s">
        <v>18</v>
      </c>
      <c r="E1" s="199" t="s">
        <v>19</v>
      </c>
      <c r="F1" s="196" t="s">
        <v>16</v>
      </c>
      <c r="G1" s="197"/>
      <c r="H1" s="198"/>
      <c r="I1" s="196" t="s">
        <v>17</v>
      </c>
      <c r="J1" s="197"/>
      <c r="K1" s="198"/>
      <c r="L1" s="13"/>
      <c r="M1" s="13" t="s">
        <v>21</v>
      </c>
      <c r="N1" s="13"/>
      <c r="O1" s="196" t="s">
        <v>22</v>
      </c>
      <c r="P1" s="197"/>
      <c r="Q1" s="198"/>
      <c r="R1" s="196" t="s">
        <v>23</v>
      </c>
      <c r="S1" s="197"/>
      <c r="T1" s="198"/>
      <c r="U1" s="199" t="s">
        <v>11</v>
      </c>
    </row>
    <row r="2" spans="1:21" x14ac:dyDescent="0.35">
      <c r="A2" s="200"/>
      <c r="B2" s="200"/>
      <c r="C2" s="200"/>
      <c r="D2" s="200"/>
      <c r="E2" s="200"/>
      <c r="F2" s="9" t="s">
        <v>15</v>
      </c>
      <c r="G2" s="9" t="s">
        <v>10</v>
      </c>
      <c r="H2" s="9" t="s">
        <v>24</v>
      </c>
      <c r="I2" s="9" t="s">
        <v>15</v>
      </c>
      <c r="J2" s="9" t="s">
        <v>10</v>
      </c>
      <c r="K2" s="9" t="s">
        <v>24</v>
      </c>
      <c r="L2" s="9" t="s">
        <v>15</v>
      </c>
      <c r="M2" s="9" t="s">
        <v>10</v>
      </c>
      <c r="N2" s="9" t="s">
        <v>24</v>
      </c>
      <c r="O2" s="9" t="s">
        <v>15</v>
      </c>
      <c r="P2" s="9" t="s">
        <v>10</v>
      </c>
      <c r="Q2" s="9" t="s">
        <v>24</v>
      </c>
      <c r="R2" s="9" t="s">
        <v>15</v>
      </c>
      <c r="S2" s="9" t="s">
        <v>10</v>
      </c>
      <c r="T2" s="9" t="s">
        <v>24</v>
      </c>
      <c r="U2" s="200"/>
    </row>
    <row r="3" spans="1:21" x14ac:dyDescent="0.35">
      <c r="A3" s="201" t="s">
        <v>0</v>
      </c>
      <c r="B3" s="8" t="s">
        <v>1</v>
      </c>
      <c r="C3" s="8" t="s">
        <v>43</v>
      </c>
      <c r="D3" s="3" t="s">
        <v>27</v>
      </c>
      <c r="E3" s="3">
        <v>3480</v>
      </c>
      <c r="F3" s="4">
        <v>3428</v>
      </c>
      <c r="G3" s="4">
        <v>8625</v>
      </c>
      <c r="H3" s="4"/>
      <c r="I3" s="6">
        <v>3466</v>
      </c>
      <c r="J3" s="6">
        <v>8275</v>
      </c>
      <c r="K3" s="6" t="s">
        <v>34</v>
      </c>
      <c r="L3" s="4">
        <v>3465</v>
      </c>
      <c r="M3" s="4">
        <v>8070</v>
      </c>
      <c r="N3" s="4"/>
      <c r="O3" s="6">
        <v>3468</v>
      </c>
      <c r="P3" s="6">
        <v>9088</v>
      </c>
      <c r="Q3" s="6" t="s">
        <v>39</v>
      </c>
      <c r="R3" s="4">
        <v>3490</v>
      </c>
      <c r="S3" s="4">
        <v>8076</v>
      </c>
      <c r="T3" s="4" t="s">
        <v>42</v>
      </c>
      <c r="U3" s="2" t="s">
        <v>28</v>
      </c>
    </row>
    <row r="4" spans="1:21" x14ac:dyDescent="0.35">
      <c r="A4" s="202"/>
      <c r="B4" s="8" t="s">
        <v>2</v>
      </c>
      <c r="C4" s="8" t="s">
        <v>12</v>
      </c>
      <c r="D4" s="3">
        <v>2600</v>
      </c>
      <c r="E4" s="3">
        <v>3100</v>
      </c>
      <c r="F4" s="4">
        <v>2732</v>
      </c>
      <c r="G4" s="4">
        <v>1856</v>
      </c>
      <c r="H4" s="4"/>
      <c r="I4" s="6">
        <v>2816</v>
      </c>
      <c r="J4" s="6">
        <v>1850</v>
      </c>
      <c r="K4" s="6" t="s">
        <v>37</v>
      </c>
      <c r="L4" s="4">
        <v>2818</v>
      </c>
      <c r="M4" s="4">
        <v>1856</v>
      </c>
      <c r="N4" s="4"/>
      <c r="O4" s="6">
        <v>2840</v>
      </c>
      <c r="P4" s="6">
        <v>2119</v>
      </c>
      <c r="Q4" s="6"/>
      <c r="R4" s="4">
        <v>2826</v>
      </c>
      <c r="S4" s="4">
        <v>1865</v>
      </c>
      <c r="T4" s="4"/>
      <c r="U4" s="2" t="s">
        <v>29</v>
      </c>
    </row>
    <row r="5" spans="1:21" x14ac:dyDescent="0.35">
      <c r="A5" s="203" t="s">
        <v>4</v>
      </c>
      <c r="B5" s="24" t="s">
        <v>47</v>
      </c>
      <c r="C5" s="24" t="s">
        <v>48</v>
      </c>
      <c r="D5" s="3">
        <v>1318</v>
      </c>
      <c r="E5" s="3"/>
      <c r="F5" s="4"/>
      <c r="G5" s="4"/>
      <c r="H5" s="4"/>
      <c r="I5" s="6"/>
      <c r="J5" s="6"/>
      <c r="K5" s="6"/>
      <c r="L5" s="4"/>
      <c r="M5" s="4"/>
      <c r="N5" s="4"/>
      <c r="O5" s="6"/>
      <c r="P5" s="6"/>
      <c r="Q5" s="6"/>
      <c r="R5" s="4">
        <v>1335</v>
      </c>
      <c r="S5" s="4">
        <v>1218</v>
      </c>
      <c r="T5" s="4"/>
      <c r="U5" s="2"/>
    </row>
    <row r="6" spans="1:21" x14ac:dyDescent="0.35">
      <c r="A6" s="204"/>
      <c r="B6" s="24" t="s">
        <v>51</v>
      </c>
      <c r="C6" s="24"/>
      <c r="D6" s="12" t="s">
        <v>26</v>
      </c>
      <c r="E6" s="15">
        <v>1440</v>
      </c>
      <c r="F6" s="10"/>
      <c r="G6" s="10"/>
      <c r="H6" s="10"/>
      <c r="I6" s="14"/>
      <c r="J6" s="14"/>
      <c r="K6" s="14"/>
      <c r="L6" s="10"/>
      <c r="M6" s="10"/>
      <c r="N6" s="10"/>
      <c r="O6" s="14"/>
      <c r="P6" s="14"/>
      <c r="Q6" s="14"/>
      <c r="R6" s="10"/>
      <c r="S6" s="10"/>
      <c r="T6" s="10"/>
      <c r="U6" s="16"/>
    </row>
    <row r="7" spans="1:21" x14ac:dyDescent="0.35">
      <c r="A7" s="204"/>
      <c r="B7" s="24" t="s">
        <v>49</v>
      </c>
      <c r="C7" s="24" t="s">
        <v>50</v>
      </c>
      <c r="D7" s="12">
        <v>1890</v>
      </c>
      <c r="E7" s="15">
        <v>1970</v>
      </c>
      <c r="F7" s="10"/>
      <c r="G7" s="10"/>
      <c r="H7" s="10"/>
      <c r="I7" s="14"/>
      <c r="J7" s="14"/>
      <c r="K7" s="14"/>
      <c r="L7" s="10"/>
      <c r="M7" s="10"/>
      <c r="N7" s="10"/>
      <c r="O7" s="14"/>
      <c r="P7" s="14"/>
      <c r="Q7" s="14"/>
      <c r="R7" s="10"/>
      <c r="S7" s="10"/>
      <c r="T7" s="10"/>
      <c r="U7" s="16"/>
    </row>
    <row r="8" spans="1:21" x14ac:dyDescent="0.35">
      <c r="A8" s="205"/>
      <c r="B8" s="25" t="s">
        <v>46</v>
      </c>
      <c r="C8" s="24" t="s">
        <v>52</v>
      </c>
      <c r="D8" s="12"/>
      <c r="E8" s="3"/>
      <c r="F8" s="5"/>
      <c r="G8" s="5"/>
      <c r="H8" s="5"/>
      <c r="I8" s="7"/>
      <c r="J8" s="7"/>
      <c r="K8" s="7"/>
      <c r="L8" s="10"/>
      <c r="M8" s="11"/>
      <c r="N8" s="10"/>
      <c r="O8" s="7"/>
      <c r="P8" s="7"/>
      <c r="Q8" s="7"/>
      <c r="R8" s="5"/>
      <c r="S8" s="5"/>
      <c r="T8" s="5"/>
      <c r="U8" s="2"/>
    </row>
    <row r="9" spans="1:21" x14ac:dyDescent="0.35">
      <c r="A9" s="195" t="s">
        <v>20</v>
      </c>
      <c r="B9" s="8" t="s">
        <v>5</v>
      </c>
      <c r="C9" s="8" t="s">
        <v>30</v>
      </c>
      <c r="D9" s="3"/>
      <c r="E9" s="3">
        <v>16.8</v>
      </c>
      <c r="F9" s="4">
        <v>14.69</v>
      </c>
      <c r="G9" s="21">
        <v>2.63E-2</v>
      </c>
      <c r="H9" s="4" t="s">
        <v>31</v>
      </c>
      <c r="I9" s="6">
        <v>15.34</v>
      </c>
      <c r="J9" s="23">
        <v>2.58E-2</v>
      </c>
      <c r="K9" s="6"/>
      <c r="L9" s="4">
        <v>15.61</v>
      </c>
      <c r="M9" s="19">
        <v>0.02</v>
      </c>
      <c r="N9" s="4"/>
      <c r="O9" s="6"/>
      <c r="P9" s="6"/>
      <c r="Q9" s="6"/>
      <c r="R9" s="4"/>
      <c r="S9" s="4"/>
      <c r="T9" s="4"/>
      <c r="U9" s="2"/>
    </row>
    <row r="10" spans="1:21" x14ac:dyDescent="0.35">
      <c r="A10" s="195"/>
      <c r="B10" s="8" t="s">
        <v>6</v>
      </c>
      <c r="C10" s="8" t="s">
        <v>13</v>
      </c>
      <c r="D10" s="3">
        <v>29</v>
      </c>
      <c r="E10" s="3">
        <v>38</v>
      </c>
      <c r="F10" s="4">
        <v>33.25</v>
      </c>
      <c r="G10" s="21">
        <v>1.83E-2</v>
      </c>
      <c r="H10" s="4"/>
      <c r="I10" s="6">
        <v>33.31</v>
      </c>
      <c r="J10" s="23">
        <v>1.34E-2</v>
      </c>
      <c r="K10" s="6"/>
      <c r="L10" s="4">
        <v>33.58</v>
      </c>
      <c r="M10" s="21">
        <v>1.66E-2</v>
      </c>
      <c r="N10" s="4"/>
      <c r="O10" s="6">
        <v>32.200000000000003</v>
      </c>
      <c r="P10" s="23">
        <v>1.9699999999999999E-2</v>
      </c>
      <c r="Q10" s="6"/>
      <c r="R10" s="4"/>
      <c r="S10" s="4"/>
      <c r="T10" s="4"/>
      <c r="U10" s="2"/>
    </row>
    <row r="11" spans="1:21" x14ac:dyDescent="0.35">
      <c r="A11" s="195"/>
      <c r="B11" s="8" t="s">
        <v>8</v>
      </c>
      <c r="C11" s="8" t="s">
        <v>14</v>
      </c>
      <c r="D11" s="3">
        <v>36</v>
      </c>
      <c r="E11" s="3">
        <v>41</v>
      </c>
      <c r="F11" s="4">
        <v>36.5</v>
      </c>
      <c r="G11" s="21">
        <v>1.2500000000000001E-2</v>
      </c>
      <c r="H11" s="4"/>
      <c r="I11" s="6">
        <v>37.96</v>
      </c>
      <c r="J11" s="23">
        <v>1.4E-2</v>
      </c>
      <c r="K11" s="6" t="s">
        <v>35</v>
      </c>
      <c r="L11" s="4">
        <v>37.78</v>
      </c>
      <c r="M11" s="21">
        <v>8.9999999999999993E-3</v>
      </c>
      <c r="N11" s="4" t="s">
        <v>35</v>
      </c>
      <c r="O11" s="6">
        <v>38.15</v>
      </c>
      <c r="P11" s="23">
        <v>1.1599999999999999E-2</v>
      </c>
      <c r="Q11" s="6"/>
      <c r="R11" s="4">
        <v>37.479999999999997</v>
      </c>
      <c r="S11" s="21">
        <v>9.1999999999999998E-3</v>
      </c>
      <c r="T11" s="4"/>
      <c r="U11" s="2"/>
    </row>
    <row r="12" spans="1:21" x14ac:dyDescent="0.35">
      <c r="A12" s="195"/>
      <c r="B12" s="8" t="s">
        <v>7</v>
      </c>
      <c r="C12" s="8" t="s">
        <v>12</v>
      </c>
      <c r="D12" s="3">
        <v>10</v>
      </c>
      <c r="E12" s="3">
        <v>12.5</v>
      </c>
      <c r="F12" s="4">
        <v>11.12</v>
      </c>
      <c r="G12" s="19">
        <v>0.08</v>
      </c>
      <c r="H12" s="4"/>
      <c r="I12" s="6">
        <v>10.64</v>
      </c>
      <c r="J12" s="18">
        <v>0.08</v>
      </c>
      <c r="K12" s="6"/>
      <c r="L12" s="4">
        <v>10.65</v>
      </c>
      <c r="M12" s="21">
        <v>5.5E-2</v>
      </c>
      <c r="N12" s="4"/>
      <c r="O12" s="6">
        <v>10.75</v>
      </c>
      <c r="P12" s="23">
        <v>6.3E-2</v>
      </c>
      <c r="Q12" s="6"/>
      <c r="R12" s="4">
        <v>10.61</v>
      </c>
      <c r="S12" s="21">
        <v>3.9100000000000003E-2</v>
      </c>
      <c r="T12" s="4"/>
      <c r="U12" s="2"/>
    </row>
    <row r="13" spans="1:21" hidden="1" x14ac:dyDescent="0.35">
      <c r="A13" s="195"/>
      <c r="B13" s="8" t="s">
        <v>32</v>
      </c>
      <c r="C13" s="8"/>
      <c r="D13" s="3"/>
      <c r="E13" s="3"/>
      <c r="F13" s="4">
        <v>58.21</v>
      </c>
      <c r="G13" s="21">
        <v>1.5599999999999999E-2</v>
      </c>
      <c r="H13" s="4"/>
      <c r="I13" s="6">
        <v>61.57</v>
      </c>
      <c r="J13" s="18">
        <v>0.02</v>
      </c>
      <c r="K13" s="6" t="s">
        <v>36</v>
      </c>
      <c r="L13" s="4">
        <v>59.86</v>
      </c>
      <c r="M13" s="21">
        <v>2.4E-2</v>
      </c>
      <c r="N13" s="4"/>
      <c r="O13" s="6"/>
      <c r="P13" s="6"/>
      <c r="Q13" s="6"/>
      <c r="R13" s="4"/>
      <c r="S13" s="4"/>
      <c r="T13" s="4"/>
      <c r="U13" s="2"/>
    </row>
    <row r="14" spans="1:21" x14ac:dyDescent="0.35">
      <c r="A14" s="195"/>
      <c r="B14" s="8" t="s">
        <v>33</v>
      </c>
      <c r="C14" s="8"/>
      <c r="D14" s="3">
        <v>28</v>
      </c>
      <c r="E14" s="3">
        <v>30.1</v>
      </c>
      <c r="F14" s="4">
        <v>25</v>
      </c>
      <c r="G14" s="21">
        <v>5.4899999999999997E-2</v>
      </c>
      <c r="H14" s="4"/>
      <c r="I14" s="6">
        <v>25.39</v>
      </c>
      <c r="J14" s="23">
        <v>5.6000000000000001E-2</v>
      </c>
      <c r="K14" s="6"/>
      <c r="L14" s="4">
        <v>27.93</v>
      </c>
      <c r="M14" s="19">
        <v>0.16</v>
      </c>
      <c r="N14" s="4" t="s">
        <v>38</v>
      </c>
      <c r="O14" s="6">
        <v>24.53</v>
      </c>
      <c r="P14" s="18">
        <v>0.31</v>
      </c>
      <c r="Q14" s="6" t="s">
        <v>40</v>
      </c>
      <c r="R14" s="4">
        <v>29.17</v>
      </c>
      <c r="S14" s="19">
        <v>0.28000000000000003</v>
      </c>
      <c r="T14" s="4"/>
      <c r="U14" s="2"/>
    </row>
    <row r="15" spans="1:21" x14ac:dyDescent="0.35">
      <c r="A15" s="195"/>
      <c r="B15" s="8" t="s">
        <v>41</v>
      </c>
      <c r="C15" s="8"/>
      <c r="D15" s="3">
        <v>5.6</v>
      </c>
      <c r="E15" s="3"/>
      <c r="F15" s="4"/>
      <c r="G15" s="21"/>
      <c r="H15" s="4"/>
      <c r="I15" s="6"/>
      <c r="J15" s="23"/>
      <c r="K15" s="6"/>
      <c r="L15" s="4"/>
      <c r="M15" s="19"/>
      <c r="N15" s="4"/>
      <c r="O15" s="6">
        <v>5.58</v>
      </c>
      <c r="P15" s="18">
        <v>0.16</v>
      </c>
      <c r="Q15" s="6"/>
      <c r="R15" s="4">
        <v>5.72</v>
      </c>
      <c r="S15" s="19">
        <v>0.14000000000000001</v>
      </c>
      <c r="T15" s="4"/>
      <c r="U15" s="2"/>
    </row>
    <row r="20" spans="5:5" x14ac:dyDescent="0.35">
      <c r="E20" s="26"/>
    </row>
  </sheetData>
  <mergeCells count="13">
    <mergeCell ref="U1:U2"/>
    <mergeCell ref="E1:E2"/>
    <mergeCell ref="D1:D2"/>
    <mergeCell ref="A5:A8"/>
    <mergeCell ref="A9:A15"/>
    <mergeCell ref="R1:T1"/>
    <mergeCell ref="A3:A4"/>
    <mergeCell ref="A1:A2"/>
    <mergeCell ref="B1:B2"/>
    <mergeCell ref="C1:C2"/>
    <mergeCell ref="F1:H1"/>
    <mergeCell ref="I1:K1"/>
    <mergeCell ref="O1:Q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17</vt:i4>
      </vt:variant>
    </vt:vector>
  </HeadingPairs>
  <TitlesOfParts>
    <vt:vector size="17" baseType="lpstr">
      <vt:lpstr>0704</vt:lpstr>
      <vt:lpstr>0701</vt:lpstr>
      <vt:lpstr>情绪</vt:lpstr>
      <vt:lpstr>交易模式</vt:lpstr>
      <vt:lpstr>新能源</vt:lpstr>
      <vt:lpstr>周期</vt:lpstr>
      <vt:lpstr>0630</vt:lpstr>
      <vt:lpstr>0627</vt:lpstr>
      <vt:lpstr>0623</vt:lpstr>
      <vt:lpstr>0622</vt:lpstr>
      <vt:lpstr>0621</vt:lpstr>
      <vt:lpstr>20220617</vt:lpstr>
      <vt:lpstr>20220616</vt:lpstr>
      <vt:lpstr>20220615</vt:lpstr>
      <vt:lpstr>20220228</vt:lpstr>
      <vt:lpstr>20220221</vt:lpstr>
      <vt:lpstr>20220214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2022-07-04T16:34:49Z</dcterms:modified>
</cp:coreProperties>
</file>