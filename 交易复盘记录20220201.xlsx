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gao'guang\Desktop\Atool\"/>
    </mc:Choice>
  </mc:AlternateContent>
  <xr:revisionPtr revIDLastSave="0" documentId="13_ncr:1_{57B22DB9-7CD5-430F-B794-4256D0246381}" xr6:coauthVersionLast="47" xr6:coauthVersionMax="47" xr10:uidLastSave="{00000000-0000-0000-0000-000000000000}"/>
  <bookViews>
    <workbookView xWindow="-103" yWindow="-103" windowWidth="22149" windowHeight="13200" activeTab="3" xr2:uid="{00000000-000D-0000-FFFF-FFFF00000000}"/>
  </bookViews>
  <sheets>
    <sheet name="交易模式" sheetId="1" r:id="rId1"/>
    <sheet name="周期" sheetId="14" r:id="rId2"/>
    <sheet name="情绪" sheetId="11" r:id="rId3"/>
    <sheet name="0718" sheetId="34" r:id="rId4"/>
    <sheet name="0715" sheetId="33" r:id="rId5"/>
    <sheet name="0714" sheetId="32" r:id="rId6"/>
    <sheet name="0713" sheetId="31" r:id="rId7"/>
    <sheet name="0712" sheetId="30" r:id="rId8"/>
    <sheet name="0711" sheetId="29" state="hidden" r:id="rId9"/>
    <sheet name="0708" sheetId="27" state="hidden" r:id="rId10"/>
    <sheet name="0707" sheetId="26" state="hidden" r:id="rId11"/>
    <sheet name="0706" sheetId="25" state="hidden" r:id="rId12"/>
    <sheet name="0705" sheetId="23" state="hidden" r:id="rId13"/>
    <sheet name="0704" sheetId="2" state="hidden" r:id="rId14"/>
    <sheet name="龙头" sheetId="28" r:id="rId15"/>
    <sheet name="新能源" sheetId="19" r:id="rId16"/>
    <sheet name="个股" sheetId="22" r:id="rId17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_fd30fc9c-20f9-4175-98b1-ab9f0d3ba807" name="Table" connection="查询 - Tabl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4" i="11" l="1"/>
  <c r="H34" i="11"/>
  <c r="H33" i="11"/>
  <c r="E33" i="11"/>
  <c r="H32" i="11"/>
  <c r="E32" i="11"/>
  <c r="E31" i="11"/>
  <c r="H31" i="11"/>
  <c r="E30" i="11"/>
  <c r="H30" i="11"/>
  <c r="H29" i="11"/>
  <c r="E29" i="11"/>
  <c r="G3" i="28"/>
  <c r="G4" i="28"/>
  <c r="G5" i="28"/>
  <c r="G6" i="28"/>
  <c r="G7" i="28"/>
  <c r="G8" i="28"/>
  <c r="G9" i="28"/>
  <c r="G10" i="28"/>
  <c r="G11" i="28"/>
  <c r="G12" i="28"/>
  <c r="G13" i="28"/>
  <c r="G14" i="28"/>
  <c r="G15" i="28"/>
  <c r="G16" i="28"/>
  <c r="G2" i="28"/>
  <c r="H28" i="11"/>
  <c r="E28" i="11"/>
  <c r="H27" i="11"/>
  <c r="E27" i="11"/>
  <c r="H26" i="11"/>
  <c r="E26" i="11"/>
  <c r="H25" i="11"/>
  <c r="E25" i="11"/>
  <c r="H24" i="11"/>
  <c r="E24" i="11"/>
  <c r="E20" i="11"/>
  <c r="H20" i="11"/>
  <c r="H23" i="11"/>
  <c r="E23" i="11"/>
  <c r="H22" i="11"/>
  <c r="E22" i="11"/>
  <c r="H21" i="11"/>
  <c r="E21" i="11"/>
  <c r="H19" i="11"/>
  <c r="E19" i="11"/>
  <c r="H18" i="11"/>
  <c r="E18" i="11"/>
  <c r="H17" i="11"/>
  <c r="E17" i="11"/>
  <c r="H16" i="11"/>
  <c r="E16" i="11"/>
  <c r="H15" i="11"/>
  <c r="E15" i="11"/>
  <c r="H14" i="11"/>
  <c r="E14" i="11"/>
  <c r="H13" i="11"/>
  <c r="E13" i="11"/>
  <c r="H12" i="11"/>
  <c r="E12" i="11"/>
  <c r="H11" i="11"/>
  <c r="E11" i="11"/>
  <c r="H10" i="11"/>
  <c r="E10" i="11"/>
  <c r="H9" i="11"/>
  <c r="E9" i="11"/>
  <c r="H8" i="11"/>
  <c r="E8" i="11"/>
  <c r="H7" i="11"/>
  <c r="E7" i="11"/>
  <c r="H6" i="11"/>
  <c r="E6" i="11"/>
  <c r="H5" i="11"/>
  <c r="E5" i="11"/>
  <c r="H4" i="11"/>
  <c r="E4" i="11"/>
  <c r="H3" i="11"/>
  <c r="E3" i="11"/>
  <c r="H2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39A9DD-F5C8-4D94-B873-AB82F440E4BA}" keepAlive="1" name="ThisWorkbookDataModel" description="数据模型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3DDABF2-3CEC-4A26-9454-F9D137BCF967}" name="查询 - Table" description="与工作簿中“Table”查询的连接。" type="100" refreshedVersion="8" minRefreshableVersion="5">
    <extLst>
      <ext xmlns:x15="http://schemas.microsoft.com/office/spreadsheetml/2010/11/main" uri="{DE250136-89BD-433C-8126-D09CA5730AF9}">
        <x15:connection id="fd6919f0-5f7a-4d03-82bd-2e085a583818"/>
      </ext>
    </extLst>
  </connection>
</connections>
</file>

<file path=xl/sharedStrings.xml><?xml version="1.0" encoding="utf-8"?>
<sst xmlns="http://schemas.openxmlformats.org/spreadsheetml/2006/main" count="3181" uniqueCount="1798">
  <si>
    <t>板块</t>
    <phoneticPr fontId="1" type="noConversion"/>
  </si>
  <si>
    <t>基建</t>
    <phoneticPr fontId="1" type="noConversion"/>
  </si>
  <si>
    <t>身怀六甲</t>
    <phoneticPr fontId="1" type="noConversion"/>
  </si>
  <si>
    <t>倒转锤头</t>
    <phoneticPr fontId="1" type="noConversion"/>
  </si>
  <si>
    <t>阳线反包</t>
    <phoneticPr fontId="1" type="noConversion"/>
  </si>
  <si>
    <t>阴阳对称</t>
    <phoneticPr fontId="1" type="noConversion"/>
  </si>
  <si>
    <t>名称</t>
    <phoneticPr fontId="1" type="noConversion"/>
  </si>
  <si>
    <t>点石成金</t>
    <phoneticPr fontId="1" type="noConversion"/>
  </si>
  <si>
    <t>杀回马枪</t>
    <phoneticPr fontId="1" type="noConversion"/>
  </si>
  <si>
    <t>填补上引</t>
    <phoneticPr fontId="1" type="noConversion"/>
  </si>
  <si>
    <t>苏秦背剑</t>
    <phoneticPr fontId="1" type="noConversion"/>
  </si>
  <si>
    <t>乖离率</t>
    <phoneticPr fontId="1" type="noConversion"/>
  </si>
  <si>
    <t>越顶擒牛</t>
    <phoneticPr fontId="1" type="noConversion"/>
  </si>
  <si>
    <t>突破中枢</t>
    <phoneticPr fontId="1" type="noConversion"/>
  </si>
  <si>
    <t>鸭头上翘</t>
    <phoneticPr fontId="1" type="noConversion"/>
  </si>
  <si>
    <t>杯把攻击</t>
    <phoneticPr fontId="1" type="noConversion"/>
  </si>
  <si>
    <t>止盈</t>
    <phoneticPr fontId="1" type="noConversion"/>
  </si>
  <si>
    <t>波段防守</t>
    <phoneticPr fontId="1" type="noConversion"/>
  </si>
  <si>
    <t>波段上攻</t>
    <phoneticPr fontId="1" type="noConversion"/>
  </si>
  <si>
    <t>牛熊线</t>
    <phoneticPr fontId="1" type="noConversion"/>
  </si>
  <si>
    <t>尾盘绝技</t>
    <phoneticPr fontId="1" type="noConversion"/>
  </si>
  <si>
    <t>选股</t>
    <phoneticPr fontId="1" type="noConversion"/>
  </si>
  <si>
    <t>弹坑起爆</t>
    <phoneticPr fontId="1" type="noConversion"/>
  </si>
  <si>
    <t>波浪理论+奇异数字</t>
    <phoneticPr fontId="1" type="noConversion"/>
  </si>
  <si>
    <t>九转神奇</t>
    <phoneticPr fontId="1" type="noConversion"/>
  </si>
  <si>
    <t>筹码</t>
    <phoneticPr fontId="1" type="noConversion"/>
  </si>
  <si>
    <t>MACD百无禁忌</t>
    <phoneticPr fontId="1" type="noConversion"/>
  </si>
  <si>
    <t>筹码波峰超过上部筹码波峰的时候买</t>
    <phoneticPr fontId="1" type="noConversion"/>
  </si>
  <si>
    <t>买点</t>
    <phoneticPr fontId="1" type="noConversion"/>
  </si>
  <si>
    <t>金叉倍量买</t>
    <phoneticPr fontId="1" type="noConversion"/>
  </si>
  <si>
    <t>筹码波峰超过底部波峰</t>
    <phoneticPr fontId="1" type="noConversion"/>
  </si>
  <si>
    <t>前面有上涨回落的9可以买，回落3次9可以买</t>
    <phoneticPr fontId="1" type="noConversion"/>
  </si>
  <si>
    <t>cwzx.shdjt.com</t>
    <phoneticPr fontId="1" type="noConversion"/>
  </si>
  <si>
    <t>牛散杨三宝和机构林园</t>
    <phoneticPr fontId="1" type="noConversion"/>
  </si>
  <si>
    <t>5日线上方爬坡至少5天，温和放量，均线多头。</t>
    <phoneticPr fontId="1" type="noConversion"/>
  </si>
  <si>
    <t>前面涨停板，第二天阴线杀回来，分歧量放大，第二天转一致的阳线要高过前一天阴线，量缩小，当天买</t>
    <phoneticPr fontId="1" type="noConversion"/>
  </si>
  <si>
    <t>止损</t>
    <phoneticPr fontId="1" type="noConversion"/>
  </si>
  <si>
    <t>5日线</t>
    <phoneticPr fontId="1" type="noConversion"/>
  </si>
  <si>
    <t>前提：60线拐头向上，鸭嘴缩量， 5金叉10放倍量买</t>
    <phoneticPr fontId="1" type="noConversion"/>
  </si>
  <si>
    <t>前提：均线多头向上， 中大阳线第二天成交量明显萎缩（在前一天实体范围内更好）,5个点撤</t>
    <phoneticPr fontId="1" type="noConversion"/>
  </si>
  <si>
    <t>回调波浪中，第二天的小阳要在前一天大阴线的中间,忽略引线</t>
    <phoneticPr fontId="1" type="noConversion"/>
  </si>
  <si>
    <t>N型， 下打缩量，拉升放量</t>
    <phoneticPr fontId="1" type="noConversion"/>
  </si>
  <si>
    <t>528线死叉999线后盘整2-4年，528走平或向上，K线连续突破528和999时线上阴线买线下阳线抛，在999线买和止损。30个点止盈</t>
    <phoneticPr fontId="1" type="noConversion"/>
  </si>
  <si>
    <t>鸭头倒挂</t>
    <phoneticPr fontId="1" type="noConversion"/>
  </si>
  <si>
    <t>前提：60日线走平或向上， 5金叉10放倍量买</t>
    <phoneticPr fontId="1" type="noConversion"/>
  </si>
  <si>
    <t>阴线和阳线对称，十字星位置对称</t>
    <phoneticPr fontId="1" type="noConversion"/>
  </si>
  <si>
    <t>回调段，横盘不考虑</t>
    <phoneticPr fontId="1" type="noConversion"/>
  </si>
  <si>
    <t>杯把越小越好，前后高点可以有差异，突破高点需要放倍量</t>
    <phoneticPr fontId="1" type="noConversion"/>
  </si>
  <si>
    <t>回调波浪中，前一天大实体阴线包住倒T上引线</t>
    <phoneticPr fontId="1" type="noConversion"/>
  </si>
  <si>
    <t>双暴跌次日买入，回调中反弹回摸5日线</t>
    <phoneticPr fontId="1" type="noConversion"/>
  </si>
  <si>
    <t>1-5F做T，15F看三座山，30/60F辅助</t>
    <phoneticPr fontId="1" type="noConversion"/>
  </si>
  <si>
    <t>1.利润奔跑止盈 （30%回撤止盈，适用于大底，多底，炉底）
2 十日线止盈（做波浪两周成本共识，W底部） 
3.翻倍分仓（30%减一半，60%减一半，90%清仓）
4.标志K线（倒转锤头，高位十字星或大阴线断头铡刀等）止盈，量价配合</t>
    <phoneticPr fontId="1" type="noConversion"/>
  </si>
  <si>
    <t>突破前高，第二天买，量能配合</t>
    <phoneticPr fontId="1" type="noConversion"/>
  </si>
  <si>
    <t>市场
情绪</t>
    <phoneticPr fontId="1" type="noConversion"/>
  </si>
  <si>
    <t>农发种业</t>
    <phoneticPr fontId="1" type="noConversion"/>
  </si>
  <si>
    <t>浙江建投</t>
    <phoneticPr fontId="1" type="noConversion"/>
  </si>
  <si>
    <t>情绪龙头（三个周期三个阶段，游资和散户接力顶板）</t>
    <phoneticPr fontId="1" type="noConversion"/>
  </si>
  <si>
    <t>波段龙头（第二条线，价投和波段，涨不停）</t>
    <phoneticPr fontId="1" type="noConversion"/>
  </si>
  <si>
    <t>市场冰点，投机大于投资，游资散户抱团，容易出现龙头</t>
    <phoneticPr fontId="1" type="noConversion"/>
  </si>
  <si>
    <t xml:space="preserve">    名称</t>
  </si>
  <si>
    <t xml:space="preserve">  代码</t>
  </si>
  <si>
    <t>题材</t>
    <phoneticPr fontId="1" type="noConversion"/>
  </si>
  <si>
    <t>日期</t>
    <phoneticPr fontId="1" type="noConversion"/>
  </si>
  <si>
    <t>二板数</t>
    <phoneticPr fontId="1" type="noConversion"/>
  </si>
  <si>
    <t>高度</t>
    <phoneticPr fontId="1" type="noConversion"/>
  </si>
  <si>
    <t>连板指数</t>
    <phoneticPr fontId="1" type="noConversion"/>
  </si>
  <si>
    <t>背离率</t>
    <phoneticPr fontId="1" type="noConversion"/>
  </si>
  <si>
    <t>连板数</t>
    <phoneticPr fontId="1" type="noConversion"/>
  </si>
  <si>
    <t>主板连板个股</t>
    <phoneticPr fontId="1" type="noConversion"/>
  </si>
  <si>
    <t>建筑装饰，房地产</t>
    <phoneticPr fontId="1" type="noConversion"/>
  </si>
  <si>
    <t>能源类  （煤炭、石油、天然气）</t>
    <phoneticPr fontId="1" type="noConversion"/>
  </si>
  <si>
    <t>农业种植   （大豆玉米）</t>
    <phoneticPr fontId="1" type="noConversion"/>
  </si>
  <si>
    <t>消费   （白酒、医药、服装家纺、电子）</t>
    <phoneticPr fontId="1" type="noConversion"/>
  </si>
  <si>
    <t>浙江世宝</t>
    <phoneticPr fontId="1" type="noConversion"/>
  </si>
  <si>
    <t>大金融  （证券、银行、保险）</t>
    <phoneticPr fontId="1" type="noConversion"/>
  </si>
  <si>
    <t>√</t>
  </si>
  <si>
    <t>√</t>
    <phoneticPr fontId="1" type="noConversion"/>
  </si>
  <si>
    <t>连板</t>
    <phoneticPr fontId="1" type="noConversion"/>
  </si>
  <si>
    <t>连板晋级率</t>
    <phoneticPr fontId="1" type="noConversion"/>
  </si>
  <si>
    <t>SZ000025</t>
  </si>
  <si>
    <t>SH603963</t>
  </si>
  <si>
    <t>大理药业</t>
  </si>
  <si>
    <t>中药+新冠治疗</t>
  </si>
  <si>
    <t>新冠治疗+中药</t>
  </si>
  <si>
    <t>光伏+HJT电池</t>
  </si>
  <si>
    <t>SH600975</t>
  </si>
  <si>
    <t>新五丰</t>
  </si>
  <si>
    <t>猪肉+饲料</t>
  </si>
  <si>
    <t>宜宾纸业</t>
  </si>
  <si>
    <t>教育/游戏/网络平台电商</t>
    <phoneticPr fontId="1" type="noConversion"/>
  </si>
  <si>
    <t>MACD低位首板</t>
    <phoneticPr fontId="1" type="noConversion"/>
  </si>
  <si>
    <t>低位首板，MACD金叉，前半个小时成交量是前一天的一半以上， 0%-3%开最好，主力成本较高，5%以上开主力可以砸盘</t>
    <phoneticPr fontId="1" type="noConversion"/>
  </si>
  <si>
    <t>顺控发展</t>
    <phoneticPr fontId="1" type="noConversion"/>
  </si>
  <si>
    <t>金种子酒</t>
    <phoneticPr fontId="1" type="noConversion"/>
  </si>
  <si>
    <t>老白干酒</t>
    <phoneticPr fontId="1" type="noConversion"/>
  </si>
  <si>
    <t>酒鬼酒</t>
    <phoneticPr fontId="1" type="noConversion"/>
  </si>
  <si>
    <t>仁东控股</t>
  </si>
  <si>
    <t>金牛化工</t>
    <phoneticPr fontId="1" type="noConversion"/>
  </si>
  <si>
    <t>天山铝业</t>
    <phoneticPr fontId="1" type="noConversion"/>
  </si>
  <si>
    <t>小康股份</t>
    <phoneticPr fontId="1" type="noConversion"/>
  </si>
  <si>
    <t>东风汽车长安汽车</t>
    <phoneticPr fontId="1" type="noConversion"/>
  </si>
  <si>
    <t>奥园美谷</t>
    <phoneticPr fontId="1" type="noConversion"/>
  </si>
  <si>
    <t>爱美客</t>
    <phoneticPr fontId="1" type="noConversion"/>
  </si>
  <si>
    <t>金发拉比</t>
    <phoneticPr fontId="1" type="noConversion"/>
  </si>
  <si>
    <t>东方银星</t>
    <phoneticPr fontId="1" type="noConversion"/>
  </si>
  <si>
    <t>福建金森</t>
    <phoneticPr fontId="1" type="noConversion"/>
  </si>
  <si>
    <t>润和软件</t>
    <phoneticPr fontId="1" type="noConversion"/>
  </si>
  <si>
    <t>江特电机</t>
    <phoneticPr fontId="1" type="noConversion"/>
  </si>
  <si>
    <t>西藏矿业
西藏珠峰</t>
    <phoneticPr fontId="1" type="noConversion"/>
  </si>
  <si>
    <t>北方稀土</t>
    <phoneticPr fontId="1" type="noConversion"/>
  </si>
  <si>
    <t>湖北宜化</t>
    <phoneticPr fontId="1" type="noConversion"/>
  </si>
  <si>
    <t>云天化</t>
    <phoneticPr fontId="1" type="noConversion"/>
  </si>
  <si>
    <t>京城股份</t>
    <phoneticPr fontId="1" type="noConversion"/>
  </si>
  <si>
    <t>九安医疗</t>
    <phoneticPr fontId="1" type="noConversion"/>
  </si>
  <si>
    <t>陕西金叶</t>
    <phoneticPr fontId="1" type="noConversion"/>
  </si>
  <si>
    <t>雅本化学</t>
    <phoneticPr fontId="1" type="noConversion"/>
  </si>
  <si>
    <t>中交地产</t>
    <phoneticPr fontId="1" type="noConversion"/>
  </si>
  <si>
    <t>湖南发展</t>
    <phoneticPr fontId="1" type="noConversion"/>
  </si>
  <si>
    <t>徐家汇</t>
    <phoneticPr fontId="1" type="noConversion"/>
  </si>
  <si>
    <t>新华制药</t>
    <phoneticPr fontId="1" type="noConversion"/>
  </si>
  <si>
    <t>海汽集团</t>
    <phoneticPr fontId="1" type="noConversion"/>
  </si>
  <si>
    <t>特力A</t>
    <phoneticPr fontId="1" type="noConversion"/>
  </si>
  <si>
    <t>中旗新材</t>
    <phoneticPr fontId="1" type="noConversion"/>
  </si>
  <si>
    <t>和胜股份</t>
    <phoneticPr fontId="1" type="noConversion"/>
  </si>
  <si>
    <t>集泰股份</t>
    <phoneticPr fontId="1" type="noConversion"/>
  </si>
  <si>
    <t>风电</t>
    <phoneticPr fontId="1" type="noConversion"/>
  </si>
  <si>
    <t>锂电池</t>
    <phoneticPr fontId="1" type="noConversion"/>
  </si>
  <si>
    <t>机器人</t>
  </si>
  <si>
    <t>机器人</t>
    <phoneticPr fontId="1" type="noConversion"/>
  </si>
  <si>
    <t>SZ002204</t>
  </si>
  <si>
    <t>大连重工</t>
  </si>
  <si>
    <t>巨轮智能</t>
  </si>
  <si>
    <t>机器人+工业母机+高端装备</t>
  </si>
  <si>
    <t>流值(亿）</t>
    <phoneticPr fontId="1" type="noConversion"/>
  </si>
  <si>
    <t>启动</t>
    <phoneticPr fontId="1" type="noConversion"/>
  </si>
  <si>
    <t>确认</t>
    <phoneticPr fontId="1" type="noConversion"/>
  </si>
  <si>
    <t>发酵</t>
    <phoneticPr fontId="1" type="noConversion"/>
  </si>
  <si>
    <t>3-5</t>
    <phoneticPr fontId="1" type="noConversion"/>
  </si>
  <si>
    <t>加速</t>
    <phoneticPr fontId="1" type="noConversion"/>
  </si>
  <si>
    <t>放量</t>
    <phoneticPr fontId="1" type="noConversion"/>
  </si>
  <si>
    <t>分歧</t>
    <phoneticPr fontId="1" type="noConversion"/>
  </si>
  <si>
    <t>反包</t>
    <phoneticPr fontId="1" type="noConversion"/>
  </si>
  <si>
    <t>5-7</t>
    <phoneticPr fontId="1" type="noConversion"/>
  </si>
  <si>
    <t>芯片</t>
    <phoneticPr fontId="1" type="noConversion"/>
  </si>
  <si>
    <t>新能车</t>
    <phoneticPr fontId="1" type="noConversion"/>
  </si>
  <si>
    <t>京山轻机</t>
    <phoneticPr fontId="1" type="noConversion"/>
  </si>
  <si>
    <t>铭普光磁</t>
  </si>
  <si>
    <t>光伏+汽车电子+F5G</t>
  </si>
  <si>
    <t>传艺科技</t>
  </si>
  <si>
    <t>消费电子+锂电池</t>
  </si>
  <si>
    <t>道恩股份</t>
  </si>
  <si>
    <t>塑料+口罩+氢化丁腈橡胶</t>
  </si>
  <si>
    <t>汽车整车</t>
  </si>
  <si>
    <t>一阳三线</t>
    <phoneticPr fontId="1" type="noConversion"/>
  </si>
  <si>
    <t>说明</t>
    <phoneticPr fontId="1" type="noConversion"/>
  </si>
  <si>
    <t>当天</t>
    <phoneticPr fontId="1" type="noConversion"/>
  </si>
  <si>
    <t>均线多头，大阳线后收出长上引线（前面无套牢筹码，主力T差价），涨停填补上引线，成交量温和放大，</t>
    <phoneticPr fontId="1" type="noConversion"/>
  </si>
  <si>
    <t>MA5</t>
    <phoneticPr fontId="1" type="noConversion"/>
  </si>
  <si>
    <t>道</t>
    <phoneticPr fontId="1" type="noConversion"/>
  </si>
  <si>
    <t>龙头买法</t>
  </si>
  <si>
    <t>1.缩量后等分歧买
2.放量转成竞价上
3.打板确认买（确认它是龙头）</t>
    <phoneticPr fontId="1" type="noConversion"/>
  </si>
  <si>
    <t>中位接力</t>
  </si>
  <si>
    <t>断板反包</t>
  </si>
  <si>
    <t>1.微观看主力承接意愿  （天地板第二天继续地板）
2.宏观看市场冰点的窗口  （率先断板很难反包）</t>
    <phoneticPr fontId="1" type="noConversion"/>
  </si>
  <si>
    <t>碳中和</t>
  </si>
  <si>
    <t>白酒</t>
  </si>
  <si>
    <r>
      <rPr>
        <b/>
        <sz val="11"/>
        <color theme="1"/>
        <rFont val="等线"/>
        <family val="3"/>
        <charset val="134"/>
        <scheme val="minor"/>
      </rPr>
      <t>中通客车</t>
    </r>
    <r>
      <rPr>
        <sz val="11"/>
        <color theme="1"/>
        <rFont val="等线"/>
        <family val="2"/>
        <scheme val="minor"/>
      </rPr>
      <t xml:space="preserve">
</t>
    </r>
    <r>
      <rPr>
        <sz val="9"/>
        <color theme="1"/>
        <rFont val="等线"/>
        <family val="3"/>
        <charset val="134"/>
        <scheme val="minor"/>
      </rPr>
      <t>(三周期高度龙头，27日第三此一致确定龙头地位</t>
    </r>
    <r>
      <rPr>
        <sz val="11"/>
        <color theme="1"/>
        <rFont val="等线"/>
        <family val="2"/>
        <scheme val="minor"/>
      </rPr>
      <t>)</t>
    </r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</si>
  <si>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中国医药</t>
    </r>
    <r>
      <rPr>
        <sz val="9"/>
        <color theme="1"/>
        <rFont val="等线"/>
        <family val="3"/>
        <charset val="134"/>
        <scheme val="minor"/>
      </rPr>
      <t>（一周期龙头）</t>
    </r>
    <phoneticPr fontId="1" type="noConversion"/>
  </si>
  <si>
    <t>中成股份（卡位）</t>
    <phoneticPr fontId="1" type="noConversion"/>
  </si>
  <si>
    <t>宝塔实业（补涨）</t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</si>
  <si>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小康股份长安汽车</t>
    </r>
    <r>
      <rPr>
        <sz val="9"/>
        <color theme="1"/>
        <rFont val="等线"/>
        <family val="3"/>
        <charset val="134"/>
        <scheme val="minor"/>
      </rPr>
      <t>（中军龙）</t>
    </r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</si>
  <si>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天宝基建</t>
    </r>
    <r>
      <rPr>
        <sz val="9"/>
        <color theme="1"/>
        <rFont val="等线"/>
        <family val="3"/>
        <charset val="134"/>
        <scheme val="minor"/>
      </rPr>
      <t>（二周期基建龙头</t>
    </r>
    <r>
      <rPr>
        <sz val="11"/>
        <color theme="1"/>
        <rFont val="等线"/>
        <family val="2"/>
        <scheme val="minor"/>
      </rPr>
      <t>）</t>
    </r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</si>
  <si>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步步高</t>
    </r>
    <r>
      <rPr>
        <sz val="9"/>
        <color theme="1"/>
        <rFont val="等线"/>
        <family val="3"/>
        <charset val="134"/>
        <scheme val="minor"/>
      </rPr>
      <t>（炮灰）</t>
    </r>
    <phoneticPr fontId="1" type="noConversion"/>
  </si>
  <si>
    <t xml:space="preserve">周期一  </t>
    <phoneticPr fontId="1" type="noConversion"/>
  </si>
  <si>
    <t xml:space="preserve">周期二  </t>
  </si>
  <si>
    <t>周期三</t>
  </si>
  <si>
    <t>三期4阶段</t>
    <phoneticPr fontId="1" type="noConversion"/>
  </si>
  <si>
    <t>消费</t>
    <phoneticPr fontId="1" type="noConversion"/>
  </si>
  <si>
    <t>国资改</t>
    <phoneticPr fontId="1" type="noConversion"/>
  </si>
  <si>
    <t>波段启动期</t>
    <phoneticPr fontId="1" type="noConversion"/>
  </si>
  <si>
    <t>看高做低</t>
    <phoneticPr fontId="1" type="noConversion"/>
  </si>
  <si>
    <t>回调波段中（W、头肩、多、U、V、炉底）</t>
    <phoneticPr fontId="1" type="noConversion"/>
  </si>
  <si>
    <t>六底形态</t>
    <phoneticPr fontId="1" type="noConversion"/>
  </si>
  <si>
    <t>游资</t>
    <phoneticPr fontId="1" type="noConversion"/>
  </si>
  <si>
    <t>牛散</t>
    <phoneticPr fontId="1" type="noConversion"/>
  </si>
  <si>
    <t xml:space="preserve">1.不同均线层级
2.顺着趋势做，不破坏均线的乖离率，找价格的拐点
</t>
    <phoneticPr fontId="1" type="noConversion"/>
  </si>
  <si>
    <r>
      <t xml:space="preserve">断板，缩量放量，放量后的缩量， </t>
    </r>
    <r>
      <rPr>
        <sz val="20"/>
        <color rgb="FFFF0000"/>
        <rFont val="等线"/>
        <family val="3"/>
        <charset val="134"/>
        <scheme val="minor"/>
      </rPr>
      <t>找情绪的拐点</t>
    </r>
    <r>
      <rPr>
        <sz val="11"/>
        <color theme="1"/>
        <rFont val="等线"/>
        <family val="2"/>
        <scheme val="minor"/>
      </rPr>
      <t>，买再分歧卖再一致，</t>
    </r>
    <r>
      <rPr>
        <sz val="18"/>
        <color rgb="FFFF0000"/>
        <rFont val="等线"/>
        <family val="3"/>
        <charset val="134"/>
        <scheme val="minor"/>
      </rPr>
      <t>杂毛看龙头，龙头就是标准</t>
    </r>
    <phoneticPr fontId="1" type="noConversion"/>
  </si>
  <si>
    <t xml:space="preserve">https://data.eastmoney.com/stock/lhb/yyb/10657404.html  
</t>
    <phoneticPr fontId="1" type="noConversion"/>
  </si>
  <si>
    <t>龙虎榜</t>
    <phoneticPr fontId="1" type="noConversion"/>
  </si>
  <si>
    <t>能见度</t>
    <phoneticPr fontId="1" type="noConversion"/>
  </si>
  <si>
    <t xml:space="preserve">看着龙头做底位换手
</t>
    <phoneticPr fontId="1" type="noConversion"/>
  </si>
  <si>
    <t>1.封板力度
2.主流题材</t>
    <phoneticPr fontId="1" type="noConversion"/>
  </si>
  <si>
    <t>低于预期</t>
    <phoneticPr fontId="1" type="noConversion"/>
  </si>
  <si>
    <t>1.中位接力连扳确定性没有龙头高，博的是性价比
2.没有好机会错过就错过</t>
    <phoneticPr fontId="1" type="noConversion"/>
  </si>
  <si>
    <t>1.低于预期尽量微利出局
2.MA5止损</t>
    <phoneticPr fontId="1" type="noConversion"/>
  </si>
  <si>
    <t>1.龙头还能买吗
2.情绪分歧进场，有回流预期</t>
    <phoneticPr fontId="1" type="noConversion"/>
  </si>
  <si>
    <t>1.龙头能买吗？
2.市场情绪冰点进场，有回流预期</t>
    <phoneticPr fontId="1" type="noConversion"/>
  </si>
  <si>
    <t>套利型</t>
    <phoneticPr fontId="1" type="noConversion"/>
  </si>
  <si>
    <t>主升型</t>
    <phoneticPr fontId="1" type="noConversion"/>
  </si>
  <si>
    <t>1.龙头能买吗？
3.市场情绪冰点进场，有回流预期</t>
  </si>
  <si>
    <t>1.主流品种
2.主力承接意愿强</t>
    <phoneticPr fontId="1" type="noConversion"/>
  </si>
  <si>
    <t>1.避开退潮期和启动期，试错成本太高
2.龙头周期
3.疯狗浪</t>
    <phoneticPr fontId="1" type="noConversion"/>
  </si>
  <si>
    <t>龙头周期：启动（首板）、确认（二板定龙头，主流题材中最凶的）、发酵（3-5板，题材中有其他跟风）、加速（5-7板，缩量加速阶段）、分歧（8板开始放量、首阴，有短板需求）、反包、龙回头、衰退（盘顶）
一切二疯狗浪：
1.无脑怼龙头，就怕站错队，此时两极分化
2.周期一切二</t>
    <phoneticPr fontId="1" type="noConversion"/>
  </si>
  <si>
    <t>回调波段</t>
  </si>
  <si>
    <t>回调波段</t>
    <phoneticPr fontId="1" type="noConversion"/>
  </si>
  <si>
    <t>阴线的收盘价</t>
    <phoneticPr fontId="1" type="noConversion"/>
  </si>
  <si>
    <t>MA10</t>
    <phoneticPr fontId="1" type="noConversion"/>
  </si>
  <si>
    <t>阳线当天尾盘</t>
    <phoneticPr fontId="1" type="noConversion"/>
  </si>
  <si>
    <t>实体阴线包住倒T上引线</t>
    <phoneticPr fontId="1" type="noConversion"/>
  </si>
  <si>
    <t xml:space="preserve"> 5金叉10放倍量买</t>
    <phoneticPr fontId="1" type="noConversion"/>
  </si>
  <si>
    <t>60线拐头向上，鸭嘴缩量</t>
    <phoneticPr fontId="1" type="noConversion"/>
  </si>
  <si>
    <t>均线多头向上</t>
    <phoneticPr fontId="1" type="noConversion"/>
  </si>
  <si>
    <t>指标</t>
    <phoneticPr fontId="1" type="noConversion"/>
  </si>
  <si>
    <t>1.与大盘有共振，买在情绪冰点衰竭
2.高换手。</t>
    <phoneticPr fontId="1" type="noConversion"/>
  </si>
  <si>
    <t>辨识度高的首板或二板
不接一致再一致</t>
    <phoneticPr fontId="1" type="noConversion"/>
  </si>
  <si>
    <t>新能源</t>
    <phoneticPr fontId="1" type="noConversion"/>
  </si>
  <si>
    <t>汽车产业链</t>
    <phoneticPr fontId="1" type="noConversion"/>
  </si>
  <si>
    <t>矿场资源</t>
    <phoneticPr fontId="1" type="noConversion"/>
  </si>
  <si>
    <t>光伏产业链</t>
    <phoneticPr fontId="1" type="noConversion"/>
  </si>
  <si>
    <t>晶硅电池片</t>
  </si>
  <si>
    <t>HJT电池</t>
    <phoneticPr fontId="1" type="noConversion"/>
  </si>
  <si>
    <t>赣锋锂业</t>
    <phoneticPr fontId="1" type="noConversion"/>
  </si>
  <si>
    <t>西藏矿业</t>
    <phoneticPr fontId="1" type="noConversion"/>
  </si>
  <si>
    <t>宁德时代</t>
    <phoneticPr fontId="1" type="noConversion"/>
  </si>
  <si>
    <t>长安汽车</t>
    <phoneticPr fontId="1" type="noConversion"/>
  </si>
  <si>
    <t>比亚迪</t>
    <phoneticPr fontId="1" type="noConversion"/>
  </si>
  <si>
    <t>光伏组件（太阳能电池板）</t>
    <phoneticPr fontId="1" type="noConversion"/>
  </si>
  <si>
    <t xml:space="preserve">上游 </t>
    <phoneticPr fontId="1" type="noConversion"/>
  </si>
  <si>
    <t>多晶硅环节</t>
    <phoneticPr fontId="1" type="noConversion"/>
  </si>
  <si>
    <t>硅片环节</t>
    <phoneticPr fontId="1" type="noConversion"/>
  </si>
  <si>
    <t>中游</t>
    <phoneticPr fontId="1" type="noConversion"/>
  </si>
  <si>
    <t>光伏辅材</t>
    <phoneticPr fontId="1" type="noConversion"/>
  </si>
  <si>
    <t>下游</t>
    <phoneticPr fontId="1" type="noConversion"/>
  </si>
  <si>
    <t>逆变器</t>
    <phoneticPr fontId="1" type="noConversion"/>
  </si>
  <si>
    <t>发电系统</t>
    <phoneticPr fontId="1" type="noConversion"/>
  </si>
  <si>
    <t>光伏一体化</t>
    <phoneticPr fontId="1" type="noConversion"/>
  </si>
  <si>
    <t>大金重工</t>
    <phoneticPr fontId="1" type="noConversion"/>
  </si>
  <si>
    <t>金风科技</t>
    <phoneticPr fontId="1" type="noConversion"/>
  </si>
  <si>
    <t>储能</t>
    <phoneticPr fontId="1" type="noConversion"/>
  </si>
  <si>
    <t>物理储能</t>
    <phoneticPr fontId="1" type="noConversion"/>
  </si>
  <si>
    <t>抽水蓄能</t>
    <phoneticPr fontId="1" type="noConversion"/>
  </si>
  <si>
    <t>电器储能</t>
    <phoneticPr fontId="1" type="noConversion"/>
  </si>
  <si>
    <t>超级电容</t>
    <phoneticPr fontId="1" type="noConversion"/>
  </si>
  <si>
    <t>电化学储能</t>
    <phoneticPr fontId="1" type="noConversion"/>
  </si>
  <si>
    <t>电池</t>
    <phoneticPr fontId="1" type="noConversion"/>
  </si>
  <si>
    <t>电力运输</t>
    <phoneticPr fontId="1" type="noConversion"/>
  </si>
  <si>
    <t>特高压</t>
    <phoneticPr fontId="1" type="noConversion"/>
  </si>
  <si>
    <t>智慧电网</t>
    <phoneticPr fontId="1" type="noConversion"/>
  </si>
  <si>
    <t>汽车零部件和整车</t>
    <phoneticPr fontId="1" type="noConversion"/>
  </si>
  <si>
    <t>上游</t>
    <phoneticPr fontId="1" type="noConversion"/>
  </si>
  <si>
    <t>动力电池回收</t>
    <phoneticPr fontId="1" type="noConversion"/>
  </si>
  <si>
    <t>充电桩</t>
    <phoneticPr fontId="1" type="noConversion"/>
  </si>
  <si>
    <t>宝馨科技、神马电力</t>
    <phoneticPr fontId="1" type="noConversion"/>
  </si>
  <si>
    <t>振邦智能</t>
    <phoneticPr fontId="1" type="noConversion"/>
  </si>
  <si>
    <t>风光电储</t>
    <phoneticPr fontId="1" type="noConversion"/>
  </si>
  <si>
    <t>加速3</t>
    <phoneticPr fontId="1" type="noConversion"/>
  </si>
  <si>
    <t>10---11</t>
    <phoneticPr fontId="1" type="noConversion"/>
  </si>
  <si>
    <t>首阴</t>
  </si>
  <si>
    <t>&lt;发酵一致&gt;</t>
    <phoneticPr fontId="1" type="noConversion"/>
  </si>
  <si>
    <t>&lt;发酵分歧&gt;</t>
    <phoneticPr fontId="1" type="noConversion"/>
  </si>
  <si>
    <t>日丰股份</t>
  </si>
  <si>
    <t>风电+充电桩+高压快充</t>
  </si>
  <si>
    <t>赣能股份</t>
  </si>
  <si>
    <t>抽水蓄能+光伏+电力</t>
  </si>
  <si>
    <t>1.高开：预期回流说明强势容易上板，平开低开上板成本太高。预期分歧高开没有性价比，容易被核。
2.市场分化一致更容易胜出</t>
    <phoneticPr fontId="1" type="noConversion"/>
  </si>
  <si>
    <t>退1</t>
    <phoneticPr fontId="1" type="noConversion"/>
  </si>
  <si>
    <t>连扳总数：13</t>
    <phoneticPr fontId="1" type="noConversion"/>
  </si>
  <si>
    <t>英飞拓</t>
  </si>
  <si>
    <t>5G+智慧城市</t>
  </si>
  <si>
    <t>联合精密</t>
  </si>
  <si>
    <t>家电+新股</t>
  </si>
  <si>
    <t>SZ</t>
    <phoneticPr fontId="1" type="noConversion"/>
  </si>
  <si>
    <t>中天精装</t>
  </si>
  <si>
    <t>建筑装饰+精装修</t>
  </si>
  <si>
    <t>科力尔</t>
  </si>
  <si>
    <t>泰嘉股份</t>
  </si>
  <si>
    <t>消费电子</t>
  </si>
  <si>
    <t>山东章鼓</t>
  </si>
  <si>
    <t>储能+钠离子电池</t>
  </si>
  <si>
    <t>南方精工</t>
  </si>
  <si>
    <t>汽车零部件+芯片+机器人</t>
  </si>
  <si>
    <t>风电+中报预增</t>
  </si>
  <si>
    <t>大港股份</t>
  </si>
  <si>
    <t>半导体+汽车芯片</t>
  </si>
  <si>
    <t>德明利</t>
  </si>
  <si>
    <t>集成电路+新股</t>
  </si>
  <si>
    <t>攀钢钒钛</t>
  </si>
  <si>
    <t>钒电池+小金属</t>
  </si>
  <si>
    <t>建投能源</t>
  </si>
  <si>
    <t>光伏+电力</t>
  </si>
  <si>
    <t>京运通</t>
  </si>
  <si>
    <t>光伏+绿色电力</t>
  </si>
  <si>
    <t>代码</t>
  </si>
  <si>
    <t>流通市值</t>
  </si>
  <si>
    <t>涨停原因类别[20220704]</t>
  </si>
  <si>
    <t>连续涨停天数[20220704]</t>
  </si>
  <si>
    <t>SZ000543</t>
  </si>
  <si>
    <t>皖能电力</t>
  </si>
  <si>
    <t>超超临界发电+电力</t>
  </si>
  <si>
    <t>SZ000550</t>
  </si>
  <si>
    <t>江铃汽车</t>
  </si>
  <si>
    <t>SZ000629</t>
  </si>
  <si>
    <t>SZ000697</t>
  </si>
  <si>
    <t>炼石航空</t>
  </si>
  <si>
    <t>军工+大飞机</t>
  </si>
  <si>
    <t>SZ000702</t>
  </si>
  <si>
    <t>正虹科技</t>
  </si>
  <si>
    <t>猪肉</t>
  </si>
  <si>
    <t>SZ002100</t>
  </si>
  <si>
    <t>天康生物</t>
  </si>
  <si>
    <t>猪肉+养鸡</t>
  </si>
  <si>
    <t>SZ002090</t>
  </si>
  <si>
    <t>金智科技</t>
  </si>
  <si>
    <t>储能+智能电网</t>
  </si>
  <si>
    <t>SZ002124</t>
  </si>
  <si>
    <t>天邦食品</t>
  </si>
  <si>
    <t>SZ002145</t>
  </si>
  <si>
    <t>中核钛白</t>
  </si>
  <si>
    <t>钛白粉+锂电池</t>
  </si>
  <si>
    <t>SZ002348</t>
  </si>
  <si>
    <t>高乐股份</t>
  </si>
  <si>
    <t>玩具+教育</t>
  </si>
  <si>
    <t>SZ002407</t>
  </si>
  <si>
    <t>多氟多</t>
  </si>
  <si>
    <t>锂电池+比亚迪</t>
  </si>
  <si>
    <t>SZ002458</t>
  </si>
  <si>
    <t>益生股份</t>
  </si>
  <si>
    <t>SZ002553</t>
  </si>
  <si>
    <t>SZ002598</t>
  </si>
  <si>
    <t>SZ002714</t>
  </si>
  <si>
    <t>牧原股份</t>
  </si>
  <si>
    <t>SZ002800</t>
  </si>
  <si>
    <t>天顺股份</t>
  </si>
  <si>
    <t>物流</t>
  </si>
  <si>
    <t>SZ000600</t>
  </si>
  <si>
    <t>SZ002805</t>
  </si>
  <si>
    <t>丰元股份</t>
  </si>
  <si>
    <t>锂电池</t>
  </si>
  <si>
    <t>SZ000659</t>
  </si>
  <si>
    <t>珠海中富</t>
  </si>
  <si>
    <t>包装印刷</t>
  </si>
  <si>
    <t>SZ000876</t>
  </si>
  <si>
    <t>新 希 望</t>
  </si>
  <si>
    <t>食品加工+猪肉</t>
  </si>
  <si>
    <t>SZ000899</t>
  </si>
  <si>
    <t>SZ002840</t>
  </si>
  <si>
    <t>华统股份</t>
  </si>
  <si>
    <t>SZ002843</t>
  </si>
  <si>
    <t>SZ002028</t>
  </si>
  <si>
    <t>思源电气</t>
  </si>
  <si>
    <t>储能+特高压</t>
  </si>
  <si>
    <t>SZ002046</t>
  </si>
  <si>
    <t>国机精工</t>
  </si>
  <si>
    <t>培育钻石+风电+军工</t>
  </si>
  <si>
    <t>SZ002077</t>
  </si>
  <si>
    <t>SZ002068</t>
  </si>
  <si>
    <t>黑猫股份</t>
  </si>
  <si>
    <t>炭黑+PVDF概念</t>
  </si>
  <si>
    <t>SZ002157</t>
  </si>
  <si>
    <t>正邦科技</t>
  </si>
  <si>
    <t>猪肉+光伏</t>
  </si>
  <si>
    <t>SZ002219</t>
  </si>
  <si>
    <t>恒康医疗</t>
  </si>
  <si>
    <t>摘帽+重整+医疗服务</t>
  </si>
  <si>
    <t>SH600220</t>
  </si>
  <si>
    <t>江苏阳光</t>
  </si>
  <si>
    <t>光伏+纺织制造</t>
  </si>
  <si>
    <t>SH600438</t>
  </si>
  <si>
    <t>通威股份</t>
  </si>
  <si>
    <t>SZ002474</t>
  </si>
  <si>
    <t>榕基软件</t>
  </si>
  <si>
    <t>国产软件+智慧政务</t>
  </si>
  <si>
    <t>SZ002501</t>
  </si>
  <si>
    <t>利源精制</t>
  </si>
  <si>
    <t>摘帽+工业金属</t>
  </si>
  <si>
    <t>SZ002528</t>
  </si>
  <si>
    <t>SZ002567</t>
  </si>
  <si>
    <t>唐人神</t>
  </si>
  <si>
    <t>SZ002616</t>
  </si>
  <si>
    <t>长青集团</t>
  </si>
  <si>
    <t>电力</t>
  </si>
  <si>
    <t>SZ002548</t>
  </si>
  <si>
    <t>金新农</t>
  </si>
  <si>
    <t>SZ002642</t>
  </si>
  <si>
    <t>荣联科技</t>
  </si>
  <si>
    <t>SZ002667</t>
  </si>
  <si>
    <t>鞍重股份</t>
  </si>
  <si>
    <t>锂电池+高端装备</t>
  </si>
  <si>
    <t>SZ002696</t>
  </si>
  <si>
    <t>百洋股份</t>
  </si>
  <si>
    <t>饲料+预制菜</t>
  </si>
  <si>
    <t>SZ002765</t>
  </si>
  <si>
    <t>蓝黛科技</t>
  </si>
  <si>
    <t>新能源汽车+比亚迪</t>
  </si>
  <si>
    <t>SZ002838</t>
  </si>
  <si>
    <t>SH601908</t>
  </si>
  <si>
    <t>SH603050</t>
  </si>
  <si>
    <t>科林电气</t>
  </si>
  <si>
    <t>智能电网+储能+光伏</t>
  </si>
  <si>
    <t>SH603520</t>
  </si>
  <si>
    <t>司太立</t>
  </si>
  <si>
    <t>医药</t>
  </si>
  <si>
    <t>SZ300565</t>
  </si>
  <si>
    <t>科信技术</t>
  </si>
  <si>
    <t>通信设备+储能+锂电池</t>
  </si>
  <si>
    <t>SH600027</t>
  </si>
  <si>
    <t>华电国际</t>
  </si>
  <si>
    <t>电力+风电</t>
  </si>
  <si>
    <t>SH600129</t>
  </si>
  <si>
    <t>太极集团</t>
  </si>
  <si>
    <t>SH600200</t>
  </si>
  <si>
    <t>江苏吴中</t>
  </si>
  <si>
    <t>医药+猴痘+新冠治疗</t>
  </si>
  <si>
    <t>SH600517</t>
  </si>
  <si>
    <t>国网英大</t>
  </si>
  <si>
    <t>储能+钒电池</t>
  </si>
  <si>
    <t>SH600477</t>
  </si>
  <si>
    <t>杭萧钢构</t>
  </si>
  <si>
    <t>HJT电池+建筑装饰</t>
  </si>
  <si>
    <t>SH600818</t>
  </si>
  <si>
    <t>中路股份</t>
  </si>
  <si>
    <t>两轮车+共享单车</t>
  </si>
  <si>
    <t>SH603638</t>
  </si>
  <si>
    <t>艾迪精密</t>
  </si>
  <si>
    <t>机器人+工程机械</t>
  </si>
  <si>
    <t>SH603868</t>
  </si>
  <si>
    <t>飞科电器</t>
  </si>
  <si>
    <t>家用电器</t>
  </si>
  <si>
    <t>SZ000968</t>
  </si>
  <si>
    <t>蓝焰控股</t>
  </si>
  <si>
    <t>油服+天然气</t>
  </si>
  <si>
    <t>SH603938</t>
  </si>
  <si>
    <t>三孚股份</t>
  </si>
  <si>
    <t>中报预增+有机硅</t>
  </si>
  <si>
    <t>SH603978</t>
  </si>
  <si>
    <t>深圳新星</t>
  </si>
  <si>
    <t>锂电池+PVDF</t>
  </si>
  <si>
    <t>SZ002892</t>
  </si>
  <si>
    <t>SH603127</t>
  </si>
  <si>
    <t>昭衍新药</t>
  </si>
  <si>
    <t>医疗服务</t>
  </si>
  <si>
    <t>SH603363</t>
  </si>
  <si>
    <t>傲农生物</t>
  </si>
  <si>
    <t>SH603103</t>
  </si>
  <si>
    <t>横店影视</t>
  </si>
  <si>
    <t>影视传媒</t>
  </si>
  <si>
    <t>SH603477</t>
  </si>
  <si>
    <t>巨星农牧</t>
  </si>
  <si>
    <t>猪肉+养鸡+皮革</t>
  </si>
  <si>
    <t>SZ002922</t>
  </si>
  <si>
    <t>伊戈尔</t>
  </si>
  <si>
    <t>光伏+华为+充电桩</t>
  </si>
  <si>
    <t>SH603706</t>
  </si>
  <si>
    <t>东方环宇</t>
  </si>
  <si>
    <t>燃气+天然气</t>
  </si>
  <si>
    <t>SH603867</t>
  </si>
  <si>
    <t>新化股份</t>
  </si>
  <si>
    <t>磷化工+盐湖提锂</t>
  </si>
  <si>
    <t>SZ002965</t>
  </si>
  <si>
    <t>祥鑫科技</t>
  </si>
  <si>
    <t>新能源汽车+光伏</t>
  </si>
  <si>
    <t>SH688189</t>
  </si>
  <si>
    <t>南新制药</t>
  </si>
  <si>
    <t>SZ002989</t>
  </si>
  <si>
    <t>SZ003022</t>
  </si>
  <si>
    <t>联泓新科</t>
  </si>
  <si>
    <t>光伏+锂电池</t>
  </si>
  <si>
    <t>SH688676</t>
  </si>
  <si>
    <t>金盘科技</t>
  </si>
  <si>
    <t>储能+光伏</t>
  </si>
  <si>
    <t>SZ300990</t>
  </si>
  <si>
    <t>同飞股份</t>
  </si>
  <si>
    <t>储能+新能源汽车</t>
  </si>
  <si>
    <t>SH605319</t>
  </si>
  <si>
    <t>无锡振华</t>
  </si>
  <si>
    <t>汽车零部件+特斯拉</t>
  </si>
  <si>
    <t>SH688071</t>
  </si>
  <si>
    <t>华依科技</t>
  </si>
  <si>
    <t>新能源汽车+次新股</t>
  </si>
  <si>
    <t>SH603122</t>
  </si>
  <si>
    <t>合富中国</t>
  </si>
  <si>
    <t>次新股+医药商业+新冠检测</t>
  </si>
  <si>
    <t>SZ001268</t>
  </si>
  <si>
    <t>SZ001309</t>
  </si>
  <si>
    <t>风电+中报预增</t>
    <phoneticPr fontId="1" type="noConversion"/>
  </si>
  <si>
    <t>涨停原因类别[20220705]</t>
  </si>
  <si>
    <t>连续涨停天数[20220705]</t>
  </si>
  <si>
    <t>饲料+预制菜+水产</t>
  </si>
  <si>
    <t>三胎+玩具+在线教育</t>
  </si>
  <si>
    <t>SZ002953</t>
  </si>
  <si>
    <t>SZ002902</t>
  </si>
  <si>
    <t>SZ002735</t>
  </si>
  <si>
    <t>王子新材</t>
  </si>
  <si>
    <t>军工+包装+消费电子</t>
  </si>
  <si>
    <t>SZ002721</t>
  </si>
  <si>
    <t>金一文化</t>
  </si>
  <si>
    <t>黄金</t>
  </si>
  <si>
    <t>SZ002397</t>
  </si>
  <si>
    <t>梦洁股份</t>
  </si>
  <si>
    <t>控制权拟变更+纺织服饰</t>
  </si>
  <si>
    <t>SZ002356</t>
  </si>
  <si>
    <t>赫美集团</t>
  </si>
  <si>
    <t>摘帽+零售</t>
  </si>
  <si>
    <t>SZ002308</t>
  </si>
  <si>
    <t>威创股份</t>
  </si>
  <si>
    <t>国产软件+三胎概念</t>
  </si>
  <si>
    <t>SZ002297</t>
  </si>
  <si>
    <t>博云新材</t>
  </si>
  <si>
    <t>大飞机+军工</t>
  </si>
  <si>
    <t>SZ002289</t>
  </si>
  <si>
    <t>宇顺电子</t>
  </si>
  <si>
    <t>消费电子+柔性屏</t>
  </si>
  <si>
    <t>SZ002280</t>
  </si>
  <si>
    <t>联络互动</t>
  </si>
  <si>
    <t>互联网电商+跨境电商</t>
  </si>
  <si>
    <t>SZ002144</t>
  </si>
  <si>
    <t>宏达高科</t>
  </si>
  <si>
    <t>纺织制造+医疗器械+汽车内饰</t>
  </si>
  <si>
    <t>SZ000933</t>
  </si>
  <si>
    <t>神火股份</t>
  </si>
  <si>
    <t>煤炭+铝</t>
  </si>
  <si>
    <t>SZ000822</t>
  </si>
  <si>
    <t>山东海化</t>
  </si>
  <si>
    <t>纯碱+污水处理</t>
  </si>
  <si>
    <t>SZ000709</t>
  </si>
  <si>
    <t>河钢股份</t>
  </si>
  <si>
    <t>钒电池+钢铁</t>
  </si>
  <si>
    <t>SZ000545</t>
  </si>
  <si>
    <t>金浦钛业</t>
  </si>
  <si>
    <t>钒电池+钛白粉</t>
  </si>
  <si>
    <t>特  力Ａ</t>
  </si>
  <si>
    <t>汽车服务+珠宝</t>
  </si>
  <si>
    <t>SH605128</t>
  </si>
  <si>
    <t>上海沿浦</t>
  </si>
  <si>
    <t>汽车零部件+高铁</t>
  </si>
  <si>
    <t>SH603955</t>
  </si>
  <si>
    <t>大千生态</t>
  </si>
  <si>
    <t>基建+旅游</t>
  </si>
  <si>
    <t>SH603185</t>
  </si>
  <si>
    <t>上机数控</t>
  </si>
  <si>
    <t>工业母机+光伏</t>
  </si>
  <si>
    <t>SH603067</t>
  </si>
  <si>
    <t>振华股份</t>
  </si>
  <si>
    <t>钒电池+化学原料</t>
  </si>
  <si>
    <t>SH601727</t>
  </si>
  <si>
    <t>上海电气</t>
  </si>
  <si>
    <t>钒电池+机器人+电力设备</t>
  </si>
  <si>
    <t>SH600992</t>
  </si>
  <si>
    <t>贵绳股份</t>
  </si>
  <si>
    <t>军工+国产航母</t>
  </si>
  <si>
    <t>SH600956</t>
  </si>
  <si>
    <t>新天绿能</t>
  </si>
  <si>
    <t>钒电池+风电+光伏</t>
  </si>
  <si>
    <t>SH600935</t>
  </si>
  <si>
    <t>华塑股份</t>
  </si>
  <si>
    <t>有机硅+PVC+纯碱</t>
  </si>
  <si>
    <t>SH600863</t>
  </si>
  <si>
    <t>内蒙华电</t>
  </si>
  <si>
    <t>超超临界发电+电力+风电</t>
  </si>
  <si>
    <t>SH600686</t>
  </si>
  <si>
    <t>金龙汽车</t>
  </si>
  <si>
    <t>汽车整车+露营经济</t>
  </si>
  <si>
    <t>SH600630</t>
  </si>
  <si>
    <t>龙头股份</t>
  </si>
  <si>
    <t>纺织服饰</t>
  </si>
  <si>
    <t>SH600470</t>
  </si>
  <si>
    <t>六国化工</t>
  </si>
  <si>
    <t>磷化工+化肥</t>
  </si>
  <si>
    <t>SH600157</t>
  </si>
  <si>
    <t>永泰能源</t>
  </si>
  <si>
    <t>中报预增+电力+煤炭</t>
  </si>
  <si>
    <t>涨停原因类别[20220706]</t>
  </si>
  <si>
    <t>连续涨停天数[20220706]</t>
  </si>
  <si>
    <t>智能电网+储能</t>
  </si>
  <si>
    <t>军工+锂电池</t>
  </si>
  <si>
    <t>纺织制造+汽车内饰</t>
  </si>
  <si>
    <t>SZ300840</t>
  </si>
  <si>
    <t>酷特智能</t>
  </si>
  <si>
    <t>纺织服饰+工业互联网</t>
  </si>
  <si>
    <t>SZ300802</t>
  </si>
  <si>
    <t>矩子科技</t>
  </si>
  <si>
    <t>机器人+机器视觉</t>
  </si>
  <si>
    <t>SZ003043</t>
  </si>
  <si>
    <t>华亚智能</t>
  </si>
  <si>
    <t>半导体+储能</t>
  </si>
  <si>
    <t>SZ003031</t>
  </si>
  <si>
    <t>中瓷电子</t>
  </si>
  <si>
    <t>5G+军工</t>
  </si>
  <si>
    <t>SZ002992</t>
  </si>
  <si>
    <t>宝明科技</t>
  </si>
  <si>
    <t>车载背光源+MiniLED+消费电子</t>
  </si>
  <si>
    <t>SZ002979</t>
  </si>
  <si>
    <t>雷赛智能</t>
  </si>
  <si>
    <t>SZ002896</t>
  </si>
  <si>
    <t>中大力德</t>
  </si>
  <si>
    <t>SZ002885</t>
  </si>
  <si>
    <t>京泉华</t>
  </si>
  <si>
    <t>光伏+新能源汽车</t>
  </si>
  <si>
    <t>SZ002813</t>
  </si>
  <si>
    <t>路畅科技</t>
  </si>
  <si>
    <t>汽车零部件+汽车电子</t>
  </si>
  <si>
    <t>SZ002589</t>
  </si>
  <si>
    <t>瑞康医药</t>
  </si>
  <si>
    <t>新冠预防药+医药商业</t>
  </si>
  <si>
    <t>SZ002577</t>
  </si>
  <si>
    <t>雷柏科技</t>
  </si>
  <si>
    <t>机器人+消费电子</t>
  </si>
  <si>
    <t>SZ002512</t>
  </si>
  <si>
    <t>达华智能</t>
  </si>
  <si>
    <t>物联网+智慧城市</t>
  </si>
  <si>
    <t>SZ002362</t>
  </si>
  <si>
    <t>汉王科技</t>
  </si>
  <si>
    <t>机器人+人工智能</t>
  </si>
  <si>
    <t>SZ002031</t>
  </si>
  <si>
    <t>机器人+工业母机</t>
  </si>
  <si>
    <t>SZ001896</t>
  </si>
  <si>
    <t>豫能控股</t>
  </si>
  <si>
    <t>电力+抽水蓄能</t>
  </si>
  <si>
    <t>SZ000816</t>
  </si>
  <si>
    <t>智慧农业</t>
  </si>
  <si>
    <t>盐湖提锂+农机</t>
  </si>
  <si>
    <t>SZ000755</t>
  </si>
  <si>
    <t>山西路桥</t>
  </si>
  <si>
    <t>交通运输</t>
  </si>
  <si>
    <t>SZ000633</t>
  </si>
  <si>
    <t>合金投资</t>
  </si>
  <si>
    <t>中报预增+新材料</t>
  </si>
  <si>
    <t>SZ000584</t>
  </si>
  <si>
    <t>哈工智能</t>
  </si>
  <si>
    <t>机器人概念+新能源汽车</t>
  </si>
  <si>
    <t>SH688290</t>
  </si>
  <si>
    <t>景业智能</t>
  </si>
  <si>
    <t>中报预增+机器人+次新股+军工</t>
  </si>
  <si>
    <t>SH688218</t>
  </si>
  <si>
    <t>江苏北人</t>
  </si>
  <si>
    <t>SH688206</t>
  </si>
  <si>
    <t>概伦电子</t>
  </si>
  <si>
    <t>半导体+次新股</t>
  </si>
  <si>
    <t>SH605333</t>
  </si>
  <si>
    <t>沪光股份</t>
  </si>
  <si>
    <t>汽车零部件</t>
  </si>
  <si>
    <t>SH605178</t>
  </si>
  <si>
    <t>时空科技</t>
  </si>
  <si>
    <t>智慧城市+节能照明</t>
  </si>
  <si>
    <t>SH605056</t>
  </si>
  <si>
    <t>咸亨国际</t>
  </si>
  <si>
    <t>机器人+储能</t>
  </si>
  <si>
    <t>SH603969</t>
  </si>
  <si>
    <t>银龙股份</t>
  </si>
  <si>
    <t>钒电池+基建</t>
  </si>
  <si>
    <t>SH603929</t>
  </si>
  <si>
    <t>亚翔集成</t>
  </si>
  <si>
    <t>集成电路+中芯国际</t>
  </si>
  <si>
    <t>SH603893</t>
  </si>
  <si>
    <t>瑞芯微</t>
  </si>
  <si>
    <t>半导体+芯片</t>
  </si>
  <si>
    <t>SH603348</t>
  </si>
  <si>
    <t>文灿股份</t>
  </si>
  <si>
    <t>比亚迪+汽车零部件</t>
  </si>
  <si>
    <t>SH603239</t>
  </si>
  <si>
    <t>浙江仙通</t>
  </si>
  <si>
    <t>SH603229</t>
  </si>
  <si>
    <t>奥翔药业</t>
  </si>
  <si>
    <t>医药-新冠治疗</t>
  </si>
  <si>
    <t>SH603129</t>
  </si>
  <si>
    <t>春风动力</t>
  </si>
  <si>
    <t>两轮车</t>
  </si>
  <si>
    <t>SH603085</t>
  </si>
  <si>
    <t>天成自控</t>
  </si>
  <si>
    <t>SH603011</t>
  </si>
  <si>
    <t>合锻智能</t>
  </si>
  <si>
    <t>机器视觉+高端装备</t>
  </si>
  <si>
    <t>SH601956</t>
  </si>
  <si>
    <t>东贝集团</t>
  </si>
  <si>
    <t>中报预增+家电+光伏</t>
  </si>
  <si>
    <t>SH600811</t>
  </si>
  <si>
    <t>东方集团</t>
  </si>
  <si>
    <t>农产品加工+玉米</t>
  </si>
  <si>
    <t>SH600255</t>
  </si>
  <si>
    <t>鑫科材料</t>
  </si>
  <si>
    <t>新型电池产业园+实控人变更</t>
  </si>
  <si>
    <t>SH600062</t>
  </si>
  <si>
    <t>华润双鹤</t>
  </si>
  <si>
    <t>医药+新冠治疗</t>
  </si>
  <si>
    <t>x</t>
    <phoneticPr fontId="1" type="noConversion"/>
  </si>
  <si>
    <t>抽水蓄能+光伏+电力</t>
    <phoneticPr fontId="1" type="noConversion"/>
  </si>
  <si>
    <t>家电+新股</t>
    <phoneticPr fontId="1" type="noConversion"/>
  </si>
  <si>
    <t>涨停原因类别[20220707]</t>
  </si>
  <si>
    <t>连续涨停天数[20220707]</t>
  </si>
  <si>
    <t>SZ000055</t>
  </si>
  <si>
    <t>方大集团</t>
  </si>
  <si>
    <t>建筑材料+光伏</t>
  </si>
  <si>
    <t>SZ000400</t>
  </si>
  <si>
    <t>许继电气</t>
  </si>
  <si>
    <t>SZ000546</t>
  </si>
  <si>
    <t>金圆股份</t>
  </si>
  <si>
    <t>--</t>
  </si>
  <si>
    <t>SZ000751</t>
  </si>
  <si>
    <t>锌业股份</t>
  </si>
  <si>
    <t>有色金属</t>
  </si>
  <si>
    <t>SZ002012</t>
  </si>
  <si>
    <t>凯恩股份</t>
  </si>
  <si>
    <t>造纸+锂电池+储能</t>
  </si>
  <si>
    <t>SZ002256</t>
  </si>
  <si>
    <t>兆新股份</t>
  </si>
  <si>
    <t>锂电池+锌溴储能电池</t>
  </si>
  <si>
    <t>SZ002161</t>
  </si>
  <si>
    <t>远 望 谷</t>
  </si>
  <si>
    <t>电子身份证+物联网</t>
  </si>
  <si>
    <t>电子身份证+人工智能</t>
  </si>
  <si>
    <t>SZ002514</t>
  </si>
  <si>
    <t>宝馨科技</t>
  </si>
  <si>
    <t>SZ002523</t>
  </si>
  <si>
    <t>天桥起重</t>
  </si>
  <si>
    <t>机器人+风电</t>
  </si>
  <si>
    <t>SZ002606</t>
  </si>
  <si>
    <t>大连电瓷</t>
  </si>
  <si>
    <t>特高压</t>
  </si>
  <si>
    <t>SZ002621</t>
  </si>
  <si>
    <t>美吉姆</t>
  </si>
  <si>
    <t>教育+三胎</t>
  </si>
  <si>
    <t>SZ002649</t>
  </si>
  <si>
    <t>博彦科技</t>
  </si>
  <si>
    <t>数字货币+互联网金融</t>
  </si>
  <si>
    <t>SZ002806</t>
  </si>
  <si>
    <t>华锋股份</t>
  </si>
  <si>
    <t>无人驾驶+储能+快充+铝箔</t>
  </si>
  <si>
    <t>SZ002825</t>
  </si>
  <si>
    <t>纳尔股份</t>
  </si>
  <si>
    <t>中报预增+塑料</t>
  </si>
  <si>
    <t>SZ002837</t>
  </si>
  <si>
    <t>英维克</t>
  </si>
  <si>
    <t>储能+数据中心</t>
  </si>
  <si>
    <t>SZ000922</t>
  </si>
  <si>
    <t>佳电股份</t>
  </si>
  <si>
    <t>SZ000868</t>
  </si>
  <si>
    <t>安凯客车</t>
  </si>
  <si>
    <t>汽车整车+无人驾驶</t>
  </si>
  <si>
    <t>SZ300274</t>
  </si>
  <si>
    <t>阳光电源</t>
  </si>
  <si>
    <t>光伏+储能</t>
  </si>
  <si>
    <t>SZ002074</t>
  </si>
  <si>
    <t>国轩高科</t>
  </si>
  <si>
    <t>锂电池+储能</t>
  </si>
  <si>
    <t>SZ002073</t>
  </si>
  <si>
    <t>软控股份</t>
  </si>
  <si>
    <t>机器人+橡胶软件</t>
  </si>
  <si>
    <t>SZ002039</t>
  </si>
  <si>
    <t>黔源电力</t>
  </si>
  <si>
    <t>中报预增+电力</t>
  </si>
  <si>
    <t>SZ002101</t>
  </si>
  <si>
    <t>广东鸿图</t>
  </si>
  <si>
    <t>汽车零部件+一体化压铸</t>
  </si>
  <si>
    <t>SZ002114</t>
  </si>
  <si>
    <t>罗平锌电</t>
  </si>
  <si>
    <t>有色金属+磷化工</t>
  </si>
  <si>
    <t>SZ002126</t>
  </si>
  <si>
    <t>银轮股份</t>
  </si>
  <si>
    <t>汽车零部件+汽车热管理</t>
  </si>
  <si>
    <t>SH600166</t>
  </si>
  <si>
    <t>福田汽车</t>
  </si>
  <si>
    <t>汽车整车+华为汽车</t>
  </si>
  <si>
    <t>SH600149</t>
  </si>
  <si>
    <t>廊坊发展</t>
  </si>
  <si>
    <t>电力+房地产+恒大</t>
  </si>
  <si>
    <t>SH600251</t>
  </si>
  <si>
    <t>冠农股份</t>
  </si>
  <si>
    <t>农产品加工+化肥</t>
  </si>
  <si>
    <t>SZ002272</t>
  </si>
  <si>
    <t>川润股份</t>
  </si>
  <si>
    <t>工程机械+超超临界发电</t>
  </si>
  <si>
    <t>SZ002324</t>
  </si>
  <si>
    <t>普利特</t>
  </si>
  <si>
    <t>锂电池+半导体</t>
  </si>
  <si>
    <t>SZ002338</t>
  </si>
  <si>
    <t>奥普光电</t>
  </si>
  <si>
    <t>军工+机器视觉</t>
  </si>
  <si>
    <t>SZ002333</t>
  </si>
  <si>
    <t>罗普斯金</t>
  </si>
  <si>
    <t>建筑材料+光伏建筑一体化</t>
  </si>
  <si>
    <t>SH600343</t>
  </si>
  <si>
    <t>航天动力</t>
  </si>
  <si>
    <t>SH600355</t>
  </si>
  <si>
    <t>精伦电子</t>
  </si>
  <si>
    <t>电子身份证</t>
  </si>
  <si>
    <t>SZ002388</t>
  </si>
  <si>
    <t>新亚制程</t>
  </si>
  <si>
    <t>有机硅+新材料</t>
  </si>
  <si>
    <t>SH600393</t>
  </si>
  <si>
    <t>粤泰股份</t>
  </si>
  <si>
    <t>房地产</t>
  </si>
  <si>
    <t>SH600523</t>
  </si>
  <si>
    <t>贵航股份</t>
  </si>
  <si>
    <t>汽车零部件+军工</t>
  </si>
  <si>
    <t>SH600579</t>
  </si>
  <si>
    <t>克劳斯</t>
  </si>
  <si>
    <t>机器人+工业4.0</t>
  </si>
  <si>
    <t>物联网</t>
  </si>
  <si>
    <t>SH600784</t>
  </si>
  <si>
    <t>鲁银投资</t>
  </si>
  <si>
    <t>SZ002808</t>
  </si>
  <si>
    <t>恒久科技</t>
  </si>
  <si>
    <t>燃料电池+光学光电子+网络安全</t>
  </si>
  <si>
    <t>SH600896</t>
  </si>
  <si>
    <t>退市海医</t>
  </si>
  <si>
    <t>退市整理期</t>
  </si>
  <si>
    <t>SH601799</t>
  </si>
  <si>
    <t>星宇股份</t>
  </si>
  <si>
    <t>SH603585</t>
  </si>
  <si>
    <t>苏利股份</t>
  </si>
  <si>
    <t>农药</t>
  </si>
  <si>
    <t>SZ300260</t>
  </si>
  <si>
    <t>新莱应材</t>
  </si>
  <si>
    <t>中报预增+半导体</t>
  </si>
  <si>
    <t>SH600218</t>
  </si>
  <si>
    <t>全柴动力</t>
  </si>
  <si>
    <t>汽车零部件+氢能源</t>
  </si>
  <si>
    <t>SH600236</t>
  </si>
  <si>
    <t>桂冠电力</t>
  </si>
  <si>
    <t>SH600869</t>
  </si>
  <si>
    <t>远东股份</t>
  </si>
  <si>
    <t>SH601137</t>
  </si>
  <si>
    <t>博威合金</t>
  </si>
  <si>
    <t>SH603015</t>
  </si>
  <si>
    <t>弘讯科技</t>
  </si>
  <si>
    <t>机器人+光伏+储能</t>
  </si>
  <si>
    <t>SH603612</t>
  </si>
  <si>
    <t>索通发展</t>
  </si>
  <si>
    <t>锂电池+石墨电极</t>
  </si>
  <si>
    <t>SZ002893</t>
  </si>
  <si>
    <t>华通热力</t>
  </si>
  <si>
    <t>SH603527</t>
  </si>
  <si>
    <t>众源新材</t>
  </si>
  <si>
    <t>其它</t>
  </si>
  <si>
    <t>SH603386</t>
  </si>
  <si>
    <t>DR骏亚科</t>
  </si>
  <si>
    <t>汽车电子+PCB概念</t>
  </si>
  <si>
    <t>SH603917</t>
  </si>
  <si>
    <t>合力科技</t>
  </si>
  <si>
    <t>SH603105</t>
  </si>
  <si>
    <t>芯能科技</t>
  </si>
  <si>
    <t>中报预增+汽车热管理+新能源汽车</t>
  </si>
  <si>
    <t>SZ002970</t>
  </si>
  <si>
    <t>锐明技术</t>
  </si>
  <si>
    <t>汽车电子+车联网+无人驾驶</t>
  </si>
  <si>
    <t>SH601702</t>
  </si>
  <si>
    <t>华峰铝业</t>
  </si>
  <si>
    <t>新能源汽车+工业金属</t>
  </si>
  <si>
    <t>SZ300978</t>
  </si>
  <si>
    <t>东箭科技</t>
  </si>
  <si>
    <t>涨停原因类别[20220708]</t>
  </si>
  <si>
    <t>连续涨停天数[20220708]</t>
  </si>
  <si>
    <t>光伏+机器人+储能</t>
  </si>
  <si>
    <t>汽车零部件+车联网</t>
  </si>
  <si>
    <t>智能电网+特高压</t>
  </si>
  <si>
    <t>举牌+光伏+HJT电池</t>
  </si>
  <si>
    <t>建筑材料+苹果+有色铝</t>
  </si>
  <si>
    <t>超超临界发电+工程机械</t>
  </si>
  <si>
    <t>SZ301091</t>
  </si>
  <si>
    <t>深城交</t>
  </si>
  <si>
    <t>智能交通+无人驾驶+车联网</t>
  </si>
  <si>
    <t>SZ300882</t>
  </si>
  <si>
    <t>万胜智能</t>
  </si>
  <si>
    <t>SZ003021</t>
  </si>
  <si>
    <t>兆威机电</t>
  </si>
  <si>
    <t>机器人+新能源汽车</t>
  </si>
  <si>
    <t>SZ002967</t>
  </si>
  <si>
    <t>广电计量</t>
  </si>
  <si>
    <t>中报扭亏+计量服务</t>
  </si>
  <si>
    <t>SZ002888</t>
  </si>
  <si>
    <t>惠威科技</t>
  </si>
  <si>
    <t>SZ002876</t>
  </si>
  <si>
    <t>三利谱</t>
  </si>
  <si>
    <t>虚拟现实+光学光电子</t>
  </si>
  <si>
    <t>SZ002869</t>
  </si>
  <si>
    <t>金溢科技</t>
  </si>
  <si>
    <t>智能交通+ETC</t>
  </si>
  <si>
    <t>SZ002868</t>
  </si>
  <si>
    <t>绿康生化</t>
  </si>
  <si>
    <t>兽药+宠物经济</t>
  </si>
  <si>
    <t>SZ002766</t>
  </si>
  <si>
    <t>索菱股份</t>
  </si>
  <si>
    <t>汽车零部件+无人驾驶</t>
  </si>
  <si>
    <t>SZ002547</t>
  </si>
  <si>
    <t>春兴精工</t>
  </si>
  <si>
    <t>新能源汽车+消费电子</t>
  </si>
  <si>
    <t>SZ002530</t>
  </si>
  <si>
    <t>金财互联</t>
  </si>
  <si>
    <t>国产软件+财税服务+热处理</t>
  </si>
  <si>
    <t>SZ002527</t>
  </si>
  <si>
    <t>新时达</t>
  </si>
  <si>
    <t>SZ002526</t>
  </si>
  <si>
    <t>山东矿机</t>
  </si>
  <si>
    <t>机器人+游戏</t>
  </si>
  <si>
    <t>SZ002435</t>
  </si>
  <si>
    <t>长江健康</t>
  </si>
  <si>
    <t>医药+三胎概念</t>
  </si>
  <si>
    <t>SZ002421</t>
  </si>
  <si>
    <t>达实智能</t>
  </si>
  <si>
    <t>机器人+无人驾驶</t>
  </si>
  <si>
    <t>SZ002339</t>
  </si>
  <si>
    <t>积成电子</t>
  </si>
  <si>
    <t>中报预增+节能照明+机器人</t>
  </si>
  <si>
    <t>立达信</t>
  </si>
  <si>
    <t>SH605365</t>
  </si>
  <si>
    <t>轨交设备</t>
  </si>
  <si>
    <t>必得科技</t>
  </si>
  <si>
    <t>SH605298</t>
  </si>
  <si>
    <t>汽车电子</t>
  </si>
  <si>
    <t>协和电子</t>
  </si>
  <si>
    <t>SH605258</t>
  </si>
  <si>
    <t>汽车轻量化+一体化压铸+汽车物流</t>
  </si>
  <si>
    <t>福然德</t>
  </si>
  <si>
    <t>SH605050</t>
  </si>
  <si>
    <t>新能源汽车+储能+锂电池</t>
  </si>
  <si>
    <t>天永智能</t>
  </si>
  <si>
    <t>SH603895</t>
  </si>
  <si>
    <t>中报预增+物流</t>
  </si>
  <si>
    <t>上海雅仕</t>
  </si>
  <si>
    <t>SH603329</t>
  </si>
  <si>
    <t>啤酒</t>
  </si>
  <si>
    <t>乐惠国际</t>
  </si>
  <si>
    <t>SH603076</t>
  </si>
  <si>
    <t>电力设备+电机</t>
  </si>
  <si>
    <t>中电电机</t>
  </si>
  <si>
    <t>SH603988</t>
  </si>
  <si>
    <t>秦安股份</t>
  </si>
  <si>
    <t>SH603758</t>
  </si>
  <si>
    <t>元成股份</t>
  </si>
  <si>
    <t>SH603388</t>
  </si>
  <si>
    <t>北特科技</t>
  </si>
  <si>
    <t>SH603009</t>
  </si>
  <si>
    <t>燃料油+IDC</t>
  </si>
  <si>
    <t>龙宇燃油</t>
  </si>
  <si>
    <t>SH603003</t>
  </si>
  <si>
    <t>浙大网新</t>
  </si>
  <si>
    <t>SH600797</t>
  </si>
  <si>
    <t>集成电路+机器人</t>
  </si>
  <si>
    <t>文一科技</t>
  </si>
  <si>
    <t>SH600520</t>
  </si>
  <si>
    <t>智能电网+光伏</t>
  </si>
  <si>
    <t>长城电工</t>
  </si>
  <si>
    <t>SH600192</t>
  </si>
  <si>
    <t>机器人+工业机器人</t>
  </si>
  <si>
    <t>泰禾智能</t>
  </si>
  <si>
    <t>SH603656</t>
  </si>
  <si>
    <t>储能+锂电池</t>
  </si>
  <si>
    <t>科力远</t>
  </si>
  <si>
    <t>SH600478</t>
  </si>
  <si>
    <t>食品加工+预制菜</t>
  </si>
  <si>
    <t>三全食品</t>
  </si>
  <si>
    <t>SZ002216</t>
  </si>
  <si>
    <t>纺织服饰+外贸</t>
  </si>
  <si>
    <t>孚日股份</t>
  </si>
  <si>
    <t>SZ002083</t>
  </si>
  <si>
    <t>元宇宙+建筑装饰</t>
  </si>
  <si>
    <t>宝鹰股份</t>
  </si>
  <si>
    <t>SZ002047</t>
  </si>
  <si>
    <t>消费电子+虚拟现实+元宇宙</t>
  </si>
  <si>
    <t>国光电器</t>
  </si>
  <si>
    <t>SZ002045</t>
  </si>
  <si>
    <t>光伏+电力+养老</t>
  </si>
  <si>
    <t>湖南发展</t>
  </si>
  <si>
    <t>SZ000722</t>
  </si>
  <si>
    <t>电力+储能</t>
  </si>
  <si>
    <t>粤电力Ａ</t>
  </si>
  <si>
    <t>SZ000539</t>
  </si>
  <si>
    <t>半年报增长+建筑材料</t>
  </si>
  <si>
    <t>瑞泰科技</t>
  </si>
  <si>
    <t>SZ002066</t>
  </si>
  <si>
    <t>化肥+医药</t>
  </si>
  <si>
    <t>河化股份</t>
  </si>
  <si>
    <t>SZ000953</t>
  </si>
  <si>
    <t>元宇宙+广告营销</t>
  </si>
  <si>
    <t>智度股份</t>
  </si>
  <si>
    <t>SZ000676</t>
  </si>
  <si>
    <t>抽水蓄能+充电桩+智能电网</t>
  </si>
  <si>
    <t>顺钠股份</t>
  </si>
  <si>
    <t>SZ000533</t>
  </si>
  <si>
    <t>家电+汽车热管理</t>
  </si>
  <si>
    <t>长虹华意</t>
  </si>
  <si>
    <t>SZ000404</t>
  </si>
  <si>
    <t>涨停类型</t>
  </si>
  <si>
    <t>涨停封成比%[20220708]</t>
  </si>
  <si>
    <t>换手率%[20220708]</t>
  </si>
  <si>
    <t>换手板</t>
  </si>
  <si>
    <t>T字板</t>
  </si>
  <si>
    <t>一字板</t>
  </si>
  <si>
    <t>智能电网+高压快充+虚拟电厂</t>
  </si>
  <si>
    <t>国产软件+大数据+虚拟电厂</t>
  </si>
  <si>
    <t>智能电网+虚拟电厂</t>
  </si>
  <si>
    <t>SH600056</t>
  </si>
  <si>
    <t>中国医药</t>
  </si>
  <si>
    <t>SZ000965</t>
  </si>
  <si>
    <t>天保基建</t>
  </si>
  <si>
    <t>SZ000736</t>
  </si>
  <si>
    <t>中交地产</t>
  </si>
  <si>
    <t>SZ000595</t>
  </si>
  <si>
    <t>宝塔实业</t>
  </si>
  <si>
    <t>SZ000151</t>
  </si>
  <si>
    <t>中成股份</t>
  </si>
  <si>
    <t>SZ002866</t>
  </si>
  <si>
    <t>SZ002454</t>
  </si>
  <si>
    <t>松芝股份</t>
  </si>
  <si>
    <t>SZ002703</t>
  </si>
  <si>
    <t>浙江世宝</t>
  </si>
  <si>
    <t>SZ002909</t>
  </si>
  <si>
    <t>集泰股份</t>
  </si>
  <si>
    <t>SH603069</t>
  </si>
  <si>
    <t>海汽集团</t>
  </si>
  <si>
    <t>SZ000957</t>
  </si>
  <si>
    <t>中通客车</t>
  </si>
  <si>
    <t>1.主流品种
2.不接一致再一致
3.不能盘子大，价投波段太多
4.筹码结构，压力不能太大</t>
    <phoneticPr fontId="1" type="noConversion"/>
  </si>
  <si>
    <t>机构持股占流通股比例%</t>
    <phoneticPr fontId="17" type="noConversion"/>
  </si>
  <si>
    <t>二板筹码获利%</t>
    <phoneticPr fontId="1" type="noConversion"/>
  </si>
  <si>
    <t>二板价格</t>
    <phoneticPr fontId="1" type="noConversion"/>
  </si>
  <si>
    <t>二板实际流通市值</t>
    <phoneticPr fontId="1" type="noConversion"/>
  </si>
  <si>
    <t>机构持股比例合计%</t>
  </si>
  <si>
    <t>收盘获利%[20220708]</t>
  </si>
  <si>
    <t>现价</t>
  </si>
  <si>
    <t xml:space="preserve">    名称</t>
    <phoneticPr fontId="1" type="noConversion"/>
  </si>
  <si>
    <t>流通股本</t>
    <phoneticPr fontId="1" type="noConversion"/>
  </si>
  <si>
    <t>几天几板</t>
  </si>
  <si>
    <t>最终涨停时间[20220708]</t>
  </si>
  <si>
    <t>连续涨停天数[20220711]</t>
  </si>
  <si>
    <t>涨停原因类别[20220711]</t>
  </si>
  <si>
    <t>涨停封成比%[20220711]</t>
  </si>
  <si>
    <t>换手率%[20220711]</t>
  </si>
  <si>
    <t>收盘获利%[20220711]</t>
  </si>
  <si>
    <t>最终涨停时间[20220711]</t>
  </si>
  <si>
    <t>机器人+光伏</t>
  </si>
  <si>
    <t>交通运输+地方国资改革</t>
  </si>
  <si>
    <t>消费电子+汽车电子</t>
  </si>
  <si>
    <t>机器人+高端装备</t>
  </si>
  <si>
    <t>智能电网+光伏+电力</t>
  </si>
  <si>
    <t>SZ300006</t>
  </si>
  <si>
    <t>莱美药业</t>
  </si>
  <si>
    <t>医药生物+新冠治疗+肝炎</t>
  </si>
  <si>
    <t>SZ002997</t>
  </si>
  <si>
    <t>瑞鹄模具</t>
  </si>
  <si>
    <t>汽车零部件+机器人</t>
  </si>
  <si>
    <t>SZ002864</t>
  </si>
  <si>
    <t>盘龙药业</t>
  </si>
  <si>
    <t>SZ002767</t>
  </si>
  <si>
    <t>先锋电子</t>
  </si>
  <si>
    <t>超超临界发电</t>
  </si>
  <si>
    <t>SZ002718</t>
  </si>
  <si>
    <t>友邦吊顶</t>
  </si>
  <si>
    <t>半年报预增+建筑材料</t>
  </si>
  <si>
    <t>SZ002689</t>
  </si>
  <si>
    <t>远大智能</t>
  </si>
  <si>
    <t>SZ002591</t>
  </si>
  <si>
    <t>恒大高新</t>
  </si>
  <si>
    <t>超超临界发电+环保</t>
  </si>
  <si>
    <t>SZ002576</t>
  </si>
  <si>
    <t>通达动力</t>
  </si>
  <si>
    <t>SZ002543</t>
  </si>
  <si>
    <t>万和电气</t>
  </si>
  <si>
    <t>SZ002337</t>
  </si>
  <si>
    <t>赛象科技</t>
  </si>
  <si>
    <t>机器人+橡胶设备</t>
  </si>
  <si>
    <t>SZ002317</t>
  </si>
  <si>
    <t>众生药业</t>
  </si>
  <si>
    <t>新冠治疗+医药</t>
  </si>
  <si>
    <t>SZ002225</t>
  </si>
  <si>
    <t>濮耐股份</t>
  </si>
  <si>
    <t>建筑材料</t>
  </si>
  <si>
    <t>SZ002118</t>
  </si>
  <si>
    <t>紫鑫药业</t>
  </si>
  <si>
    <t>医药生物+禽流感</t>
  </si>
  <si>
    <t>SZ002084</t>
  </si>
  <si>
    <t>海鸥住工</t>
  </si>
  <si>
    <t>家居+智能家居</t>
  </si>
  <si>
    <t>SZ001308</t>
  </si>
  <si>
    <t>康冠科技</t>
  </si>
  <si>
    <t>中报预增+OLED</t>
  </si>
  <si>
    <t>SZ000950</t>
  </si>
  <si>
    <t>重药控股</t>
  </si>
  <si>
    <t>医药+医药商业+超级真菌</t>
  </si>
  <si>
    <t>SZ000856</t>
  </si>
  <si>
    <t>冀东装备</t>
  </si>
  <si>
    <t>机器人+建筑节能</t>
  </si>
  <si>
    <t>SZ000601</t>
  </si>
  <si>
    <t>韶能股份</t>
  </si>
  <si>
    <t>电力+光伏</t>
  </si>
  <si>
    <t>SH603669</t>
  </si>
  <si>
    <t>灵康药业</t>
  </si>
  <si>
    <t>生物医药+新冠药物</t>
  </si>
  <si>
    <t>SH603595</t>
  </si>
  <si>
    <t>东尼电子</t>
  </si>
  <si>
    <t>半年报预增+消费电子</t>
  </si>
  <si>
    <t>SH603327</t>
  </si>
  <si>
    <t>福蓉科技</t>
  </si>
  <si>
    <t>半年报预增</t>
  </si>
  <si>
    <t>SH603227</t>
  </si>
  <si>
    <t>雪峰科技</t>
  </si>
  <si>
    <t>半年报预增+爆破器材</t>
  </si>
  <si>
    <t>SH603161</t>
  </si>
  <si>
    <t>科华控股</t>
  </si>
  <si>
    <t>实控人变更+汽车零部件</t>
  </si>
  <si>
    <t>SH600868</t>
  </si>
  <si>
    <t>梅雁吉祥</t>
  </si>
  <si>
    <t>电力+教育</t>
  </si>
  <si>
    <t>SH600833</t>
  </si>
  <si>
    <t>第一医药</t>
  </si>
  <si>
    <t>医药商业+地方国资改革</t>
  </si>
  <si>
    <t>SH600624</t>
  </si>
  <si>
    <t>复旦复华</t>
  </si>
  <si>
    <t>生物医药+新冠检测</t>
  </si>
  <si>
    <t>SH600381</t>
  </si>
  <si>
    <t>青海春天</t>
  </si>
  <si>
    <t>白酒+食品加工</t>
  </si>
  <si>
    <t>SH600336</t>
  </si>
  <si>
    <t>澳柯玛</t>
  </si>
  <si>
    <t>白色家电</t>
  </si>
  <si>
    <t>SH600272</t>
  </si>
  <si>
    <t>开开实业</t>
  </si>
  <si>
    <t>SH600259</t>
  </si>
  <si>
    <t>广晟有色</t>
  </si>
  <si>
    <t>稀土采矿权证+稀土永磁</t>
  </si>
  <si>
    <t>SH600152</t>
  </si>
  <si>
    <t>维科技术</t>
  </si>
  <si>
    <t>SH600101</t>
  </si>
  <si>
    <t>明星电力</t>
  </si>
  <si>
    <t>钒电池+电力</t>
  </si>
  <si>
    <t>连续涨停天数[20220712]</t>
  </si>
  <si>
    <t>涨停原因类别[20220712]</t>
  </si>
  <si>
    <t>涨停封成比%[20220712]</t>
  </si>
  <si>
    <t>换手率%[20220712]</t>
  </si>
  <si>
    <t>收盘获利%[20220712]</t>
  </si>
  <si>
    <t>最终涨停时间[20220712]</t>
  </si>
  <si>
    <t>公路铁路运输+地方国资改革</t>
  </si>
  <si>
    <t>中报预增+机器人</t>
  </si>
  <si>
    <t>超超临界发电+电力+环保</t>
  </si>
  <si>
    <t>SZ002061</t>
  </si>
  <si>
    <t>浙江交科</t>
  </si>
  <si>
    <t>基建+新型城镇化</t>
  </si>
  <si>
    <t>SZ000619</t>
  </si>
  <si>
    <t>海螺新材</t>
  </si>
  <si>
    <t>建筑材料+光伏+建筑节能+新型城镇化</t>
  </si>
  <si>
    <t>SZ002374</t>
  </si>
  <si>
    <t>中锐股份</t>
  </si>
  <si>
    <t>半年报预增+包装+白酒</t>
  </si>
  <si>
    <t>SZ002383</t>
  </si>
  <si>
    <t>合众思壮</t>
  </si>
  <si>
    <t>无人驾驶+智能交通+军工</t>
  </si>
  <si>
    <t>SZ000548</t>
  </si>
  <si>
    <t>湖南投资</t>
  </si>
  <si>
    <t>公路铁路运输+房地产</t>
  </si>
  <si>
    <t>SZ002452</t>
  </si>
  <si>
    <t>长高电新</t>
  </si>
  <si>
    <t>半年报预增+电力</t>
  </si>
  <si>
    <t>SZ002478</t>
  </si>
  <si>
    <t>常宝股份</t>
  </si>
  <si>
    <t>SH603985</t>
  </si>
  <si>
    <t>恒润股份</t>
  </si>
  <si>
    <t>风电+高端装备</t>
  </si>
  <si>
    <t>SH603861</t>
  </si>
  <si>
    <t>白云电器</t>
  </si>
  <si>
    <t>电力+特高压+交通运输</t>
  </si>
  <si>
    <t>SH603080</t>
  </si>
  <si>
    <t>新疆火炬</t>
  </si>
  <si>
    <t>天然气+新疆</t>
  </si>
  <si>
    <t>SH603070</t>
  </si>
  <si>
    <t>万控智造</t>
  </si>
  <si>
    <t>电力+工业互联网+次新股</t>
  </si>
  <si>
    <t>SH601518</t>
  </si>
  <si>
    <t>吉林高速</t>
  </si>
  <si>
    <t>公路铁路运输</t>
  </si>
  <si>
    <t>汽车整车+新能源汽车+无人驾驶</t>
  </si>
  <si>
    <t>SH600561</t>
  </si>
  <si>
    <t>江西长运</t>
  </si>
  <si>
    <t>公里铁路运输</t>
  </si>
  <si>
    <t>SH600033</t>
  </si>
  <si>
    <t>福建高速</t>
  </si>
  <si>
    <t>SZ003037</t>
  </si>
  <si>
    <t>三和管桩</t>
  </si>
  <si>
    <t>地下管网+新型城镇化+建筑材料</t>
  </si>
  <si>
    <t>SZ003036</t>
  </si>
  <si>
    <t>泰坦股份</t>
  </si>
  <si>
    <t>半年报预增+纺织机械</t>
  </si>
  <si>
    <t>SZ003032</t>
  </si>
  <si>
    <t>传智教育</t>
  </si>
  <si>
    <t>中报预增+教育</t>
  </si>
  <si>
    <t>SZ002995</t>
  </si>
  <si>
    <t>天地在线</t>
  </si>
  <si>
    <t>传媒+元宇宙+预制菜</t>
  </si>
  <si>
    <t>SZ002865</t>
  </si>
  <si>
    <t>钧达股份</t>
  </si>
  <si>
    <t>中报扭亏+光伏</t>
  </si>
  <si>
    <t>SZ002796</t>
  </si>
  <si>
    <t>世嘉科技</t>
  </si>
  <si>
    <t>储能+5G</t>
  </si>
  <si>
    <t>SZ002761</t>
  </si>
  <si>
    <t>浙江建投</t>
  </si>
  <si>
    <t>建筑节能+水利+新型城镇化</t>
  </si>
  <si>
    <t>SZ002552</t>
  </si>
  <si>
    <t>宝鼎科技</t>
  </si>
  <si>
    <t>军工+高端装备</t>
  </si>
  <si>
    <t>SZ002479</t>
  </si>
  <si>
    <t>富春环保</t>
  </si>
  <si>
    <t>电力+绿色电力+环保</t>
  </si>
  <si>
    <t>连续涨停天数[20220713]</t>
  </si>
  <si>
    <t>涨停原因类别[20220713]</t>
  </si>
  <si>
    <t>涨停封成比%[20220713]</t>
  </si>
  <si>
    <t>换手率%[20220713]</t>
  </si>
  <si>
    <t>收盘获利%[20220713]</t>
  </si>
  <si>
    <t>最终涨停时间[20220713]</t>
  </si>
  <si>
    <t>SZ000753</t>
  </si>
  <si>
    <t>漳州发展</t>
  </si>
  <si>
    <t>房地产开发+风电+光伏</t>
  </si>
  <si>
    <t>建筑材料+国企改革</t>
  </si>
  <si>
    <t>SZ002016</t>
  </si>
  <si>
    <t>世荣兆业</t>
  </si>
  <si>
    <t>房地产+建筑材料</t>
  </si>
  <si>
    <t>SZ002115</t>
  </si>
  <si>
    <t>三维通信</t>
  </si>
  <si>
    <t>通信设备+5G+游戏</t>
  </si>
  <si>
    <t>SZ002112</t>
  </si>
  <si>
    <t>三变科技</t>
  </si>
  <si>
    <t>智能电网+光伏+储能</t>
  </si>
  <si>
    <t>半年报预增+三胎概念+电力物联网</t>
  </si>
  <si>
    <t>SZ002516</t>
  </si>
  <si>
    <t>旷达科技</t>
  </si>
  <si>
    <t>汽车零部件+汽车电子+光伏</t>
  </si>
  <si>
    <t>SZ002620</t>
  </si>
  <si>
    <t>瑞和股份</t>
  </si>
  <si>
    <t>光伏+建筑装饰</t>
  </si>
  <si>
    <t>绿色电力+光伏+新能源汽车+充电桩</t>
  </si>
  <si>
    <t>SZ000631</t>
  </si>
  <si>
    <t>顺发恒业</t>
  </si>
  <si>
    <t>房地产+风电</t>
  </si>
  <si>
    <t>风电+核电+军工</t>
  </si>
  <si>
    <t>SZ002057</t>
  </si>
  <si>
    <t>中钢天源</t>
  </si>
  <si>
    <t>半年报预增+有色金属+稀土永磁</t>
  </si>
  <si>
    <t>SZ002134</t>
  </si>
  <si>
    <t>天津普林</t>
  </si>
  <si>
    <t>PCB+军工+债转股</t>
  </si>
  <si>
    <t>SH600169</t>
  </si>
  <si>
    <t>太原重工</t>
  </si>
  <si>
    <t>SZ002164</t>
  </si>
  <si>
    <t>宁波东力</t>
  </si>
  <si>
    <t>SZ002284</t>
  </si>
  <si>
    <t>亚太股份</t>
  </si>
  <si>
    <t>汽车零部件+汽车电子+新能源汽车</t>
  </si>
  <si>
    <t>SZ002323</t>
  </si>
  <si>
    <t>雅博股份</t>
  </si>
  <si>
    <t>光伏建筑一体化+储能</t>
  </si>
  <si>
    <t>SZ002531</t>
  </si>
  <si>
    <t>天顺风能</t>
  </si>
  <si>
    <t>风电+新能源</t>
  </si>
  <si>
    <t>SZ002641</t>
  </si>
  <si>
    <t>公元股份</t>
  </si>
  <si>
    <t>SZ002660</t>
  </si>
  <si>
    <t>茂硕电源</t>
  </si>
  <si>
    <t>半年报预增+消费电子+光伏</t>
  </si>
  <si>
    <t>SH601218</t>
  </si>
  <si>
    <t>吉鑫科技</t>
  </si>
  <si>
    <t>绿色电力+风电+新能源</t>
  </si>
  <si>
    <t>高速公路+吉林国改+低价股</t>
  </si>
  <si>
    <t>SH603030</t>
  </si>
  <si>
    <t>全筑股份</t>
  </si>
  <si>
    <t>建筑节能+新型城镇化+智能家居</t>
  </si>
  <si>
    <t>SH600458</t>
  </si>
  <si>
    <t>时代新材</t>
  </si>
  <si>
    <t>风电+噪声防治+央企国资改革+新能源汽车</t>
  </si>
  <si>
    <t>SH600736</t>
  </si>
  <si>
    <t>苏州高新</t>
  </si>
  <si>
    <t>房地产开发+新型城镇化+水利</t>
  </si>
  <si>
    <t>军工+国产航母+地方国资改革</t>
  </si>
  <si>
    <t>SH601890</t>
  </si>
  <si>
    <t>亚星锚链</t>
  </si>
  <si>
    <t>SH603628</t>
  </si>
  <si>
    <t>清源股份</t>
  </si>
  <si>
    <t>SH603679</t>
  </si>
  <si>
    <t>华体科技</t>
  </si>
  <si>
    <t>智慧城市+节能照明+充电桩</t>
  </si>
  <si>
    <t>SZ002882</t>
  </si>
  <si>
    <t>金龙羽</t>
  </si>
  <si>
    <t>电线电缆+锂电池</t>
  </si>
  <si>
    <t>SH603676</t>
  </si>
  <si>
    <t>卫信康</t>
  </si>
  <si>
    <t>中报预增+医药</t>
  </si>
  <si>
    <t>SH603507</t>
  </si>
  <si>
    <t>XD振江股</t>
  </si>
  <si>
    <t>光伏+风电+新能源</t>
  </si>
  <si>
    <t>SZ002952</t>
  </si>
  <si>
    <t>亚世光电</t>
  </si>
  <si>
    <t>光学光电子+电子纸+柔性屏+OLED</t>
  </si>
  <si>
    <t>SZ002990</t>
  </si>
  <si>
    <t>盛视科技</t>
  </si>
  <si>
    <t>机器人+物联网+疫情监测</t>
  </si>
  <si>
    <t>SZ003038</t>
  </si>
  <si>
    <t>鑫铂股份</t>
  </si>
  <si>
    <t>半年报预增+有色铝+光伏</t>
  </si>
  <si>
    <t>SZ001212</t>
  </si>
  <si>
    <t>中旗新材</t>
  </si>
  <si>
    <t>收购+有机硅+建材</t>
  </si>
  <si>
    <t>SH605598</t>
  </si>
  <si>
    <t>上海港湾</t>
  </si>
  <si>
    <t>专业工程+基建+次新股</t>
  </si>
  <si>
    <t>通信设备+5G+储能</t>
  </si>
  <si>
    <t>智慧城市+水利+新型城镇化+北斗</t>
  </si>
  <si>
    <t>SZ301046</t>
  </si>
  <si>
    <t>能辉科技</t>
  </si>
  <si>
    <t>光伏+储能+绿色电力+新型城镇化</t>
  </si>
  <si>
    <t>SZ002879</t>
  </si>
  <si>
    <t>长缆科技</t>
  </si>
  <si>
    <t>智能电网+特高压+柔性直流输电</t>
  </si>
  <si>
    <t>建筑材料+水利+光伏+新型城镇化</t>
  </si>
  <si>
    <t>SZ002623</t>
  </si>
  <si>
    <t>亚玛顿</t>
  </si>
  <si>
    <t>光伏建筑一体化+光伏+建筑节能</t>
  </si>
  <si>
    <t>SZ002585</t>
  </si>
  <si>
    <t>双星新材</t>
  </si>
  <si>
    <t>SZ002418</t>
  </si>
  <si>
    <t>康盛股份</t>
  </si>
  <si>
    <t>锂电池+新能源汽车+汽车热管理</t>
  </si>
  <si>
    <t>SZ002398</t>
  </si>
  <si>
    <t>垒知集团</t>
  </si>
  <si>
    <t>建筑节能+光伏+储能+装配式建筑</t>
  </si>
  <si>
    <t>通用设备+风电</t>
  </si>
  <si>
    <t>SZ002125</t>
  </si>
  <si>
    <t>湘潭电化</t>
  </si>
  <si>
    <t>锂电池+磷酸铁锂</t>
  </si>
  <si>
    <t>SZ002011</t>
  </si>
  <si>
    <t>盾安环境</t>
  </si>
  <si>
    <t>家电零部件+核电+新能源汽车</t>
  </si>
  <si>
    <t>SZ000767</t>
  </si>
  <si>
    <t>晋控电力</t>
  </si>
  <si>
    <t>超超临界发电+风电+绿色电力</t>
  </si>
  <si>
    <t>SH603139</t>
  </si>
  <si>
    <t>康惠制药</t>
  </si>
  <si>
    <t>中药+NMN+牙科医疗</t>
  </si>
  <si>
    <t>军工+海上风电+高端装备</t>
  </si>
  <si>
    <t>SH600699</t>
  </si>
  <si>
    <t>均胜电子</t>
  </si>
  <si>
    <t>网约车+燃料电池+参股哈啰出行</t>
  </si>
  <si>
    <t>SH600367</t>
  </si>
  <si>
    <t>红星发展</t>
  </si>
  <si>
    <t>半年报预增+锂电池</t>
  </si>
  <si>
    <t>基建工程+核电+风电</t>
  </si>
  <si>
    <t>SH600131</t>
  </si>
  <si>
    <t>国网信通</t>
  </si>
  <si>
    <t>储能+虚拟电厂+电力物联网</t>
  </si>
  <si>
    <t>SH600035</t>
  </si>
  <si>
    <t>楚天高速</t>
  </si>
  <si>
    <t>SZ301082</t>
  </si>
  <si>
    <t>久盛电气</t>
  </si>
  <si>
    <t>电缆+核电+次新股</t>
  </si>
  <si>
    <t>SZ000885</t>
  </si>
  <si>
    <t>城发环境</t>
  </si>
  <si>
    <t>SH603997</t>
  </si>
  <si>
    <t>继峰股份</t>
  </si>
  <si>
    <t>连续涨停天数[20220714]</t>
  </si>
  <si>
    <t>涨停原因类别[20220714]</t>
  </si>
  <si>
    <t>收盘获利%[20220714]</t>
  </si>
  <si>
    <t>最终涨停时间[20220714]</t>
  </si>
  <si>
    <t>换手率%[20220714]</t>
  </si>
  <si>
    <t>SZ300988</t>
  </si>
  <si>
    <t>津荣天宇</t>
  </si>
  <si>
    <t>汽车零部件+光</t>
  </si>
  <si>
    <t>SZ300693</t>
  </si>
  <si>
    <t>盛弘股份</t>
  </si>
  <si>
    <t>储能+充电桩+新能源汽车</t>
  </si>
  <si>
    <t>SZ002993</t>
  </si>
  <si>
    <t>奥海科技</t>
  </si>
  <si>
    <t>半年报预增+消费电子+储能</t>
  </si>
  <si>
    <t>习酒借壳+军工</t>
  </si>
  <si>
    <t>SZ002455</t>
  </si>
  <si>
    <t>百川股份</t>
  </si>
  <si>
    <t>锂电池+储能+新能源汽车+钠离子电池</t>
  </si>
  <si>
    <t>SZ002580</t>
  </si>
  <si>
    <t>圣阳股份</t>
  </si>
  <si>
    <t>光伏+储能+锂电池</t>
  </si>
  <si>
    <t>SZ300068</t>
  </si>
  <si>
    <t>南都电源</t>
  </si>
  <si>
    <t>储能+锂电池+电池</t>
  </si>
  <si>
    <t>SZ001216</t>
  </si>
  <si>
    <t>华瓷股份</t>
  </si>
  <si>
    <t>半年报预增+陶瓷制品</t>
  </si>
  <si>
    <t>SH688248</t>
  </si>
  <si>
    <t>南网科技</t>
  </si>
  <si>
    <t>储能+风电+次新股</t>
  </si>
  <si>
    <t>SH601126</t>
  </si>
  <si>
    <t>四方股份</t>
  </si>
  <si>
    <t>智能电网+光伏+储能+风电</t>
  </si>
  <si>
    <t>SH688060</t>
  </si>
  <si>
    <t>云涌科技</t>
  </si>
  <si>
    <t>SH605378</t>
  </si>
  <si>
    <t>野马电池</t>
  </si>
  <si>
    <t>锌锰电池+环保</t>
  </si>
  <si>
    <t>服装家纺+外贸+上海国资改革</t>
  </si>
  <si>
    <t>SH600237</t>
  </si>
  <si>
    <t>铜峰电子</t>
  </si>
  <si>
    <t>薄膜电容器+新能源汽车+柔性直流输电</t>
  </si>
  <si>
    <t>SZ002976</t>
  </si>
  <si>
    <t>瑞玛精密</t>
  </si>
  <si>
    <t>半年报预增+汽车零部件</t>
  </si>
  <si>
    <t>医药+服装+地方国资改革</t>
  </si>
  <si>
    <t>SH603109</t>
  </si>
  <si>
    <t>神驰机电</t>
  </si>
  <si>
    <t>SH603396</t>
  </si>
  <si>
    <t>金辰股份</t>
  </si>
  <si>
    <t>SH601222</t>
  </si>
  <si>
    <t>林洋能源</t>
  </si>
  <si>
    <t>SZ002495</t>
  </si>
  <si>
    <t>佳隆股份</t>
  </si>
  <si>
    <t>食品饮料+调味品+房地产</t>
  </si>
  <si>
    <t>SH605286</t>
  </si>
  <si>
    <t>同力日升</t>
  </si>
  <si>
    <t>电梯+光伏+储能+风电</t>
  </si>
  <si>
    <t>半年报预增+钒电池</t>
  </si>
  <si>
    <t>消费电子+双金属锯条</t>
  </si>
  <si>
    <t>SH600996</t>
  </si>
  <si>
    <t>贵广网络</t>
  </si>
  <si>
    <t>光伏+锂电池+新材料</t>
  </si>
  <si>
    <t>SZ000692</t>
  </si>
  <si>
    <t>惠天热电</t>
  </si>
  <si>
    <t>供热+地方国资改革</t>
  </si>
  <si>
    <t>SZ000155</t>
  </si>
  <si>
    <t>川能动力</t>
  </si>
  <si>
    <t>光伏+风电+储能+锂电池</t>
  </si>
  <si>
    <t>SH600898</t>
  </si>
  <si>
    <t>国美通讯</t>
  </si>
  <si>
    <t>消费电子+国产操作系统</t>
  </si>
  <si>
    <t>SH603086</t>
  </si>
  <si>
    <t>先达股份</t>
  </si>
  <si>
    <t>农药+生态农业</t>
  </si>
  <si>
    <t>SZ000652</t>
  </si>
  <si>
    <t>泰达股份</t>
  </si>
  <si>
    <t>AMC+信托+债转股+环保</t>
  </si>
  <si>
    <t>SH600657</t>
  </si>
  <si>
    <t>信达地产</t>
  </si>
  <si>
    <t>房地产开发+央企国资改革</t>
  </si>
  <si>
    <t>储能+AMC+光伏</t>
  </si>
  <si>
    <t>SH600319</t>
  </si>
  <si>
    <t>亚星化学</t>
  </si>
  <si>
    <t>半年报预增+化学原料</t>
  </si>
  <si>
    <t>SZ002960</t>
  </si>
  <si>
    <t>青鸟消防</t>
  </si>
  <si>
    <t>消防安全系统+芯片</t>
  </si>
  <si>
    <t>SH600647</t>
  </si>
  <si>
    <t>同达创业</t>
  </si>
  <si>
    <t>AMC+债转股+央企国资改革</t>
  </si>
  <si>
    <t>半年报预增+锂电池+新能源汽车+有色铝</t>
  </si>
  <si>
    <t>SZ002335</t>
  </si>
  <si>
    <t>科华数据</t>
  </si>
  <si>
    <t>SH603529</t>
  </si>
  <si>
    <t>爱玛科技</t>
  </si>
  <si>
    <t>共享单车+两轮车+半年度净利润+新能源汽车</t>
  </si>
  <si>
    <t>SZ002824</t>
  </si>
  <si>
    <t>和胜股份</t>
  </si>
  <si>
    <t>汽车零部件+消费电子+新能源汽车</t>
  </si>
  <si>
    <t>动物保健+兽药+宠物经济</t>
  </si>
  <si>
    <t>SZ000544</t>
  </si>
  <si>
    <t>中原环保</t>
  </si>
  <si>
    <t>环保+污水处理+垃圾分类+水利</t>
  </si>
  <si>
    <t>SH603718</t>
  </si>
  <si>
    <t>海利生物</t>
  </si>
  <si>
    <t>动物保健+动物疫苗+新冠检测</t>
  </si>
  <si>
    <t>SZ000567</t>
  </si>
  <si>
    <t>海德股份</t>
  </si>
  <si>
    <t>SZ002524</t>
  </si>
  <si>
    <t>光正眼科</t>
  </si>
  <si>
    <t>眼科医疗+民营医院+医美</t>
  </si>
  <si>
    <t>共享单车+两轮车</t>
  </si>
  <si>
    <t>SH603787</t>
  </si>
  <si>
    <t>新日股份</t>
  </si>
  <si>
    <t>SH601877</t>
  </si>
  <si>
    <t>正泰电器</t>
  </si>
  <si>
    <t>SH603661</t>
  </si>
  <si>
    <t>DR恒林股</t>
  </si>
  <si>
    <t>家居+精装修+跨境电商</t>
  </si>
  <si>
    <t>SH603586</t>
  </si>
  <si>
    <t>金麒麟</t>
  </si>
  <si>
    <t>涨停封成比%[20220714]</t>
  </si>
  <si>
    <t>汽车整车+燃料电池+新能源汽车</t>
  </si>
  <si>
    <t>文化传媒+数字乡村+东数西算</t>
  </si>
  <si>
    <t>光伏+HJT电池+工业4.0</t>
  </si>
  <si>
    <t>工业互联网+智能电网</t>
  </si>
  <si>
    <t>连续涨停天数[20220715]</t>
  </si>
  <si>
    <t>涨停原因类别[20220715]</t>
  </si>
  <si>
    <t>收盘获利%[20220715]</t>
  </si>
  <si>
    <t>最终涨停时间[20220715]</t>
  </si>
  <si>
    <t>换手率%[20220715]</t>
  </si>
  <si>
    <t>涨停封成比%[20220715]</t>
  </si>
  <si>
    <t>SZ000819</t>
  </si>
  <si>
    <t>岳阳兴长</t>
  </si>
  <si>
    <t>半年报预增+石油化工</t>
  </si>
  <si>
    <t>SZ001696</t>
  </si>
  <si>
    <t>宗申动力</t>
  </si>
  <si>
    <t>汽车零部件+储能+两轮车</t>
  </si>
  <si>
    <t>SZ002214</t>
  </si>
  <si>
    <t>大立科技</t>
  </si>
  <si>
    <t>军工+机器人</t>
  </si>
  <si>
    <t>SZ000521</t>
  </si>
  <si>
    <t>长虹美菱</t>
  </si>
  <si>
    <t>半年报预增+白色家电</t>
  </si>
  <si>
    <t>光伏+水务+污水处理</t>
  </si>
  <si>
    <t>SZ000663</t>
  </si>
  <si>
    <t>永安林业</t>
  </si>
  <si>
    <t>半年报预增+林业</t>
  </si>
  <si>
    <t>SZ000821</t>
  </si>
  <si>
    <t>京山轻机</t>
  </si>
  <si>
    <t>光伏+HJT电池+锂电池</t>
  </si>
  <si>
    <t>SH600079</t>
  </si>
  <si>
    <t>人福医药</t>
  </si>
  <si>
    <t>化学制药+中医药+芬太尼</t>
  </si>
  <si>
    <t>SZ002172</t>
  </si>
  <si>
    <t>澳洋健康</t>
  </si>
  <si>
    <t>半年报预增+健康医疗</t>
  </si>
  <si>
    <t>SZ002487</t>
  </si>
  <si>
    <t>大金重工</t>
  </si>
  <si>
    <t>SZ002533</t>
  </si>
  <si>
    <t>金杯电工</t>
  </si>
  <si>
    <t>电线电缆+风电+智能电网</t>
  </si>
  <si>
    <t>SZ002612</t>
  </si>
  <si>
    <t>朗姿股份</t>
  </si>
  <si>
    <t>医美概念+毛发医疗+服装</t>
  </si>
  <si>
    <t>SZ002835</t>
  </si>
  <si>
    <t>同为股份</t>
  </si>
  <si>
    <t>半年报预增+视频监控</t>
  </si>
  <si>
    <t>SZ002863</t>
  </si>
  <si>
    <t>今飞凯达</t>
  </si>
  <si>
    <t>汽车零部件+一体化压铸+比亚迪概念</t>
  </si>
  <si>
    <t>消费电子+钠离子电池</t>
  </si>
  <si>
    <t>SH601369</t>
  </si>
  <si>
    <t>陕鼓动力</t>
  </si>
  <si>
    <t>SZ300187</t>
  </si>
  <si>
    <t>永清环保</t>
  </si>
  <si>
    <t>风电+光伏+节能环保</t>
  </si>
  <si>
    <t>SH603960</t>
  </si>
  <si>
    <t>克来机电</t>
  </si>
  <si>
    <t>汽车零部件+机器人+汽车电子</t>
  </si>
  <si>
    <t>SZ300428</t>
  </si>
  <si>
    <t>立中集团</t>
  </si>
  <si>
    <t>汽车零部件+一体化压铸+新能源汽车</t>
  </si>
  <si>
    <t>SH600348</t>
  </si>
  <si>
    <t>华阳股份</t>
  </si>
  <si>
    <t>煤炭+光伏+钠离子电池</t>
  </si>
  <si>
    <t>SH600662</t>
  </si>
  <si>
    <t>外服控股</t>
  </si>
  <si>
    <t>半年报预增+人力资源服务</t>
  </si>
  <si>
    <t>SH603313</t>
  </si>
  <si>
    <t>梦百合</t>
  </si>
  <si>
    <t>半年报预增+家居</t>
  </si>
  <si>
    <t>SH603305</t>
  </si>
  <si>
    <t>旭升股份</t>
  </si>
  <si>
    <t>SZ002897</t>
  </si>
  <si>
    <t>意华股份</t>
  </si>
  <si>
    <t>半年报预增+通信设备</t>
  </si>
  <si>
    <t>SH603876</t>
  </si>
  <si>
    <t>鼎胜新材</t>
  </si>
  <si>
    <t>半年报预增+工业金属</t>
  </si>
  <si>
    <t>SZ300771</t>
  </si>
  <si>
    <t>智莱科技</t>
  </si>
  <si>
    <t>半年报预增+智慧城市</t>
  </si>
  <si>
    <t>SH603217</t>
  </si>
  <si>
    <t>元利科技</t>
  </si>
  <si>
    <t>半年报预增+化学制品</t>
  </si>
  <si>
    <t>汽车零部件+新能源汽车+特斯拉</t>
  </si>
  <si>
    <t>汽车零部件+问界M7</t>
  </si>
  <si>
    <t>SH605208</t>
  </si>
  <si>
    <t>永茂泰</t>
  </si>
  <si>
    <t>汽车零部件+一体化压铸+有色铝</t>
  </si>
  <si>
    <t>半年报预增+半导体+储能</t>
  </si>
  <si>
    <t>SH605020</t>
  </si>
  <si>
    <t>永和股份</t>
  </si>
  <si>
    <t>化学制品+PVDF+氟化工</t>
  </si>
  <si>
    <t>SZ301196</t>
  </si>
  <si>
    <t>唯科科技</t>
  </si>
  <si>
    <t>汽车零部件+一体化压铸+家电+次新股</t>
  </si>
  <si>
    <t>SZ301229</t>
  </si>
  <si>
    <t>纽泰格</t>
  </si>
  <si>
    <t>汽车零部件+新能源汽车+次新股</t>
  </si>
  <si>
    <t>SH603191</t>
  </si>
  <si>
    <t>望变电气</t>
  </si>
  <si>
    <t>电网设备+次新股+硅钢</t>
  </si>
  <si>
    <t>SZ301120</t>
  </si>
  <si>
    <t>新特电气</t>
  </si>
  <si>
    <t>光伏+储能+绿色电力+水利</t>
  </si>
  <si>
    <t>SZ301125</t>
  </si>
  <si>
    <t>腾亚精工</t>
  </si>
  <si>
    <t>机器人+储能+次新股</t>
  </si>
  <si>
    <t>机器人+光伏+虚拟电厂</t>
    <phoneticPr fontId="1" type="noConversion"/>
  </si>
  <si>
    <t>超超临界发电+绿色电力+环保</t>
  </si>
  <si>
    <t>半年报预增+房地产+风电</t>
  </si>
  <si>
    <t>汽车热管理+新能源汽车+光伏+储能</t>
  </si>
  <si>
    <t>供热+地方国资改革+电力</t>
  </si>
  <si>
    <t>汽车零部件+一体化压铸+机器人</t>
  </si>
  <si>
    <t>半年报预增+汽车零部件+一体化压铸</t>
  </si>
  <si>
    <t>光伏+储能+机器人+虚拟电厂</t>
  </si>
  <si>
    <t>半年报预增+白色家电+汽车热管理</t>
  </si>
  <si>
    <t>超超临界发电+储能+环保</t>
  </si>
  <si>
    <t>方大集团</t>
    <phoneticPr fontId="1" type="noConversion"/>
  </si>
  <si>
    <t>恒大高新</t>
    <phoneticPr fontId="1" type="noConversion"/>
  </si>
  <si>
    <t>世嘉科技</t>
    <phoneticPr fontId="1" type="noConversion"/>
  </si>
  <si>
    <t>连续涨停天数[20220718]</t>
  </si>
  <si>
    <t>涨停原因类别[20220718]</t>
  </si>
  <si>
    <t>收盘获利%[20220718]</t>
  </si>
  <si>
    <t>最终涨停时间[20220718]</t>
  </si>
  <si>
    <t>换手率%[20220718]</t>
  </si>
  <si>
    <t>涨停封成比%[20220718]</t>
  </si>
  <si>
    <t>环保+医疗废物处理+光伏+风电</t>
  </si>
  <si>
    <t>新能源汽车+一体化压铸+消费电子</t>
  </si>
  <si>
    <t>SZ301016</t>
  </si>
  <si>
    <t>雷尔伟</t>
  </si>
  <si>
    <t>拟收购+轨交设备+储能</t>
  </si>
  <si>
    <t>SZ300787</t>
  </si>
  <si>
    <t>海能实业</t>
  </si>
  <si>
    <t>SZ300740</t>
  </si>
  <si>
    <t>水羊股份</t>
  </si>
  <si>
    <t>拟收购+医美概念</t>
  </si>
  <si>
    <t>SZ300262</t>
  </si>
  <si>
    <t>巴安水务</t>
  </si>
  <si>
    <t>环保+污水处理+新型城镇化</t>
  </si>
  <si>
    <t>SZ003028</t>
  </si>
  <si>
    <t>振邦智能</t>
  </si>
  <si>
    <t>光伏+储能+汽车电子</t>
  </si>
  <si>
    <t>SZ003027</t>
  </si>
  <si>
    <t>同兴环保</t>
  </si>
  <si>
    <t>环保</t>
  </si>
  <si>
    <t>SZ003025</t>
  </si>
  <si>
    <t>思进智能</t>
  </si>
  <si>
    <t>一体化压铸+工业母机</t>
  </si>
  <si>
    <t>SZ002996</t>
  </si>
  <si>
    <t>顺博合金</t>
  </si>
  <si>
    <t>锂电池+消费电子+车载背光源</t>
  </si>
  <si>
    <t>SZ002973</t>
  </si>
  <si>
    <t>侨银股份</t>
  </si>
  <si>
    <t>环保+污水处理+绿色发电</t>
  </si>
  <si>
    <t>SZ002883</t>
  </si>
  <si>
    <t>中设股份</t>
  </si>
  <si>
    <t>建筑装饰+新型城镇化</t>
  </si>
  <si>
    <t>无人驾驶+汽车零部件</t>
  </si>
  <si>
    <t>新能源汽车+汽车零部件+机器人</t>
  </si>
  <si>
    <t>SZ002715</t>
  </si>
  <si>
    <t>登云股份</t>
  </si>
  <si>
    <t>汽车零部件+壳资源+比亚迪</t>
  </si>
  <si>
    <t>汽车零部件+新能源汽车+比亚迪</t>
  </si>
  <si>
    <t>SZ002681</t>
  </si>
  <si>
    <t>奋达科技</t>
  </si>
  <si>
    <t>消费电子+机器人概念</t>
  </si>
  <si>
    <t>SZ002671</t>
  </si>
  <si>
    <t>龙泉股份</t>
  </si>
  <si>
    <t>风电+水利+新型城镇化</t>
  </si>
  <si>
    <t>SZ002670</t>
  </si>
  <si>
    <t>国盛金控</t>
  </si>
  <si>
    <t>实控人变更+证券</t>
  </si>
  <si>
    <t>SZ002665</t>
  </si>
  <si>
    <t>首航高科</t>
  </si>
  <si>
    <t>储能+电力设备</t>
  </si>
  <si>
    <t>SZ002663</t>
  </si>
  <si>
    <t>普邦股份</t>
  </si>
  <si>
    <t>SZ002657</t>
  </si>
  <si>
    <t>中科金财</t>
  </si>
  <si>
    <t>数字货币+元宇宙+债转股</t>
  </si>
  <si>
    <t>SZ002628</t>
  </si>
  <si>
    <t>成都路桥</t>
  </si>
  <si>
    <t>基建</t>
  </si>
  <si>
    <t>储能+钠离子电池+锂电池</t>
  </si>
  <si>
    <t>可降解塑料+光伏+新材料</t>
  </si>
  <si>
    <t>SZ002534</t>
  </si>
  <si>
    <t>西子洁能</t>
  </si>
  <si>
    <t>钒电池+光伏+储能</t>
  </si>
  <si>
    <t>SZ002518</t>
  </si>
  <si>
    <t>科士达</t>
  </si>
  <si>
    <t>储能+光伏+充电桩</t>
  </si>
  <si>
    <t>SZ002502</t>
  </si>
  <si>
    <t>鼎龙文化</t>
  </si>
  <si>
    <t>钛白粉+游戏+机器人游戏哥</t>
  </si>
  <si>
    <t>SZ002441</t>
  </si>
  <si>
    <t>众业达</t>
  </si>
  <si>
    <t>智能电网+充电桩+新能源汽车</t>
  </si>
  <si>
    <t>SZ002426</t>
  </si>
  <si>
    <t>胜利精密</t>
  </si>
  <si>
    <t>消费电子+锂电池+苹果</t>
  </si>
  <si>
    <t>SZ002330</t>
  </si>
  <si>
    <t>得利斯</t>
  </si>
  <si>
    <t>预制菜+猪肉+食品加工</t>
  </si>
  <si>
    <t>SZ002296</t>
  </si>
  <si>
    <t>辉煌科技</t>
  </si>
  <si>
    <t>储能+壳资源+高端装备</t>
  </si>
  <si>
    <t>SZ002295</t>
  </si>
  <si>
    <t>精艺股份</t>
  </si>
  <si>
    <t>金属铜+家用电器+贸易</t>
  </si>
  <si>
    <t>超超临界发电+风电+核电</t>
  </si>
  <si>
    <t>SZ002193</t>
  </si>
  <si>
    <t>如意集团</t>
  </si>
  <si>
    <t>半年报预增+新零售</t>
  </si>
  <si>
    <t>SZ002188</t>
  </si>
  <si>
    <t>巴士在线</t>
  </si>
  <si>
    <t>房地产+物业管理</t>
  </si>
  <si>
    <t>SZ002168</t>
  </si>
  <si>
    <t>惠程科技</t>
  </si>
  <si>
    <t>游戏+区块链+充电桩</t>
  </si>
  <si>
    <t>钛白粉+钒电池+锂电池</t>
  </si>
  <si>
    <t>SZ002139</t>
  </si>
  <si>
    <t>拓邦股份</t>
  </si>
  <si>
    <t>消费电子+储能+锂电池</t>
  </si>
  <si>
    <t>SZ002121</t>
  </si>
  <si>
    <t>科陆电子</t>
  </si>
  <si>
    <t>储能+智能电网+虚拟电厂</t>
  </si>
  <si>
    <t>金属锌+水力发电</t>
  </si>
  <si>
    <t>机器人+高端装备+人工智能</t>
  </si>
  <si>
    <t>智能电网+储能+特高压</t>
  </si>
  <si>
    <t>光伏+储能+超超临界发电</t>
  </si>
  <si>
    <t>SZ001266</t>
  </si>
  <si>
    <t>宏英智能</t>
  </si>
  <si>
    <t>国产软件+新能源汽车+汽车零部件+次新股</t>
  </si>
  <si>
    <t>SZ000826</t>
  </si>
  <si>
    <t>启迪环境</t>
  </si>
  <si>
    <t>SZ000715</t>
  </si>
  <si>
    <t>中兴商业</t>
  </si>
  <si>
    <t>百货零售+新零售</t>
  </si>
  <si>
    <t>SZ000711</t>
  </si>
  <si>
    <t>京蓝科技</t>
  </si>
  <si>
    <t>环保+污水处理</t>
  </si>
  <si>
    <t>SZ000671</t>
  </si>
  <si>
    <t>阳 光 城</t>
  </si>
  <si>
    <t>SZ000605</t>
  </si>
  <si>
    <t>渤海股份</t>
  </si>
  <si>
    <t>环保+污水处理+固废处理</t>
  </si>
  <si>
    <t>SZ000537</t>
  </si>
  <si>
    <t>广宇发展</t>
  </si>
  <si>
    <t>SZ000534</t>
  </si>
  <si>
    <t>万泽股份</t>
  </si>
  <si>
    <t>航空发动机+军工+生物医药</t>
  </si>
  <si>
    <t>电力+抽水储能+虚拟电厂</t>
  </si>
  <si>
    <t>SZ000531</t>
  </si>
  <si>
    <t>穗恒运Ａ</t>
  </si>
  <si>
    <t>电力+光伏+储能</t>
  </si>
  <si>
    <t>SZ000040</t>
  </si>
  <si>
    <t>东旭蓝天</t>
  </si>
  <si>
    <t>光伏+绿色电力+光伏建筑一体化+环保</t>
  </si>
  <si>
    <t>SZ000035</t>
  </si>
  <si>
    <t>中国天楹</t>
  </si>
  <si>
    <t>环保+固废处理+储能</t>
  </si>
  <si>
    <t>SH688103</t>
  </si>
  <si>
    <t>国力股份</t>
  </si>
  <si>
    <t>储能+次新股</t>
  </si>
  <si>
    <t>SH605277</t>
  </si>
  <si>
    <t>新亚电子</t>
  </si>
  <si>
    <t>消费电子+汽车电子+新能源汽车</t>
  </si>
  <si>
    <t>SH605198</t>
  </si>
  <si>
    <t>德利股份</t>
  </si>
  <si>
    <t>半年报预增+饮料乳品</t>
  </si>
  <si>
    <t>SH605088</t>
  </si>
  <si>
    <t>冠盛股份</t>
  </si>
  <si>
    <t>SH605028</t>
  </si>
  <si>
    <t>世茂能源</t>
  </si>
  <si>
    <t>光伏+绿色发电</t>
  </si>
  <si>
    <t>SH603937</t>
  </si>
  <si>
    <t>丽岛新材</t>
  </si>
  <si>
    <t>有色铝+锂电池工业金</t>
  </si>
  <si>
    <t>SH603797</t>
  </si>
  <si>
    <t>联泰环保</t>
  </si>
  <si>
    <t>SH603421</t>
  </si>
  <si>
    <t>鼎信通讯</t>
  </si>
  <si>
    <t>智能电网+虚拟电厂+芯片虚拟电厂哥</t>
  </si>
  <si>
    <t>SH603378</t>
  </si>
  <si>
    <t>亚士创能</t>
  </si>
  <si>
    <t>SH603097</t>
  </si>
  <si>
    <t>江苏华辰</t>
  </si>
  <si>
    <t>储能+光伏+风电+智能电网+次新股</t>
  </si>
  <si>
    <t>汽车零部件+通用航空</t>
  </si>
  <si>
    <t>SH601975</t>
  </si>
  <si>
    <t>招商南油</t>
  </si>
  <si>
    <t>航运概念+央企国资改革</t>
  </si>
  <si>
    <t>SH601872</t>
  </si>
  <si>
    <t>招商轮船</t>
  </si>
  <si>
    <t>港口航运+油品运输</t>
  </si>
  <si>
    <t>SH601068</t>
  </si>
  <si>
    <t>中铝国际</t>
  </si>
  <si>
    <t>半年报预增+专业工程+盐湖提锂</t>
  </si>
  <si>
    <t>SH601016</t>
  </si>
  <si>
    <t>节能风电</t>
  </si>
  <si>
    <t>绿色电力+风电+海上风电</t>
  </si>
  <si>
    <t>SH600549</t>
  </si>
  <si>
    <t>厦门钨业</t>
  </si>
  <si>
    <t>小金属+稀土永磁+业绩增长</t>
  </si>
  <si>
    <t>SH600466</t>
  </si>
  <si>
    <t>蓝光发展</t>
  </si>
  <si>
    <t>房地产开发</t>
  </si>
  <si>
    <t>SH600386</t>
  </si>
  <si>
    <t>北巴传媒</t>
  </si>
  <si>
    <t>新能源汽车+充电桩+文化传媒</t>
  </si>
  <si>
    <t>SH600297</t>
  </si>
  <si>
    <t>广汇汽车</t>
  </si>
  <si>
    <t>汽车服务+充电桩</t>
  </si>
  <si>
    <t>SH600187</t>
  </si>
  <si>
    <t>国中水务</t>
  </si>
  <si>
    <t>SH600160</t>
  </si>
  <si>
    <t>巨化股份</t>
  </si>
  <si>
    <t>SH600026</t>
  </si>
  <si>
    <t>中远海能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</si>
</sst>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_);[Red]\(0\)"/>
    <numFmt numFmtId="178" formatCode="0&quot;.&quot;00,,"/>
    <numFmt numFmtId="179" formatCode="0_ "/>
  </numFmts>
  <fonts count="1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6"/>
      <color theme="1" tint="4.9989318521683403E-2"/>
      <name val="等线"/>
      <family val="3"/>
      <charset val="134"/>
      <scheme val="minor"/>
    </font>
    <font>
      <sz val="11"/>
      <color theme="6" tint="0.39997558519241921"/>
      <name val="等线"/>
      <family val="2"/>
      <scheme val="minor"/>
    </font>
    <font>
      <sz val="11"/>
      <color theme="6" tint="0.39997558519241921"/>
      <name val="等线"/>
      <family val="3"/>
      <charset val="134"/>
      <scheme val="minor"/>
    </font>
    <font>
      <sz val="20"/>
      <color rgb="FFFF0000"/>
      <name val="等线"/>
      <family val="3"/>
      <charset val="134"/>
      <scheme val="minor"/>
    </font>
    <font>
      <b/>
      <sz val="11"/>
      <color rgb="FFFFFF00"/>
      <name val="等线"/>
      <family val="3"/>
      <charset val="134"/>
      <scheme val="minor"/>
    </font>
    <font>
      <sz val="11"/>
      <color theme="1"/>
      <name val="Malgun Gothic Semilight"/>
      <family val="2"/>
      <charset val="134"/>
    </font>
    <font>
      <b/>
      <sz val="11"/>
      <color theme="0"/>
      <name val="等线"/>
      <family val="3"/>
      <charset val="134"/>
      <scheme val="minor"/>
    </font>
    <font>
      <sz val="18"/>
      <color rgb="FFFF0000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sz val="7"/>
      <color rgb="FF33353C"/>
      <name val="Arial"/>
      <family val="2"/>
    </font>
    <font>
      <sz val="9"/>
      <name val="等线"/>
      <family val="2"/>
      <charset val="134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 vertical="center"/>
    </xf>
    <xf numFmtId="0" fontId="7" fillId="12" borderId="0" xfId="0" applyFont="1" applyFill="1" applyAlignment="1"/>
    <xf numFmtId="0" fontId="7" fillId="12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31" fontId="0" fillId="0" borderId="0" xfId="0" applyNumberFormat="1"/>
    <xf numFmtId="0" fontId="3" fillId="13" borderId="0" xfId="0" applyFont="1" applyFill="1" applyAlignment="1">
      <alignment horizontal="center"/>
    </xf>
    <xf numFmtId="177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0" fontId="0" fillId="14" borderId="0" xfId="0" applyNumberFormat="1" applyFill="1" applyAlignment="1">
      <alignment horizontal="center" vertical="center"/>
    </xf>
    <xf numFmtId="9" fontId="0" fillId="14" borderId="0" xfId="0" applyNumberFormat="1" applyFill="1" applyAlignment="1">
      <alignment horizontal="center" vertical="center"/>
    </xf>
    <xf numFmtId="0" fontId="2" fillId="16" borderId="0" xfId="0" applyFont="1" applyFill="1" applyAlignment="1">
      <alignment horizontal="center" vertical="center" wrapText="1"/>
    </xf>
    <xf numFmtId="0" fontId="0" fillId="3" borderId="0" xfId="0" applyFill="1"/>
    <xf numFmtId="31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58" fontId="0" fillId="0" borderId="0" xfId="0" applyNumberFormat="1"/>
    <xf numFmtId="58" fontId="0" fillId="16" borderId="0" xfId="0" applyNumberFormat="1" applyFill="1"/>
    <xf numFmtId="0" fontId="2" fillId="0" borderId="0" xfId="0" applyFont="1" applyAlignment="1">
      <alignment horizontal="center"/>
    </xf>
    <xf numFmtId="0" fontId="0" fillId="18" borderId="0" xfId="0" applyFill="1" applyAlignment="1">
      <alignment horizontal="center" vertical="center"/>
    </xf>
    <xf numFmtId="178" fontId="0" fillId="18" borderId="0" xfId="0" applyNumberFormat="1" applyFill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2" fillId="3" borderId="0" xfId="0" applyFont="1" applyFill="1"/>
    <xf numFmtId="0" fontId="11" fillId="0" borderId="0" xfId="0" applyFont="1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6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9" fontId="0" fillId="19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4" fillId="0" borderId="0" xfId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4" fillId="0" borderId="0" xfId="0" applyFont="1"/>
    <xf numFmtId="0" fontId="15" fillId="0" borderId="0" xfId="0" applyFont="1"/>
    <xf numFmtId="0" fontId="5" fillId="0" borderId="0" xfId="0" applyFont="1" applyAlignment="1">
      <alignment horizontal="left" vertical="center" wrapText="1"/>
    </xf>
    <xf numFmtId="0" fontId="0" fillId="20" borderId="0" xfId="0" applyFill="1" applyAlignment="1">
      <alignment horizontal="center" vertical="center"/>
    </xf>
    <xf numFmtId="0" fontId="5" fillId="20" borderId="0" xfId="0" applyFont="1" applyFill="1" applyAlignment="1">
      <alignment horizontal="center" vertical="center"/>
    </xf>
    <xf numFmtId="0" fontId="5" fillId="20" borderId="0" xfId="0" applyFont="1" applyFill="1" applyAlignment="1">
      <alignment horizontal="center" vertical="center"/>
    </xf>
    <xf numFmtId="0" fontId="7" fillId="12" borderId="0" xfId="0" applyFont="1" applyFill="1" applyAlignment="1">
      <alignment horizontal="center"/>
    </xf>
    <xf numFmtId="0" fontId="0" fillId="0" borderId="0" xfId="0" applyAlignment="1">
      <alignment horizontal="left" vertical="center"/>
    </xf>
    <xf numFmtId="0" fontId="7" fillId="12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16" fillId="0" borderId="0" xfId="0" applyFont="1"/>
    <xf numFmtId="49" fontId="0" fillId="0" borderId="0" xfId="0" applyNumberFormat="1" applyAlignment="1">
      <alignment horizontal="left"/>
    </xf>
    <xf numFmtId="58" fontId="0" fillId="0" borderId="0" xfId="0" applyNumberFormat="1" applyAlignment="1">
      <alignment horizontal="left"/>
    </xf>
    <xf numFmtId="9" fontId="0" fillId="4" borderId="0" xfId="0" applyNumberFormat="1" applyFont="1" applyFill="1" applyAlignment="1">
      <alignment horizontal="center" vertical="center"/>
    </xf>
    <xf numFmtId="10" fontId="0" fillId="4" borderId="0" xfId="0" applyNumberFormat="1" applyFill="1" applyAlignment="1">
      <alignment horizontal="center" vertical="center"/>
    </xf>
    <xf numFmtId="9" fontId="0" fillId="19" borderId="0" xfId="0" applyNumberFormat="1" applyFont="1" applyFill="1" applyAlignment="1">
      <alignment horizontal="center" vertical="center"/>
    </xf>
    <xf numFmtId="0" fontId="12" fillId="15" borderId="0" xfId="0" applyFont="1" applyFill="1" applyAlignment="1">
      <alignment vertical="center"/>
    </xf>
    <xf numFmtId="10" fontId="0" fillId="19" borderId="0" xfId="0" applyNumberForma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0" fillId="4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21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20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 wrapText="1"/>
    </xf>
    <xf numFmtId="0" fontId="0" fillId="16" borderId="0" xfId="0" applyFill="1" applyAlignment="1">
      <alignment horizontal="center" vertical="center"/>
    </xf>
    <xf numFmtId="0" fontId="0" fillId="16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1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16" borderId="0" xfId="0" applyFont="1" applyFill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12" fillId="15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owerPivotData" Target="model/item.data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eastmoney.com/stock/lhb/yyb/10657404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"/>
  <sheetViews>
    <sheetView zoomScaleNormal="100" workbookViewId="0">
      <selection activeCell="F3" sqref="F3"/>
    </sheetView>
  </sheetViews>
  <sheetFormatPr defaultColWidth="6.640625" defaultRowHeight="14.15" x14ac:dyDescent="0.35"/>
  <cols>
    <col min="2" max="2" width="4.5703125" customWidth="1"/>
    <col min="3" max="3" width="5.92578125" customWidth="1"/>
    <col min="4" max="4" width="20.35546875" bestFit="1" customWidth="1"/>
    <col min="5" max="5" width="12" style="49" bestFit="1" customWidth="1"/>
    <col min="6" max="6" width="21.35546875" style="32" bestFit="1" customWidth="1"/>
    <col min="7" max="7" width="20.35546875" style="32" bestFit="1" customWidth="1"/>
    <col min="8" max="8" width="12.42578125" style="32" bestFit="1" customWidth="1"/>
    <col min="9" max="9" width="18.42578125" style="32" customWidth="1"/>
    <col min="10" max="10" width="39.5" style="1" customWidth="1"/>
    <col min="11" max="11" width="18.7109375" style="1" customWidth="1"/>
    <col min="12" max="12" width="24.78515625" style="1" customWidth="1"/>
    <col min="13" max="16" width="6.640625" style="1"/>
  </cols>
  <sheetData>
    <row r="1" spans="1:13" ht="14.15" customHeight="1" x14ac:dyDescent="0.35">
      <c r="A1" s="78" t="s">
        <v>53</v>
      </c>
      <c r="B1" s="79" t="s">
        <v>58</v>
      </c>
      <c r="C1" s="5"/>
      <c r="D1" s="48" t="s">
        <v>6</v>
      </c>
      <c r="E1" s="50" t="s">
        <v>189</v>
      </c>
      <c r="F1" s="6" t="s">
        <v>21</v>
      </c>
      <c r="G1" s="6" t="s">
        <v>28</v>
      </c>
      <c r="H1" s="6" t="s">
        <v>36</v>
      </c>
      <c r="I1" s="6" t="s">
        <v>16</v>
      </c>
      <c r="J1" s="6" t="s">
        <v>154</v>
      </c>
      <c r="K1" s="7" t="s">
        <v>158</v>
      </c>
    </row>
    <row r="2" spans="1:13" ht="71.599999999999994" customHeight="1" x14ac:dyDescent="0.35">
      <c r="A2" s="78"/>
      <c r="B2" s="79"/>
      <c r="C2" s="80" t="s">
        <v>56</v>
      </c>
      <c r="D2" s="31" t="s">
        <v>159</v>
      </c>
      <c r="E2" s="39" t="s">
        <v>201</v>
      </c>
      <c r="F2" s="39" t="s">
        <v>191</v>
      </c>
      <c r="G2" s="39" t="s">
        <v>160</v>
      </c>
      <c r="H2" s="30" t="s">
        <v>192</v>
      </c>
      <c r="I2" s="30" t="s">
        <v>198</v>
      </c>
      <c r="J2" s="8" t="s">
        <v>202</v>
      </c>
      <c r="K2" s="82" t="s">
        <v>186</v>
      </c>
    </row>
    <row r="3" spans="1:13" ht="84.9" x14ac:dyDescent="0.35">
      <c r="A3" s="78"/>
      <c r="B3" s="79"/>
      <c r="C3" s="80"/>
      <c r="D3" s="31" t="s">
        <v>161</v>
      </c>
      <c r="E3" s="39" t="s">
        <v>195</v>
      </c>
      <c r="F3" s="39" t="s">
        <v>1012</v>
      </c>
      <c r="G3" s="37" t="s">
        <v>193</v>
      </c>
      <c r="H3" s="39" t="s">
        <v>194</v>
      </c>
      <c r="I3" s="30" t="s">
        <v>197</v>
      </c>
      <c r="J3" s="41" t="s">
        <v>264</v>
      </c>
      <c r="K3" s="82"/>
    </row>
    <row r="4" spans="1:13" ht="70.75" x14ac:dyDescent="0.35">
      <c r="A4" s="78"/>
      <c r="B4" s="79"/>
      <c r="C4" s="80"/>
      <c r="D4" s="31" t="s">
        <v>180</v>
      </c>
      <c r="E4" s="39" t="s">
        <v>196</v>
      </c>
      <c r="F4" s="39" t="s">
        <v>214</v>
      </c>
      <c r="G4" s="39" t="s">
        <v>213</v>
      </c>
      <c r="H4" s="30" t="s">
        <v>157</v>
      </c>
      <c r="I4" s="30" t="s">
        <v>197</v>
      </c>
      <c r="J4" s="44" t="s">
        <v>190</v>
      </c>
      <c r="K4" s="82"/>
    </row>
    <row r="5" spans="1:13" ht="70.75" x14ac:dyDescent="0.35">
      <c r="A5" s="78"/>
      <c r="B5" s="79"/>
      <c r="C5" s="80"/>
      <c r="D5" s="31" t="s">
        <v>162</v>
      </c>
      <c r="E5" s="39" t="s">
        <v>199</v>
      </c>
      <c r="F5" s="39" t="s">
        <v>200</v>
      </c>
      <c r="G5" s="39"/>
      <c r="H5" s="30" t="s">
        <v>206</v>
      </c>
      <c r="I5" s="30" t="s">
        <v>197</v>
      </c>
      <c r="J5" s="44" t="s">
        <v>163</v>
      </c>
      <c r="K5" s="82"/>
    </row>
    <row r="6" spans="1:13" ht="14.15" customHeight="1" x14ac:dyDescent="0.35">
      <c r="A6" s="78"/>
      <c r="B6" s="81" t="s">
        <v>57</v>
      </c>
      <c r="C6" s="83" t="s">
        <v>17</v>
      </c>
      <c r="D6" s="31" t="s">
        <v>2</v>
      </c>
      <c r="E6" s="39" t="s">
        <v>203</v>
      </c>
      <c r="F6" s="39"/>
      <c r="G6" s="39" t="s">
        <v>207</v>
      </c>
      <c r="H6" s="39" t="s">
        <v>205</v>
      </c>
      <c r="I6" s="86" t="s">
        <v>51</v>
      </c>
      <c r="J6" s="8" t="s">
        <v>40</v>
      </c>
      <c r="K6" s="82" t="s">
        <v>185</v>
      </c>
      <c r="M6"/>
    </row>
    <row r="7" spans="1:13" ht="14.15" customHeight="1" x14ac:dyDescent="0.35">
      <c r="A7" s="78"/>
      <c r="B7" s="81"/>
      <c r="C7" s="83"/>
      <c r="D7" s="31" t="s">
        <v>3</v>
      </c>
      <c r="E7" s="39" t="s">
        <v>203</v>
      </c>
      <c r="F7" s="39" t="s">
        <v>208</v>
      </c>
      <c r="G7" s="39"/>
      <c r="H7" s="39"/>
      <c r="I7" s="87"/>
      <c r="J7" s="8" t="s">
        <v>48</v>
      </c>
      <c r="K7" s="84"/>
    </row>
    <row r="8" spans="1:13" ht="14.15" customHeight="1" x14ac:dyDescent="0.35">
      <c r="A8" s="78"/>
      <c r="B8" s="81"/>
      <c r="C8" s="83"/>
      <c r="D8" s="31" t="s">
        <v>4</v>
      </c>
      <c r="E8" s="39" t="s">
        <v>203</v>
      </c>
      <c r="F8" s="39"/>
      <c r="G8" s="39"/>
      <c r="H8" s="39"/>
      <c r="I8" s="87"/>
      <c r="J8" s="8" t="s">
        <v>46</v>
      </c>
      <c r="K8" s="84"/>
    </row>
    <row r="9" spans="1:13" ht="14.15" customHeight="1" x14ac:dyDescent="0.35">
      <c r="A9" s="78"/>
      <c r="B9" s="81"/>
      <c r="C9" s="83"/>
      <c r="D9" s="31" t="s">
        <v>5</v>
      </c>
      <c r="E9" s="39" t="s">
        <v>203</v>
      </c>
      <c r="F9" s="39"/>
      <c r="G9" s="39"/>
      <c r="H9" s="39"/>
      <c r="I9" s="87"/>
      <c r="J9" s="8" t="s">
        <v>45</v>
      </c>
      <c r="K9" s="84"/>
    </row>
    <row r="10" spans="1:13" ht="14.15" customHeight="1" x14ac:dyDescent="0.35">
      <c r="A10" s="78"/>
      <c r="B10" s="81"/>
      <c r="C10" s="83"/>
      <c r="D10" s="31" t="s">
        <v>11</v>
      </c>
      <c r="E10" s="39" t="s">
        <v>203</v>
      </c>
      <c r="F10" s="39"/>
      <c r="G10" s="39"/>
      <c r="H10" s="39"/>
      <c r="I10" s="87"/>
      <c r="J10" s="8" t="s">
        <v>49</v>
      </c>
      <c r="K10" s="84"/>
    </row>
    <row r="11" spans="1:13" ht="14.15" customHeight="1" x14ac:dyDescent="0.35">
      <c r="A11" s="78"/>
      <c r="B11" s="81"/>
      <c r="C11" s="83"/>
      <c r="D11" s="31" t="s">
        <v>182</v>
      </c>
      <c r="E11" s="39" t="s">
        <v>204</v>
      </c>
      <c r="F11" s="39"/>
      <c r="G11" s="39"/>
      <c r="H11" s="39"/>
      <c r="I11" s="87"/>
      <c r="J11" s="8" t="s">
        <v>181</v>
      </c>
      <c r="K11" s="84"/>
    </row>
    <row r="12" spans="1:13" ht="14.15" customHeight="1" x14ac:dyDescent="0.35">
      <c r="A12" s="78"/>
      <c r="B12" s="81"/>
      <c r="C12" s="88" t="s">
        <v>18</v>
      </c>
      <c r="D12" s="31" t="s">
        <v>7</v>
      </c>
      <c r="F12" s="41"/>
      <c r="G12" s="41"/>
      <c r="H12" s="41"/>
      <c r="I12" s="87"/>
      <c r="J12" s="8" t="s">
        <v>34</v>
      </c>
      <c r="K12" s="84"/>
    </row>
    <row r="13" spans="1:13" ht="14.15" customHeight="1" x14ac:dyDescent="0.35">
      <c r="A13" s="78"/>
      <c r="B13" s="81"/>
      <c r="C13" s="88"/>
      <c r="D13" s="31" t="s">
        <v>8</v>
      </c>
      <c r="F13" s="41"/>
      <c r="G13" s="41" t="s">
        <v>155</v>
      </c>
      <c r="H13" s="41" t="s">
        <v>157</v>
      </c>
      <c r="I13" s="87"/>
      <c r="J13" s="8" t="s">
        <v>35</v>
      </c>
      <c r="K13" s="84"/>
    </row>
    <row r="14" spans="1:13" ht="14.15" customHeight="1" x14ac:dyDescent="0.35">
      <c r="A14" s="78"/>
      <c r="B14" s="81"/>
      <c r="C14" s="88"/>
      <c r="D14" s="31" t="s">
        <v>9</v>
      </c>
      <c r="F14" s="41"/>
      <c r="G14" s="41"/>
      <c r="H14" s="41"/>
      <c r="I14" s="87"/>
      <c r="J14" s="8" t="s">
        <v>156</v>
      </c>
      <c r="K14" s="84"/>
    </row>
    <row r="15" spans="1:13" ht="14.15" customHeight="1" x14ac:dyDescent="0.35">
      <c r="A15" s="78"/>
      <c r="B15" s="81"/>
      <c r="C15" s="88"/>
      <c r="D15" s="31" t="s">
        <v>10</v>
      </c>
      <c r="F15" s="41"/>
      <c r="G15" s="41"/>
      <c r="H15" s="41"/>
      <c r="I15" s="87"/>
      <c r="J15" s="8" t="s">
        <v>41</v>
      </c>
      <c r="K15" s="84"/>
    </row>
    <row r="16" spans="1:13" ht="14.15" customHeight="1" x14ac:dyDescent="0.35">
      <c r="A16" s="78"/>
      <c r="B16" s="81"/>
      <c r="C16" s="88"/>
      <c r="D16" s="31" t="s">
        <v>12</v>
      </c>
      <c r="F16" s="41"/>
      <c r="G16" s="41"/>
      <c r="H16" s="41"/>
      <c r="I16" s="87"/>
      <c r="J16" s="8" t="s">
        <v>52</v>
      </c>
      <c r="K16" s="84"/>
    </row>
    <row r="17" spans="1:16" ht="14.15" customHeight="1" x14ac:dyDescent="0.35">
      <c r="A17" s="78"/>
      <c r="B17" s="81"/>
      <c r="C17" s="88"/>
      <c r="D17" s="31" t="s">
        <v>13</v>
      </c>
      <c r="F17" s="41"/>
      <c r="G17" s="41"/>
      <c r="H17" s="41"/>
      <c r="I17" s="87"/>
      <c r="J17" s="8"/>
      <c r="K17" s="84"/>
    </row>
    <row r="18" spans="1:16" ht="14.15" customHeight="1" x14ac:dyDescent="0.35">
      <c r="A18" s="78"/>
      <c r="B18" s="81"/>
      <c r="C18" s="88"/>
      <c r="D18" s="31" t="s">
        <v>14</v>
      </c>
      <c r="F18" s="41" t="s">
        <v>210</v>
      </c>
      <c r="G18" s="41" t="s">
        <v>209</v>
      </c>
      <c r="H18" s="41"/>
      <c r="I18" s="87"/>
      <c r="J18" s="8" t="s">
        <v>38</v>
      </c>
      <c r="K18" s="84"/>
    </row>
    <row r="19" spans="1:16" ht="14.15" customHeight="1" x14ac:dyDescent="0.35">
      <c r="A19" s="78"/>
      <c r="B19" s="81"/>
      <c r="C19" s="88"/>
      <c r="D19" s="31" t="s">
        <v>43</v>
      </c>
      <c r="F19" s="41"/>
      <c r="G19" s="41"/>
      <c r="H19" s="41"/>
      <c r="I19" s="87"/>
      <c r="J19" s="8" t="s">
        <v>44</v>
      </c>
      <c r="K19" s="84"/>
    </row>
    <row r="20" spans="1:16" ht="14.15" customHeight="1" x14ac:dyDescent="0.35">
      <c r="A20" s="78"/>
      <c r="B20" s="81"/>
      <c r="C20" s="88"/>
      <c r="D20" s="31" t="s">
        <v>15</v>
      </c>
      <c r="F20" s="41"/>
      <c r="G20" s="41"/>
      <c r="H20" s="41"/>
      <c r="I20" s="87"/>
      <c r="J20" s="8" t="s">
        <v>47</v>
      </c>
      <c r="K20" s="84"/>
    </row>
    <row r="21" spans="1:16" ht="14.15" customHeight="1" x14ac:dyDescent="0.35">
      <c r="A21" s="78"/>
      <c r="B21" s="81"/>
      <c r="C21" s="88"/>
      <c r="D21" s="31" t="s">
        <v>22</v>
      </c>
      <c r="E21" s="49" t="s">
        <v>211</v>
      </c>
      <c r="F21" s="41"/>
      <c r="G21" s="41"/>
      <c r="H21" s="41"/>
      <c r="I21" s="87"/>
      <c r="J21" s="8" t="s">
        <v>39</v>
      </c>
      <c r="K21" s="84"/>
    </row>
    <row r="22" spans="1:16" ht="14.15" customHeight="1" x14ac:dyDescent="0.35">
      <c r="A22" s="78"/>
      <c r="B22" s="81"/>
      <c r="C22" s="88"/>
      <c r="D22" s="31" t="s">
        <v>20</v>
      </c>
      <c r="F22" s="41"/>
      <c r="G22" s="41"/>
      <c r="H22" s="41"/>
      <c r="I22" s="87"/>
      <c r="J22" s="8" t="s">
        <v>153</v>
      </c>
      <c r="K22" s="84"/>
    </row>
    <row r="23" spans="1:16" ht="14.15" customHeight="1" x14ac:dyDescent="0.35">
      <c r="A23" s="78"/>
      <c r="B23" s="80"/>
      <c r="C23" s="85" t="s">
        <v>212</v>
      </c>
      <c r="D23" s="31" t="s">
        <v>26</v>
      </c>
      <c r="F23" s="41"/>
      <c r="G23" s="41" t="s">
        <v>29</v>
      </c>
      <c r="H23" s="41"/>
      <c r="J23" s="8" t="s">
        <v>29</v>
      </c>
      <c r="K23" s="49"/>
    </row>
    <row r="24" spans="1:16" ht="70.75" x14ac:dyDescent="0.35">
      <c r="A24" s="78"/>
      <c r="B24" s="80"/>
      <c r="C24" s="85"/>
      <c r="D24" s="31" t="s">
        <v>90</v>
      </c>
      <c r="F24" s="41" t="s">
        <v>91</v>
      </c>
      <c r="G24" s="41"/>
      <c r="H24" s="41"/>
      <c r="J24" s="8" t="s">
        <v>91</v>
      </c>
      <c r="K24" s="49"/>
    </row>
    <row r="25" spans="1:16" x14ac:dyDescent="0.35">
      <c r="A25" s="78"/>
      <c r="B25" s="80"/>
      <c r="C25" s="85"/>
      <c r="D25" s="37" t="s">
        <v>23</v>
      </c>
      <c r="F25" s="41"/>
      <c r="G25" s="41"/>
      <c r="H25" s="41"/>
      <c r="I25" s="38"/>
      <c r="J25" s="41" t="s">
        <v>50</v>
      </c>
      <c r="K25" s="49"/>
    </row>
    <row r="26" spans="1:16" ht="14.15" customHeight="1" x14ac:dyDescent="0.35">
      <c r="A26" s="78"/>
      <c r="B26" s="80"/>
      <c r="C26" s="85"/>
      <c r="D26" s="31" t="s">
        <v>24</v>
      </c>
      <c r="F26" s="41"/>
      <c r="G26" s="41"/>
      <c r="H26" s="41"/>
      <c r="J26" s="8" t="s">
        <v>31</v>
      </c>
      <c r="K26" s="49"/>
    </row>
    <row r="27" spans="1:16" ht="14.15" customHeight="1" x14ac:dyDescent="0.35">
      <c r="A27" s="78"/>
      <c r="B27" s="80"/>
      <c r="C27" s="85"/>
      <c r="D27" s="31" t="s">
        <v>25</v>
      </c>
      <c r="F27" s="41"/>
      <c r="G27" s="41" t="s">
        <v>30</v>
      </c>
      <c r="H27" s="41"/>
      <c r="J27" s="8" t="s">
        <v>27</v>
      </c>
      <c r="K27" s="49"/>
    </row>
    <row r="28" spans="1:16" ht="14.15" customHeight="1" x14ac:dyDescent="0.35">
      <c r="A28" s="78"/>
      <c r="B28" s="80"/>
      <c r="C28" s="47"/>
      <c r="D28" s="37" t="s">
        <v>19</v>
      </c>
      <c r="F28" s="41"/>
      <c r="G28" s="41"/>
      <c r="H28" s="41"/>
      <c r="I28" s="38"/>
      <c r="J28" s="8" t="s">
        <v>42</v>
      </c>
      <c r="K28" s="49"/>
    </row>
    <row r="29" spans="1:16" ht="16.3" customHeight="1" x14ac:dyDescent="0.35">
      <c r="A29" s="78"/>
      <c r="B29" s="80"/>
      <c r="C29" s="46" t="s">
        <v>183</v>
      </c>
      <c r="D29" s="31" t="s">
        <v>188</v>
      </c>
      <c r="F29" s="41"/>
      <c r="G29" s="41"/>
      <c r="H29" s="41"/>
      <c r="J29" s="40" t="s">
        <v>187</v>
      </c>
      <c r="K29" s="49"/>
    </row>
    <row r="30" spans="1:16" ht="14.15" customHeight="1" x14ac:dyDescent="0.35">
      <c r="A30" s="78"/>
      <c r="B30" s="80"/>
      <c r="C30" s="45" t="s">
        <v>184</v>
      </c>
      <c r="D30" s="31" t="s">
        <v>33</v>
      </c>
      <c r="F30" s="41"/>
      <c r="G30" s="41"/>
      <c r="H30" s="41"/>
      <c r="J30" s="8" t="s">
        <v>32</v>
      </c>
      <c r="K30" s="49"/>
    </row>
    <row r="31" spans="1:16" ht="13.3" customHeight="1" x14ac:dyDescent="0.35">
      <c r="C31" s="4"/>
      <c r="D31" s="1"/>
      <c r="E31" s="51"/>
      <c r="F31" s="1"/>
      <c r="G31" s="1"/>
      <c r="H31" s="1"/>
      <c r="I31" s="1"/>
      <c r="O31"/>
      <c r="P31"/>
    </row>
    <row r="32" spans="1:16" ht="14.15" customHeight="1" x14ac:dyDescent="0.35">
      <c r="C32" s="4"/>
      <c r="D32" s="1"/>
      <c r="E32" s="51"/>
      <c r="F32" s="1"/>
      <c r="G32" s="1"/>
      <c r="H32" s="1"/>
      <c r="I32" s="1"/>
      <c r="O32"/>
      <c r="P32"/>
    </row>
    <row r="39" spans="1:1" x14ac:dyDescent="0.35">
      <c r="A39" s="1"/>
    </row>
  </sheetData>
  <mergeCells count="11">
    <mergeCell ref="A1:A30"/>
    <mergeCell ref="B1:B5"/>
    <mergeCell ref="B23:B30"/>
    <mergeCell ref="B6:B22"/>
    <mergeCell ref="K2:K5"/>
    <mergeCell ref="C2:C5"/>
    <mergeCell ref="C6:C11"/>
    <mergeCell ref="K6:K22"/>
    <mergeCell ref="C23:C27"/>
    <mergeCell ref="I6:I22"/>
    <mergeCell ref="C12:C22"/>
  </mergeCells>
  <phoneticPr fontId="1" type="noConversion"/>
  <hyperlinks>
    <hyperlink ref="J29" r:id="rId1" xr:uid="{37C97A0F-7CC0-4E18-A4BA-64A7049D05FB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0BFF9-F567-4705-9C7E-E21C99F47D06}">
  <dimension ref="A1:T50"/>
  <sheetViews>
    <sheetView topLeftCell="C22" workbookViewId="0">
      <selection activeCell="M45" sqref="M45"/>
    </sheetView>
  </sheetViews>
  <sheetFormatPr defaultRowHeight="14.15" x14ac:dyDescent="0.35"/>
  <cols>
    <col min="1" max="1" width="8.5" bestFit="1" customWidth="1"/>
    <col min="2" max="2" width="12.35546875" customWidth="1"/>
  </cols>
  <sheetData>
    <row r="1" spans="1:11" x14ac:dyDescent="0.35">
      <c r="A1">
        <v>2020</v>
      </c>
      <c r="B1" t="s">
        <v>165</v>
      </c>
      <c r="C1" s="22">
        <v>44877</v>
      </c>
      <c r="D1" s="94" t="s">
        <v>93</v>
      </c>
    </row>
    <row r="2" spans="1:11" x14ac:dyDescent="0.35">
      <c r="C2" s="22">
        <v>44923</v>
      </c>
      <c r="D2" s="94"/>
      <c r="E2" s="94" t="s">
        <v>94</v>
      </c>
    </row>
    <row r="3" spans="1:11" x14ac:dyDescent="0.35">
      <c r="A3">
        <v>2021</v>
      </c>
      <c r="B3" t="s">
        <v>164</v>
      </c>
      <c r="C3" s="22">
        <v>44566</v>
      </c>
      <c r="E3" s="94"/>
      <c r="F3" s="94" t="s">
        <v>95</v>
      </c>
    </row>
    <row r="4" spans="1:11" x14ac:dyDescent="0.35">
      <c r="B4">
        <v>3500</v>
      </c>
      <c r="C4" s="22">
        <v>44574</v>
      </c>
      <c r="D4" s="97" t="s">
        <v>88</v>
      </c>
      <c r="F4" s="94"/>
    </row>
    <row r="5" spans="1:11" x14ac:dyDescent="0.35">
      <c r="C5" s="23">
        <v>44580</v>
      </c>
      <c r="D5" s="97"/>
    </row>
    <row r="6" spans="1:11" x14ac:dyDescent="0.35">
      <c r="C6" s="23">
        <v>44596</v>
      </c>
      <c r="E6" s="97" t="s">
        <v>98</v>
      </c>
      <c r="I6" s="1"/>
    </row>
    <row r="7" spans="1:11" x14ac:dyDescent="0.35">
      <c r="C7" s="23">
        <v>44600</v>
      </c>
      <c r="E7" s="97"/>
      <c r="F7" s="92" t="s">
        <v>97</v>
      </c>
    </row>
    <row r="8" spans="1:11" x14ac:dyDescent="0.35">
      <c r="B8">
        <v>3700</v>
      </c>
      <c r="C8" s="23">
        <v>44616</v>
      </c>
      <c r="E8" s="97"/>
      <c r="F8" s="92"/>
      <c r="G8" s="92" t="s">
        <v>96</v>
      </c>
    </row>
    <row r="9" spans="1:11" x14ac:dyDescent="0.35">
      <c r="C9" s="23">
        <v>44628</v>
      </c>
      <c r="F9" s="92"/>
      <c r="G9" s="92"/>
    </row>
    <row r="10" spans="1:11" x14ac:dyDescent="0.35">
      <c r="B10">
        <v>3300</v>
      </c>
      <c r="C10" s="23">
        <v>44632</v>
      </c>
      <c r="G10" s="95" t="s">
        <v>92</v>
      </c>
    </row>
    <row r="11" spans="1:11" x14ac:dyDescent="0.35">
      <c r="C11" s="22">
        <v>44657</v>
      </c>
      <c r="D11" s="96" t="s">
        <v>99</v>
      </c>
      <c r="G11" s="95"/>
      <c r="H11" s="89" t="s">
        <v>102</v>
      </c>
      <c r="I11" s="92" t="s">
        <v>103</v>
      </c>
    </row>
    <row r="12" spans="1:11" x14ac:dyDescent="0.35">
      <c r="C12" s="22">
        <v>44678</v>
      </c>
      <c r="D12" s="96"/>
      <c r="E12" s="89" t="s">
        <v>100</v>
      </c>
      <c r="F12" s="90" t="s">
        <v>101</v>
      </c>
      <c r="H12" s="89"/>
      <c r="I12" s="92"/>
    </row>
    <row r="13" spans="1:11" x14ac:dyDescent="0.35">
      <c r="C13" s="22">
        <v>44700</v>
      </c>
      <c r="D13" s="96"/>
      <c r="E13" s="89"/>
      <c r="F13" s="90"/>
      <c r="G13" s="91" t="s">
        <v>106</v>
      </c>
      <c r="H13" s="89"/>
      <c r="I13" s="92"/>
      <c r="J13" s="92" t="s">
        <v>104</v>
      </c>
      <c r="K13" s="93" t="s">
        <v>105</v>
      </c>
    </row>
    <row r="14" spans="1:11" x14ac:dyDescent="0.35">
      <c r="C14" s="22"/>
      <c r="D14" s="96"/>
      <c r="E14" s="89"/>
      <c r="F14" s="90"/>
      <c r="G14" s="91"/>
      <c r="H14" s="89"/>
      <c r="I14" s="92"/>
      <c r="J14" s="92"/>
      <c r="K14" s="93"/>
    </row>
    <row r="15" spans="1:11" x14ac:dyDescent="0.35">
      <c r="B15">
        <v>3600</v>
      </c>
      <c r="C15" s="22">
        <v>44720</v>
      </c>
      <c r="E15" s="89"/>
      <c r="F15" s="90"/>
      <c r="G15" s="91"/>
      <c r="H15" s="89"/>
      <c r="J15" s="92"/>
      <c r="K15" s="93"/>
    </row>
    <row r="16" spans="1:11" x14ac:dyDescent="0.35">
      <c r="C16" s="22">
        <v>44729</v>
      </c>
      <c r="E16" s="20"/>
      <c r="F16" s="21"/>
      <c r="G16" s="91"/>
      <c r="H16" s="89"/>
      <c r="J16" s="92"/>
      <c r="K16" s="93"/>
    </row>
    <row r="17" spans="1:14" x14ac:dyDescent="0.35">
      <c r="C17" s="22">
        <v>44736</v>
      </c>
      <c r="F17" s="9"/>
      <c r="H17" s="89"/>
      <c r="K17" s="91" t="s">
        <v>111</v>
      </c>
    </row>
    <row r="18" spans="1:14" x14ac:dyDescent="0.35">
      <c r="C18" s="22">
        <v>44743</v>
      </c>
      <c r="G18" s="90" t="s">
        <v>107</v>
      </c>
      <c r="H18" s="89"/>
      <c r="I18" s="89" t="s">
        <v>108</v>
      </c>
      <c r="J18" s="90" t="s">
        <v>109</v>
      </c>
      <c r="K18" s="91"/>
    </row>
    <row r="19" spans="1:14" x14ac:dyDescent="0.35">
      <c r="B19">
        <v>3300</v>
      </c>
      <c r="G19" s="90"/>
      <c r="I19" s="89"/>
      <c r="J19" s="90"/>
      <c r="K19" s="91"/>
    </row>
    <row r="20" spans="1:14" x14ac:dyDescent="0.35">
      <c r="C20" s="22">
        <v>44779</v>
      </c>
      <c r="G20" s="90"/>
      <c r="I20" s="89"/>
      <c r="J20" s="90"/>
      <c r="K20" s="91"/>
      <c r="L20" s="89" t="s">
        <v>110</v>
      </c>
    </row>
    <row r="21" spans="1:14" x14ac:dyDescent="0.35">
      <c r="C21" s="22"/>
      <c r="G21" s="90"/>
      <c r="I21" s="89"/>
      <c r="J21" s="90"/>
      <c r="K21" s="91"/>
      <c r="L21" s="89"/>
    </row>
    <row r="22" spans="1:14" x14ac:dyDescent="0.35">
      <c r="C22" s="22">
        <v>44805</v>
      </c>
      <c r="G22" s="90"/>
      <c r="I22" s="89"/>
      <c r="J22" s="90"/>
      <c r="K22" s="91"/>
      <c r="L22" s="89"/>
    </row>
    <row r="23" spans="1:14" x14ac:dyDescent="0.35">
      <c r="B23">
        <v>3700</v>
      </c>
      <c r="C23" s="22">
        <v>44818</v>
      </c>
      <c r="G23" s="90"/>
      <c r="K23" s="91"/>
      <c r="L23" s="89"/>
    </row>
    <row r="24" spans="1:14" x14ac:dyDescent="0.35">
      <c r="L24" s="89"/>
    </row>
    <row r="25" spans="1:14" x14ac:dyDescent="0.35">
      <c r="C25" s="22">
        <v>44863</v>
      </c>
      <c r="L25" s="89"/>
    </row>
    <row r="26" spans="1:14" x14ac:dyDescent="0.35">
      <c r="C26" s="22">
        <v>44866</v>
      </c>
      <c r="L26" s="89"/>
    </row>
    <row r="27" spans="1:14" x14ac:dyDescent="0.35">
      <c r="C27" s="22">
        <v>44884</v>
      </c>
      <c r="K27" s="92" t="s">
        <v>112</v>
      </c>
      <c r="L27" s="92" t="s">
        <v>113</v>
      </c>
      <c r="M27" s="93" t="s">
        <v>114</v>
      </c>
    </row>
    <row r="28" spans="1:14" x14ac:dyDescent="0.35">
      <c r="A28">
        <v>2022</v>
      </c>
      <c r="B28" t="s">
        <v>1</v>
      </c>
      <c r="C28" s="22">
        <v>44916</v>
      </c>
      <c r="K28" s="92"/>
      <c r="L28" s="92"/>
      <c r="M28" s="93"/>
      <c r="N28" s="92" t="s">
        <v>115</v>
      </c>
    </row>
    <row r="29" spans="1:14" x14ac:dyDescent="0.35">
      <c r="B29">
        <v>3700</v>
      </c>
      <c r="C29" s="22">
        <v>1</v>
      </c>
      <c r="L29" s="92"/>
      <c r="N29" s="92"/>
    </row>
    <row r="30" spans="1:14" x14ac:dyDescent="0.35">
      <c r="C30" s="22">
        <v>44579</v>
      </c>
      <c r="L30" s="92"/>
      <c r="N30" s="92"/>
    </row>
    <row r="31" spans="1:14" x14ac:dyDescent="0.35">
      <c r="C31" s="22">
        <v>44599</v>
      </c>
      <c r="M31" s="92" t="s">
        <v>55</v>
      </c>
    </row>
    <row r="32" spans="1:14" ht="14.15" customHeight="1" x14ac:dyDescent="0.35">
      <c r="A32" t="s">
        <v>173</v>
      </c>
      <c r="B32" t="s">
        <v>177</v>
      </c>
      <c r="C32" s="22">
        <v>44622</v>
      </c>
      <c r="K32" s="99" t="s">
        <v>167</v>
      </c>
      <c r="M32" s="92"/>
    </row>
    <row r="33" spans="1:20" x14ac:dyDescent="0.35">
      <c r="C33" s="22">
        <v>44631</v>
      </c>
      <c r="K33" s="100"/>
      <c r="M33" s="92"/>
      <c r="N33" s="99" t="s">
        <v>171</v>
      </c>
    </row>
    <row r="34" spans="1:20" x14ac:dyDescent="0.35">
      <c r="C34" s="22">
        <v>44641</v>
      </c>
      <c r="K34" s="100"/>
      <c r="M34" s="92"/>
      <c r="N34" s="100"/>
      <c r="O34" s="92" t="s">
        <v>116</v>
      </c>
      <c r="T34" s="101" t="s">
        <v>54</v>
      </c>
    </row>
    <row r="35" spans="1:20" ht="14.15" customHeight="1" x14ac:dyDescent="0.35">
      <c r="A35" t="s">
        <v>174</v>
      </c>
      <c r="B35" t="s">
        <v>1</v>
      </c>
      <c r="C35" s="22">
        <v>44663</v>
      </c>
      <c r="N35" s="100"/>
      <c r="O35" s="92"/>
      <c r="T35" s="101"/>
    </row>
    <row r="36" spans="1:20" x14ac:dyDescent="0.35">
      <c r="B36">
        <v>2860</v>
      </c>
      <c r="C36" s="22">
        <v>44676</v>
      </c>
      <c r="K36" s="92" t="s">
        <v>119</v>
      </c>
      <c r="L36" s="98" t="s">
        <v>172</v>
      </c>
      <c r="M36" s="92" t="s">
        <v>55</v>
      </c>
      <c r="N36" s="92" t="s">
        <v>117</v>
      </c>
      <c r="O36" s="92"/>
      <c r="T36" s="101"/>
    </row>
    <row r="37" spans="1:20" x14ac:dyDescent="0.35">
      <c r="C37" s="22">
        <v>44694</v>
      </c>
      <c r="I37" s="101" t="s">
        <v>123</v>
      </c>
      <c r="J37" s="102" t="s">
        <v>170</v>
      </c>
      <c r="K37" s="92"/>
      <c r="L37" s="93"/>
      <c r="M37" s="92"/>
      <c r="N37" s="92"/>
      <c r="O37" s="92"/>
      <c r="P37" s="93" t="s">
        <v>168</v>
      </c>
      <c r="R37" s="103" t="s">
        <v>166</v>
      </c>
      <c r="S37" s="92" t="s">
        <v>120</v>
      </c>
      <c r="T37" s="101"/>
    </row>
    <row r="38" spans="1:20" ht="14.15" customHeight="1" x14ac:dyDescent="0.35">
      <c r="A38" t="s">
        <v>175</v>
      </c>
      <c r="B38" t="s">
        <v>178</v>
      </c>
      <c r="C38" s="22">
        <v>44702</v>
      </c>
      <c r="D38" s="94" t="s">
        <v>122</v>
      </c>
      <c r="I38" s="101"/>
      <c r="J38" s="94"/>
      <c r="K38" s="92"/>
      <c r="L38" s="92" t="s">
        <v>118</v>
      </c>
      <c r="M38" s="92"/>
      <c r="N38" s="92"/>
      <c r="O38" s="93" t="s">
        <v>121</v>
      </c>
      <c r="P38" s="93"/>
      <c r="Q38" s="93" t="s">
        <v>169</v>
      </c>
      <c r="R38" s="95"/>
      <c r="S38" s="92"/>
      <c r="T38" s="101"/>
    </row>
    <row r="39" spans="1:20" x14ac:dyDescent="0.35">
      <c r="C39" s="22">
        <v>44721</v>
      </c>
      <c r="D39" s="94"/>
      <c r="E39" s="101" t="s">
        <v>145</v>
      </c>
      <c r="G39" s="93" t="s">
        <v>124</v>
      </c>
      <c r="I39" s="101"/>
      <c r="J39" s="94"/>
      <c r="L39" s="92"/>
      <c r="O39" s="93"/>
      <c r="P39" s="93"/>
      <c r="Q39" s="93"/>
      <c r="R39" s="95"/>
      <c r="S39" s="92"/>
      <c r="T39" s="101"/>
    </row>
    <row r="40" spans="1:20" x14ac:dyDescent="0.35">
      <c r="C40" s="22">
        <v>44725</v>
      </c>
      <c r="D40" s="94"/>
      <c r="E40" s="101"/>
      <c r="G40" s="93"/>
      <c r="H40" s="92" t="s">
        <v>73</v>
      </c>
      <c r="I40" s="101"/>
      <c r="J40" s="94"/>
      <c r="L40" s="33"/>
      <c r="O40" s="93"/>
      <c r="P40" s="34"/>
      <c r="Q40" s="34"/>
      <c r="R40" s="95"/>
      <c r="S40" s="92"/>
      <c r="T40" s="35"/>
    </row>
    <row r="41" spans="1:20" x14ac:dyDescent="0.35">
      <c r="A41" s="42" t="s">
        <v>176</v>
      </c>
      <c r="B41">
        <v>3316</v>
      </c>
      <c r="C41" s="22">
        <v>44729</v>
      </c>
      <c r="D41" s="94"/>
      <c r="E41" s="101"/>
      <c r="G41" s="93"/>
      <c r="H41" s="92"/>
      <c r="I41" s="101"/>
      <c r="J41" s="94"/>
      <c r="O41" s="93"/>
      <c r="R41" s="95"/>
      <c r="S41" s="92"/>
    </row>
    <row r="42" spans="1:20" x14ac:dyDescent="0.35">
      <c r="D42" s="94"/>
      <c r="E42" s="101"/>
      <c r="G42" s="93"/>
      <c r="H42" s="92"/>
      <c r="I42" s="101"/>
      <c r="J42" s="94"/>
      <c r="O42" s="93"/>
      <c r="R42" s="95"/>
      <c r="S42" s="92"/>
    </row>
    <row r="43" spans="1:20" x14ac:dyDescent="0.35">
      <c r="A43" s="43" t="s">
        <v>179</v>
      </c>
      <c r="D43" s="94"/>
      <c r="E43" s="101"/>
      <c r="G43" s="93"/>
      <c r="H43" s="92"/>
      <c r="I43" s="101"/>
      <c r="J43" s="94"/>
      <c r="O43" s="93"/>
      <c r="R43" s="95"/>
      <c r="S43" s="92"/>
    </row>
    <row r="44" spans="1:20" x14ac:dyDescent="0.35">
      <c r="D44" s="94"/>
      <c r="E44" s="101"/>
      <c r="G44" s="93"/>
      <c r="H44" s="92"/>
      <c r="I44" s="101"/>
      <c r="J44" s="94"/>
      <c r="O44" s="93"/>
      <c r="R44" s="95"/>
      <c r="S44" s="92"/>
    </row>
    <row r="45" spans="1:20" x14ac:dyDescent="0.35">
      <c r="D45" s="94"/>
      <c r="E45" s="101"/>
      <c r="G45" s="93"/>
      <c r="H45" s="92"/>
      <c r="I45" s="101"/>
      <c r="J45" s="94"/>
      <c r="R45" s="95"/>
      <c r="S45" s="92"/>
    </row>
    <row r="46" spans="1:20" x14ac:dyDescent="0.35">
      <c r="D46" s="94"/>
      <c r="E46" s="101"/>
      <c r="G46" s="93"/>
      <c r="H46" s="92"/>
      <c r="I46" s="101"/>
      <c r="J46" s="94"/>
      <c r="R46" s="95"/>
    </row>
    <row r="47" spans="1:20" x14ac:dyDescent="0.35">
      <c r="E47" s="101"/>
      <c r="H47" s="92"/>
      <c r="I47" s="101"/>
      <c r="J47" s="94"/>
      <c r="R47" s="95"/>
    </row>
    <row r="48" spans="1:20" x14ac:dyDescent="0.35">
      <c r="E48" s="101"/>
      <c r="H48" s="92"/>
    </row>
    <row r="49" spans="5:8" x14ac:dyDescent="0.35">
      <c r="E49" s="101"/>
      <c r="H49" s="92"/>
    </row>
    <row r="50" spans="5:8" x14ac:dyDescent="0.35">
      <c r="E50" s="101"/>
    </row>
  </sheetData>
  <mergeCells count="46">
    <mergeCell ref="E39:E50"/>
    <mergeCell ref="D38:D46"/>
    <mergeCell ref="I37:I47"/>
    <mergeCell ref="G39:G46"/>
    <mergeCell ref="S37:S45"/>
    <mergeCell ref="K36:K38"/>
    <mergeCell ref="P37:P39"/>
    <mergeCell ref="H40:H49"/>
    <mergeCell ref="L38:L39"/>
    <mergeCell ref="O38:O44"/>
    <mergeCell ref="J37:J47"/>
    <mergeCell ref="R37:R47"/>
    <mergeCell ref="Q38:Q39"/>
    <mergeCell ref="M36:M38"/>
    <mergeCell ref="O34:O37"/>
    <mergeCell ref="N36:N38"/>
    <mergeCell ref="L36:L37"/>
    <mergeCell ref="N33:N35"/>
    <mergeCell ref="K32:K34"/>
    <mergeCell ref="T34:T39"/>
    <mergeCell ref="N28:N30"/>
    <mergeCell ref="D1:D2"/>
    <mergeCell ref="E2:E3"/>
    <mergeCell ref="F3:F4"/>
    <mergeCell ref="F7:F9"/>
    <mergeCell ref="G18:G23"/>
    <mergeCell ref="G13:G16"/>
    <mergeCell ref="G10:G11"/>
    <mergeCell ref="G8:G9"/>
    <mergeCell ref="D11:D14"/>
    <mergeCell ref="E6:E8"/>
    <mergeCell ref="D4:D5"/>
    <mergeCell ref="E12:E15"/>
    <mergeCell ref="F12:F15"/>
    <mergeCell ref="L20:L26"/>
    <mergeCell ref="M31:M34"/>
    <mergeCell ref="K27:K28"/>
    <mergeCell ref="L27:L30"/>
    <mergeCell ref="M27:M28"/>
    <mergeCell ref="H11:H18"/>
    <mergeCell ref="I18:I22"/>
    <mergeCell ref="J18:J22"/>
    <mergeCell ref="K17:K23"/>
    <mergeCell ref="J13:J16"/>
    <mergeCell ref="K13:K16"/>
    <mergeCell ref="I11:I14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D60B-D225-4CB7-8BAE-ACECC645510D}">
  <dimension ref="A1:I45"/>
  <sheetViews>
    <sheetView topLeftCell="A13" workbookViewId="0">
      <selection activeCell="L39" sqref="L39"/>
    </sheetView>
  </sheetViews>
  <sheetFormatPr defaultRowHeight="14.15" x14ac:dyDescent="0.35"/>
  <cols>
    <col min="1" max="1" width="14" bestFit="1" customWidth="1"/>
    <col min="2" max="2" width="7.0703125" customWidth="1"/>
    <col min="3" max="3" width="6" customWidth="1"/>
    <col min="11" max="11" width="10.42578125" customWidth="1"/>
    <col min="12" max="12" width="22.5" bestFit="1" customWidth="1"/>
  </cols>
  <sheetData>
    <row r="1" spans="1:9" x14ac:dyDescent="0.35">
      <c r="A1" s="11" t="s">
        <v>62</v>
      </c>
      <c r="B1" s="11" t="s">
        <v>63</v>
      </c>
      <c r="C1" s="11" t="s">
        <v>64</v>
      </c>
      <c r="D1" s="11" t="s">
        <v>77</v>
      </c>
      <c r="E1" s="11" t="s">
        <v>78</v>
      </c>
      <c r="F1" s="11" t="s">
        <v>65</v>
      </c>
      <c r="G1" s="11" t="s">
        <v>37</v>
      </c>
      <c r="H1" s="11" t="s">
        <v>66</v>
      </c>
      <c r="I1" s="11" t="s">
        <v>271</v>
      </c>
    </row>
    <row r="2" spans="1:9" x14ac:dyDescent="0.35">
      <c r="A2" s="10">
        <v>44713</v>
      </c>
      <c r="B2" s="12">
        <v>7</v>
      </c>
      <c r="C2" s="12">
        <v>7</v>
      </c>
      <c r="D2" s="12">
        <v>16</v>
      </c>
      <c r="E2" s="14">
        <v>0.45</v>
      </c>
      <c r="F2" s="13">
        <v>11524.28</v>
      </c>
      <c r="G2" s="13">
        <v>10846.78</v>
      </c>
      <c r="H2" s="62">
        <f t="shared" ref="H2:H30" si="0">SUM(F2-G2)/F2</f>
        <v>5.8788922171276639E-2</v>
      </c>
      <c r="I2" s="64">
        <v>3182</v>
      </c>
    </row>
    <row r="3" spans="1:9" x14ac:dyDescent="0.35">
      <c r="A3" s="10">
        <v>44714</v>
      </c>
      <c r="B3" s="12">
        <v>13</v>
      </c>
      <c r="C3" s="12">
        <v>8</v>
      </c>
      <c r="D3" s="12">
        <v>22</v>
      </c>
      <c r="E3" s="14">
        <f t="shared" ref="E3:E23" si="1">SUM((D3-B3)/D2)</f>
        <v>0.5625</v>
      </c>
      <c r="F3" s="13">
        <v>12076.34</v>
      </c>
      <c r="G3" s="13">
        <v>11226.2</v>
      </c>
      <c r="H3" s="62">
        <f t="shared" si="0"/>
        <v>7.0397156754447077E-2</v>
      </c>
      <c r="I3" s="64">
        <v>3195</v>
      </c>
    </row>
    <row r="4" spans="1:9" x14ac:dyDescent="0.35">
      <c r="A4" s="10">
        <v>44718</v>
      </c>
      <c r="B4" s="12">
        <v>13</v>
      </c>
      <c r="C4" s="12">
        <v>5</v>
      </c>
      <c r="D4" s="12">
        <v>20</v>
      </c>
      <c r="E4" s="36">
        <f t="shared" si="1"/>
        <v>0.31818181818181818</v>
      </c>
      <c r="F4" s="13">
        <v>12174.62</v>
      </c>
      <c r="G4" s="13">
        <v>11546.21</v>
      </c>
      <c r="H4" s="62">
        <f t="shared" si="0"/>
        <v>5.161639541932328E-2</v>
      </c>
      <c r="I4" s="64">
        <v>3236</v>
      </c>
    </row>
    <row r="5" spans="1:9" x14ac:dyDescent="0.35">
      <c r="A5" s="10">
        <v>44719</v>
      </c>
      <c r="B5" s="12">
        <v>13</v>
      </c>
      <c r="C5" s="12">
        <v>6</v>
      </c>
      <c r="D5" s="12">
        <v>19</v>
      </c>
      <c r="E5" s="36">
        <f t="shared" si="1"/>
        <v>0.3</v>
      </c>
      <c r="F5" s="13">
        <v>12165.13</v>
      </c>
      <c r="G5" s="13">
        <v>11793.47</v>
      </c>
      <c r="H5" s="62">
        <f t="shared" si="0"/>
        <v>3.0551255925748422E-2</v>
      </c>
      <c r="I5" s="64">
        <v>3241</v>
      </c>
    </row>
    <row r="6" spans="1:9" x14ac:dyDescent="0.35">
      <c r="A6" s="10">
        <v>44720</v>
      </c>
      <c r="B6" s="12">
        <v>8</v>
      </c>
      <c r="C6" s="61">
        <v>7</v>
      </c>
      <c r="D6" s="61">
        <v>14</v>
      </c>
      <c r="E6" s="36">
        <f t="shared" si="1"/>
        <v>0.31578947368421051</v>
      </c>
      <c r="F6" s="61">
        <v>12407.67</v>
      </c>
      <c r="G6" s="61">
        <v>12069.61</v>
      </c>
      <c r="H6" s="15">
        <f t="shared" si="0"/>
        <v>2.7246050225384739E-2</v>
      </c>
      <c r="I6" s="64">
        <v>3263</v>
      </c>
    </row>
    <row r="7" spans="1:9" x14ac:dyDescent="0.35">
      <c r="A7" s="10">
        <v>44721</v>
      </c>
      <c r="B7" s="61">
        <v>8</v>
      </c>
      <c r="C7" s="61">
        <v>8</v>
      </c>
      <c r="D7" s="61">
        <v>13</v>
      </c>
      <c r="E7" s="14">
        <f t="shared" si="1"/>
        <v>0.35714285714285715</v>
      </c>
      <c r="F7" s="61">
        <v>12366.93</v>
      </c>
      <c r="G7" s="61">
        <v>12238.14</v>
      </c>
      <c r="H7" s="15">
        <f t="shared" si="0"/>
        <v>1.0414063959285035E-2</v>
      </c>
      <c r="I7" s="64">
        <v>3248</v>
      </c>
    </row>
    <row r="8" spans="1:9" x14ac:dyDescent="0.35">
      <c r="A8" s="10">
        <v>44722</v>
      </c>
      <c r="B8" s="61">
        <v>5</v>
      </c>
      <c r="C8" s="61">
        <v>9</v>
      </c>
      <c r="D8" s="61">
        <v>14</v>
      </c>
      <c r="E8" s="14">
        <f t="shared" si="1"/>
        <v>0.69230769230769229</v>
      </c>
      <c r="F8" s="61">
        <v>13149.07</v>
      </c>
      <c r="G8" s="61">
        <v>12452.68</v>
      </c>
      <c r="H8" s="62">
        <f t="shared" si="0"/>
        <v>5.2961159990782575E-2</v>
      </c>
      <c r="I8" s="64">
        <v>3284</v>
      </c>
    </row>
    <row r="9" spans="1:9" x14ac:dyDescent="0.35">
      <c r="A9" s="10">
        <v>44725</v>
      </c>
      <c r="B9" s="61">
        <v>11</v>
      </c>
      <c r="C9" s="61">
        <v>10</v>
      </c>
      <c r="D9" s="61">
        <v>17</v>
      </c>
      <c r="E9" s="14">
        <f t="shared" si="1"/>
        <v>0.42857142857142855</v>
      </c>
      <c r="F9" s="61">
        <v>13521.76</v>
      </c>
      <c r="G9" s="61">
        <v>12722.11</v>
      </c>
      <c r="H9" s="62">
        <f t="shared" si="0"/>
        <v>5.9138011619789113E-2</v>
      </c>
      <c r="I9" s="64">
        <v>3255</v>
      </c>
    </row>
    <row r="10" spans="1:9" x14ac:dyDescent="0.35">
      <c r="A10" s="10">
        <v>44726</v>
      </c>
      <c r="B10" s="61">
        <v>8</v>
      </c>
      <c r="C10" s="61">
        <v>11</v>
      </c>
      <c r="D10" s="61">
        <v>16</v>
      </c>
      <c r="E10" s="14">
        <f t="shared" si="1"/>
        <v>0.47058823529411764</v>
      </c>
      <c r="F10" s="61">
        <v>14275.85</v>
      </c>
      <c r="G10" s="61">
        <v>13115.49</v>
      </c>
      <c r="H10" s="62">
        <f t="shared" si="0"/>
        <v>8.1281324754743187E-2</v>
      </c>
      <c r="I10" s="64">
        <v>3248</v>
      </c>
    </row>
    <row r="11" spans="1:9" x14ac:dyDescent="0.35">
      <c r="A11" s="10">
        <v>44727</v>
      </c>
      <c r="B11" s="61">
        <v>10</v>
      </c>
      <c r="C11" s="61">
        <v>8</v>
      </c>
      <c r="D11" s="61">
        <v>15</v>
      </c>
      <c r="E11" s="16">
        <f t="shared" si="1"/>
        <v>0.3125</v>
      </c>
      <c r="F11" s="61">
        <v>14250.78</v>
      </c>
      <c r="G11" s="61">
        <v>13484.12</v>
      </c>
      <c r="H11" s="62">
        <f t="shared" si="0"/>
        <v>5.379775703505351E-2</v>
      </c>
      <c r="I11" s="1">
        <v>3305</v>
      </c>
    </row>
    <row r="12" spans="1:9" x14ac:dyDescent="0.35">
      <c r="A12" s="10">
        <v>44728</v>
      </c>
      <c r="B12" s="61">
        <v>8</v>
      </c>
      <c r="C12" s="61">
        <v>9</v>
      </c>
      <c r="D12" s="61">
        <v>12</v>
      </c>
      <c r="E12" s="16">
        <f t="shared" si="1"/>
        <v>0.26666666666666666</v>
      </c>
      <c r="F12" s="61">
        <v>13866.15</v>
      </c>
      <c r="G12" s="61">
        <v>13783.96</v>
      </c>
      <c r="H12" s="15">
        <f t="shared" si="0"/>
        <v>5.9273843135982602E-3</v>
      </c>
      <c r="I12" s="64">
        <v>3285</v>
      </c>
    </row>
    <row r="13" spans="1:9" x14ac:dyDescent="0.35">
      <c r="A13" s="19">
        <v>44729</v>
      </c>
      <c r="B13" s="61">
        <v>6</v>
      </c>
      <c r="C13" s="61">
        <v>10</v>
      </c>
      <c r="D13" s="61">
        <v>10</v>
      </c>
      <c r="E13" s="16">
        <f t="shared" si="1"/>
        <v>0.33333333333333331</v>
      </c>
      <c r="F13" s="61">
        <v>13904.59</v>
      </c>
      <c r="G13" s="61">
        <v>13935.07</v>
      </c>
      <c r="H13" s="15">
        <f t="shared" si="0"/>
        <v>-2.192081895259016E-3</v>
      </c>
      <c r="I13" s="64">
        <v>3316</v>
      </c>
    </row>
    <row r="14" spans="1:9" x14ac:dyDescent="0.35">
      <c r="A14" s="19">
        <v>44732</v>
      </c>
      <c r="B14" s="61">
        <v>18</v>
      </c>
      <c r="C14" s="61">
        <v>11</v>
      </c>
      <c r="D14" s="61">
        <v>24</v>
      </c>
      <c r="E14" s="14">
        <f t="shared" si="1"/>
        <v>0.6</v>
      </c>
      <c r="F14" s="61">
        <v>14667.21</v>
      </c>
      <c r="G14" s="61">
        <v>14164.12</v>
      </c>
      <c r="H14" s="62">
        <f t="shared" si="0"/>
        <v>3.430032023813652E-2</v>
      </c>
      <c r="I14" s="64">
        <v>3315</v>
      </c>
    </row>
    <row r="15" spans="1:9" x14ac:dyDescent="0.35">
      <c r="A15" s="19">
        <v>44733</v>
      </c>
      <c r="B15" s="61">
        <v>8</v>
      </c>
      <c r="C15" s="61">
        <v>8</v>
      </c>
      <c r="D15" s="61">
        <v>13</v>
      </c>
      <c r="E15" s="16">
        <f t="shared" si="1"/>
        <v>0.20833333333333334</v>
      </c>
      <c r="F15" s="61">
        <v>14929.41</v>
      </c>
      <c r="G15" s="61">
        <v>14324.53</v>
      </c>
      <c r="H15" s="62">
        <f t="shared" si="0"/>
        <v>4.0516001637037176E-2</v>
      </c>
      <c r="I15" s="64">
        <v>3306</v>
      </c>
    </row>
    <row r="16" spans="1:9" x14ac:dyDescent="0.35">
      <c r="A16" s="19">
        <v>44734</v>
      </c>
      <c r="B16" s="61">
        <v>11</v>
      </c>
      <c r="C16" s="61">
        <v>9</v>
      </c>
      <c r="D16" s="61">
        <v>21</v>
      </c>
      <c r="E16" s="14">
        <f t="shared" si="1"/>
        <v>0.76923076923076927</v>
      </c>
      <c r="F16" s="61">
        <v>16169.07</v>
      </c>
      <c r="G16" s="61">
        <v>14661.34</v>
      </c>
      <c r="H16" s="62">
        <f t="shared" si="0"/>
        <v>9.324778728770422E-2</v>
      </c>
      <c r="I16" s="1">
        <v>3266</v>
      </c>
    </row>
    <row r="17" spans="1:9" x14ac:dyDescent="0.35">
      <c r="A17" s="19">
        <v>44735</v>
      </c>
      <c r="B17" s="61">
        <v>12</v>
      </c>
      <c r="C17" s="61">
        <v>10</v>
      </c>
      <c r="D17" s="61">
        <v>19</v>
      </c>
      <c r="E17" s="36">
        <f t="shared" si="1"/>
        <v>0.33333333333333331</v>
      </c>
      <c r="F17" s="61">
        <v>16215.64</v>
      </c>
      <c r="G17" s="61">
        <v>15131.24</v>
      </c>
      <c r="H17" s="62">
        <f t="shared" si="0"/>
        <v>6.6873709579147025E-2</v>
      </c>
      <c r="I17" s="64">
        <v>3320</v>
      </c>
    </row>
    <row r="18" spans="1:9" x14ac:dyDescent="0.35">
      <c r="A18" s="19">
        <v>44736</v>
      </c>
      <c r="B18" s="61">
        <v>16</v>
      </c>
      <c r="C18" s="61">
        <v>11</v>
      </c>
      <c r="D18" s="61">
        <v>28</v>
      </c>
      <c r="E18" s="14">
        <f t="shared" si="1"/>
        <v>0.63157894736842102</v>
      </c>
      <c r="F18" s="61">
        <v>16805</v>
      </c>
      <c r="G18" s="61">
        <v>15711</v>
      </c>
      <c r="H18" s="62">
        <f t="shared" si="0"/>
        <v>6.5099672716453436E-2</v>
      </c>
      <c r="I18" s="64">
        <v>3349</v>
      </c>
    </row>
    <row r="19" spans="1:9" x14ac:dyDescent="0.35">
      <c r="A19" s="19">
        <v>44739</v>
      </c>
      <c r="B19" s="61">
        <v>14</v>
      </c>
      <c r="C19" s="61">
        <v>7</v>
      </c>
      <c r="D19" s="61">
        <v>29</v>
      </c>
      <c r="E19" s="14">
        <f t="shared" si="1"/>
        <v>0.5357142857142857</v>
      </c>
      <c r="F19" s="61">
        <v>17565</v>
      </c>
      <c r="G19" s="61">
        <v>16291</v>
      </c>
      <c r="H19" s="62">
        <f t="shared" si="0"/>
        <v>7.2530600626245376E-2</v>
      </c>
      <c r="I19" s="64">
        <v>3379</v>
      </c>
    </row>
    <row r="20" spans="1:9" x14ac:dyDescent="0.35">
      <c r="A20" s="19">
        <v>44740</v>
      </c>
      <c r="B20" s="61">
        <v>19</v>
      </c>
      <c r="C20" s="61">
        <v>8</v>
      </c>
      <c r="D20" s="61">
        <v>43</v>
      </c>
      <c r="E20" s="55">
        <f t="shared" si="1"/>
        <v>0.82758620689655171</v>
      </c>
      <c r="F20" s="61">
        <v>18897</v>
      </c>
      <c r="G20" s="61">
        <v>17084</v>
      </c>
      <c r="H20" s="56">
        <f t="shared" si="0"/>
        <v>9.5941154680637145E-2</v>
      </c>
      <c r="I20" s="1">
        <v>3409</v>
      </c>
    </row>
    <row r="21" spans="1:9" x14ac:dyDescent="0.35">
      <c r="A21" s="19">
        <v>44741</v>
      </c>
      <c r="B21" s="61">
        <v>13</v>
      </c>
      <c r="C21" s="61">
        <v>9</v>
      </c>
      <c r="D21" s="61">
        <v>25</v>
      </c>
      <c r="E21" s="57">
        <f t="shared" si="1"/>
        <v>0.27906976744186046</v>
      </c>
      <c r="F21" s="61">
        <v>18457</v>
      </c>
      <c r="G21" s="61">
        <v>17588</v>
      </c>
      <c r="H21" s="62">
        <f t="shared" si="0"/>
        <v>4.7082407758573981E-2</v>
      </c>
      <c r="I21" s="64">
        <v>3361</v>
      </c>
    </row>
    <row r="22" spans="1:9" x14ac:dyDescent="0.35">
      <c r="A22" s="19">
        <v>44742</v>
      </c>
      <c r="B22" s="61">
        <v>4</v>
      </c>
      <c r="C22" s="61">
        <v>6</v>
      </c>
      <c r="D22" s="61">
        <v>13</v>
      </c>
      <c r="E22" s="57">
        <f t="shared" si="1"/>
        <v>0.36</v>
      </c>
      <c r="F22" s="61">
        <v>18563</v>
      </c>
      <c r="G22" s="61">
        <v>18057</v>
      </c>
      <c r="H22" s="59">
        <f t="shared" si="0"/>
        <v>2.7258525022895008E-2</v>
      </c>
      <c r="I22" s="64">
        <v>3398</v>
      </c>
    </row>
    <row r="23" spans="1:9" x14ac:dyDescent="0.35">
      <c r="A23" s="19">
        <v>44743</v>
      </c>
      <c r="B23" s="61">
        <v>7</v>
      </c>
      <c r="C23" s="61">
        <v>7</v>
      </c>
      <c r="D23" s="61">
        <v>10</v>
      </c>
      <c r="E23" s="57">
        <f t="shared" si="1"/>
        <v>0.23076923076923078</v>
      </c>
      <c r="F23" s="61">
        <v>18192</v>
      </c>
      <c r="G23" s="61">
        <v>18335</v>
      </c>
      <c r="H23" s="59">
        <f t="shared" si="0"/>
        <v>-7.860598065083553E-3</v>
      </c>
      <c r="I23" s="64">
        <v>3387</v>
      </c>
    </row>
    <row r="24" spans="1:9" x14ac:dyDescent="0.35">
      <c r="A24" s="19">
        <v>44746</v>
      </c>
      <c r="B24" s="66">
        <v>11</v>
      </c>
      <c r="C24" s="66">
        <v>5</v>
      </c>
      <c r="D24" s="66">
        <v>15</v>
      </c>
      <c r="E24" s="14">
        <f t="shared" ref="E24:E34" si="2">SUM((D24-B24)/D23)</f>
        <v>0.4</v>
      </c>
      <c r="F24" s="66">
        <v>18201</v>
      </c>
      <c r="G24" s="66">
        <v>18462</v>
      </c>
      <c r="H24" s="59">
        <f t="shared" si="0"/>
        <v>-1.4339871435635405E-2</v>
      </c>
      <c r="I24" s="1">
        <v>3405</v>
      </c>
    </row>
    <row r="25" spans="1:9" x14ac:dyDescent="0.35">
      <c r="A25" s="19">
        <v>44747</v>
      </c>
      <c r="B25" s="67">
        <v>4</v>
      </c>
      <c r="C25" s="67">
        <v>6</v>
      </c>
      <c r="D25" s="67">
        <v>10</v>
      </c>
      <c r="E25" s="14">
        <f t="shared" si="2"/>
        <v>0.4</v>
      </c>
      <c r="F25" s="67">
        <v>18556</v>
      </c>
      <c r="G25" s="67">
        <v>18394</v>
      </c>
      <c r="H25" s="59">
        <f t="shared" si="0"/>
        <v>8.7303298124595825E-3</v>
      </c>
      <c r="I25" s="1">
        <v>3404</v>
      </c>
    </row>
    <row r="26" spans="1:9" x14ac:dyDescent="0.35">
      <c r="A26" s="19">
        <v>44748</v>
      </c>
      <c r="B26" s="68">
        <v>4</v>
      </c>
      <c r="C26" s="68">
        <v>7</v>
      </c>
      <c r="D26" s="68">
        <v>11</v>
      </c>
      <c r="E26" s="14">
        <f t="shared" si="2"/>
        <v>0.7</v>
      </c>
      <c r="F26" s="68">
        <v>19861</v>
      </c>
      <c r="G26" s="68">
        <v>18700</v>
      </c>
      <c r="H26" s="63">
        <f t="shared" si="0"/>
        <v>5.8456271084034034E-2</v>
      </c>
      <c r="I26" s="1">
        <v>3355</v>
      </c>
    </row>
    <row r="27" spans="1:9" x14ac:dyDescent="0.35">
      <c r="A27" s="19">
        <v>44749</v>
      </c>
      <c r="B27" s="69">
        <v>9</v>
      </c>
      <c r="C27" s="69">
        <v>8</v>
      </c>
      <c r="D27" s="69">
        <v>14</v>
      </c>
      <c r="E27" s="14">
        <f t="shared" si="2"/>
        <v>0.45454545454545453</v>
      </c>
      <c r="F27" s="69">
        <v>20934</v>
      </c>
      <c r="G27" s="69">
        <v>19149</v>
      </c>
      <c r="H27" s="63">
        <f t="shared" si="0"/>
        <v>8.5267985096016047E-2</v>
      </c>
      <c r="I27" s="1">
        <v>3364</v>
      </c>
    </row>
    <row r="28" spans="1:9" x14ac:dyDescent="0.35">
      <c r="A28" s="19">
        <v>44750</v>
      </c>
      <c r="B28" s="70">
        <v>10</v>
      </c>
      <c r="C28" s="70">
        <v>9</v>
      </c>
      <c r="D28" s="70">
        <v>19</v>
      </c>
      <c r="E28" s="14">
        <f t="shared" si="2"/>
        <v>0.6428571428571429</v>
      </c>
      <c r="F28" s="70">
        <v>21230</v>
      </c>
      <c r="G28" s="70">
        <v>19757</v>
      </c>
      <c r="H28" s="63">
        <f t="shared" si="0"/>
        <v>6.9382948657560062E-2</v>
      </c>
      <c r="I28" s="1">
        <v>3356</v>
      </c>
    </row>
    <row r="29" spans="1:9" x14ac:dyDescent="0.35">
      <c r="A29" s="19">
        <v>44753</v>
      </c>
      <c r="B29" s="72">
        <v>7</v>
      </c>
      <c r="C29" s="72">
        <v>6</v>
      </c>
      <c r="D29" s="72">
        <v>14</v>
      </c>
      <c r="E29" s="14">
        <f t="shared" si="2"/>
        <v>0.36842105263157893</v>
      </c>
      <c r="F29" s="72">
        <v>21188</v>
      </c>
      <c r="G29" s="72">
        <v>20354</v>
      </c>
      <c r="H29" s="63">
        <f t="shared" si="0"/>
        <v>3.9361902963941854E-2</v>
      </c>
      <c r="I29" s="1">
        <v>3313</v>
      </c>
    </row>
    <row r="30" spans="1:9" x14ac:dyDescent="0.35">
      <c r="A30" s="19">
        <v>44754</v>
      </c>
      <c r="B30" s="73">
        <v>6</v>
      </c>
      <c r="C30" s="73">
        <v>7</v>
      </c>
      <c r="D30" s="73">
        <v>14</v>
      </c>
      <c r="E30" s="14">
        <f t="shared" si="2"/>
        <v>0.5714285714285714</v>
      </c>
      <c r="F30" s="73">
        <v>21887</v>
      </c>
      <c r="G30" s="73">
        <v>21018</v>
      </c>
      <c r="H30" s="63">
        <f t="shared" si="0"/>
        <v>3.970393384200667E-2</v>
      </c>
      <c r="I30" s="1">
        <v>3282</v>
      </c>
    </row>
    <row r="31" spans="1:9" x14ac:dyDescent="0.35">
      <c r="A31" s="19">
        <v>44755</v>
      </c>
      <c r="B31" s="74">
        <v>13</v>
      </c>
      <c r="C31" s="74">
        <v>6</v>
      </c>
      <c r="D31" s="74">
        <v>21</v>
      </c>
      <c r="E31" s="14">
        <f t="shared" si="2"/>
        <v>0.5714285714285714</v>
      </c>
      <c r="F31" s="74">
        <v>22754</v>
      </c>
      <c r="G31" s="74">
        <v>21594</v>
      </c>
      <c r="H31" s="63">
        <f t="shared" ref="H31:H34" si="3">SUM(F31-G31)/F31</f>
        <v>5.0980047464182124E-2</v>
      </c>
      <c r="I31" s="1">
        <v>3284</v>
      </c>
    </row>
    <row r="32" spans="1:9" x14ac:dyDescent="0.35">
      <c r="A32" s="19">
        <v>44756</v>
      </c>
      <c r="B32" s="75">
        <v>8</v>
      </c>
      <c r="C32" s="75">
        <v>7</v>
      </c>
      <c r="D32" s="75">
        <v>13</v>
      </c>
      <c r="E32" s="14">
        <f t="shared" si="2"/>
        <v>0.23809523809523808</v>
      </c>
      <c r="F32" s="75">
        <v>22022</v>
      </c>
      <c r="G32" s="75">
        <v>21822</v>
      </c>
      <c r="H32" s="63">
        <f t="shared" si="3"/>
        <v>9.0818272636454447E-3</v>
      </c>
      <c r="I32" s="1">
        <v>3281</v>
      </c>
    </row>
    <row r="33" spans="1:9" x14ac:dyDescent="0.35">
      <c r="A33" s="19">
        <v>44757</v>
      </c>
      <c r="B33" s="76">
        <v>6</v>
      </c>
      <c r="C33" s="76">
        <v>5</v>
      </c>
      <c r="D33" s="76">
        <v>14</v>
      </c>
      <c r="E33" s="14">
        <f t="shared" si="2"/>
        <v>0.61538461538461542</v>
      </c>
      <c r="F33" s="76">
        <v>23190</v>
      </c>
      <c r="G33" s="76">
        <v>22204</v>
      </c>
      <c r="H33" s="63">
        <f t="shared" si="3"/>
        <v>4.251832686502803E-2</v>
      </c>
      <c r="I33" s="1">
        <v>3228</v>
      </c>
    </row>
    <row r="34" spans="1:9" x14ac:dyDescent="0.35">
      <c r="A34" s="19">
        <v>44760</v>
      </c>
      <c r="B34" s="77">
        <v>17</v>
      </c>
      <c r="C34" s="77">
        <v>6</v>
      </c>
      <c r="D34" s="77">
        <v>23</v>
      </c>
      <c r="E34" s="14">
        <f t="shared" si="2"/>
        <v>0.42857142857142855</v>
      </c>
      <c r="F34" s="77">
        <v>24119</v>
      </c>
      <c r="G34" s="77">
        <v>22790</v>
      </c>
      <c r="H34" s="63">
        <f t="shared" si="3"/>
        <v>5.5101786972925906E-2</v>
      </c>
      <c r="I34" s="1">
        <v>3278</v>
      </c>
    </row>
    <row r="35" spans="1:9" x14ac:dyDescent="0.35">
      <c r="I35" s="1"/>
    </row>
    <row r="36" spans="1:9" x14ac:dyDescent="0.35">
      <c r="I36" s="1"/>
    </row>
    <row r="37" spans="1:9" x14ac:dyDescent="0.35">
      <c r="I37" s="1"/>
    </row>
    <row r="38" spans="1:9" x14ac:dyDescent="0.35">
      <c r="I38" s="1"/>
    </row>
    <row r="39" spans="1:9" x14ac:dyDescent="0.35">
      <c r="I39" s="1"/>
    </row>
    <row r="40" spans="1:9" x14ac:dyDescent="0.35">
      <c r="I40" s="1"/>
    </row>
    <row r="41" spans="1:9" x14ac:dyDescent="0.35">
      <c r="I41" s="1"/>
    </row>
    <row r="42" spans="1:9" x14ac:dyDescent="0.35">
      <c r="I42" s="1"/>
    </row>
    <row r="43" spans="1:9" x14ac:dyDescent="0.35">
      <c r="I43" s="1"/>
    </row>
    <row r="44" spans="1:9" x14ac:dyDescent="0.35">
      <c r="I44" s="1"/>
    </row>
    <row r="45" spans="1:9" x14ac:dyDescent="0.35">
      <c r="I45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887F7-0DF8-42D8-BE93-78B23873DC71}">
  <dimension ref="A1:M121"/>
  <sheetViews>
    <sheetView tabSelected="1" workbookViewId="0">
      <selection activeCell="E8" sqref="E8:E24"/>
    </sheetView>
  </sheetViews>
  <sheetFormatPr defaultRowHeight="14.15" x14ac:dyDescent="0.35"/>
  <cols>
    <col min="1" max="5" width="9.140625" style="9"/>
    <col min="6" max="6" width="38" style="9" bestFit="1" customWidth="1"/>
    <col min="7" max="16384" width="9.140625" style="9"/>
  </cols>
  <sheetData>
    <row r="1" spans="1:13" x14ac:dyDescent="0.35">
      <c r="A1" s="9" t="s">
        <v>292</v>
      </c>
      <c r="B1" s="9" t="s">
        <v>59</v>
      </c>
      <c r="C1" s="9" t="s">
        <v>1019</v>
      </c>
      <c r="D1" s="9" t="s">
        <v>293</v>
      </c>
      <c r="E1" s="9" t="s">
        <v>1599</v>
      </c>
      <c r="F1" s="9" t="s">
        <v>1600</v>
      </c>
      <c r="G1" s="9" t="s">
        <v>982</v>
      </c>
      <c r="H1" s="9" t="s">
        <v>1017</v>
      </c>
      <c r="I1" s="9" t="s">
        <v>1601</v>
      </c>
      <c r="J1" s="9" t="s">
        <v>1022</v>
      </c>
      <c r="K1" s="9" t="s">
        <v>1602</v>
      </c>
      <c r="L1" s="9" t="s">
        <v>1603</v>
      </c>
      <c r="M1" s="9" t="s">
        <v>1604</v>
      </c>
    </row>
    <row r="2" spans="1:13" x14ac:dyDescent="0.35">
      <c r="A2" s="9" t="s">
        <v>1051</v>
      </c>
      <c r="B2" s="9" t="s">
        <v>1052</v>
      </c>
      <c r="C2" s="9">
        <v>9.08</v>
      </c>
      <c r="D2" s="9">
        <v>1967454100</v>
      </c>
      <c r="E2" s="9">
        <v>6</v>
      </c>
      <c r="F2" s="9" t="s">
        <v>1053</v>
      </c>
      <c r="G2" s="9" t="s">
        <v>987</v>
      </c>
      <c r="H2" s="9">
        <v>0</v>
      </c>
      <c r="I2" s="9">
        <v>100</v>
      </c>
      <c r="J2" s="9">
        <v>393222</v>
      </c>
      <c r="K2" s="71">
        <v>0.39583333333333331</v>
      </c>
      <c r="L2" s="9">
        <v>3.87</v>
      </c>
      <c r="M2" s="9">
        <v>167.72</v>
      </c>
    </row>
    <row r="3" spans="1:13" x14ac:dyDescent="0.35">
      <c r="A3" s="9" t="s">
        <v>1190</v>
      </c>
      <c r="B3" s="9" t="s">
        <v>1191</v>
      </c>
      <c r="C3" s="9">
        <v>13.02</v>
      </c>
      <c r="D3" s="9">
        <v>3018501900</v>
      </c>
      <c r="E3" s="9">
        <v>5</v>
      </c>
      <c r="F3" s="9" t="s">
        <v>1302</v>
      </c>
      <c r="G3" s="9" t="s">
        <v>985</v>
      </c>
      <c r="H3" s="9">
        <v>0.5</v>
      </c>
      <c r="I3" s="9">
        <v>100</v>
      </c>
      <c r="J3" s="9">
        <v>327685</v>
      </c>
      <c r="K3" s="71">
        <v>0.44449074074074074</v>
      </c>
      <c r="L3" s="9">
        <v>23.63</v>
      </c>
      <c r="M3" s="9">
        <v>8.16</v>
      </c>
    </row>
    <row r="4" spans="1:13" x14ac:dyDescent="0.35">
      <c r="A4" s="9" t="s">
        <v>1229</v>
      </c>
      <c r="B4" s="9" t="s">
        <v>1230</v>
      </c>
      <c r="C4" s="9">
        <v>5.51</v>
      </c>
      <c r="D4" s="9">
        <v>13403180600</v>
      </c>
      <c r="E4" s="9">
        <v>4</v>
      </c>
      <c r="F4" s="9" t="s">
        <v>1588</v>
      </c>
      <c r="G4" s="9" t="s">
        <v>985</v>
      </c>
      <c r="H4" s="9">
        <v>68.599999999999994</v>
      </c>
      <c r="I4" s="9">
        <v>100</v>
      </c>
      <c r="J4" s="9">
        <v>262148</v>
      </c>
      <c r="K4" s="71">
        <v>0.39810185185185182</v>
      </c>
      <c r="L4" s="9">
        <v>2.1</v>
      </c>
      <c r="M4" s="9">
        <v>29.76</v>
      </c>
    </row>
    <row r="5" spans="1:13" x14ac:dyDescent="0.35">
      <c r="A5" s="9" t="s">
        <v>458</v>
      </c>
      <c r="B5" s="9" t="s">
        <v>459</v>
      </c>
      <c r="C5" s="9">
        <v>58.51</v>
      </c>
      <c r="D5" s="9">
        <v>4466624000</v>
      </c>
      <c r="E5" s="9">
        <v>3</v>
      </c>
      <c r="F5" s="9" t="s">
        <v>1589</v>
      </c>
      <c r="G5" s="9" t="s">
        <v>985</v>
      </c>
      <c r="H5" s="9">
        <v>25.21</v>
      </c>
      <c r="I5" s="9">
        <v>100</v>
      </c>
      <c r="J5" s="9">
        <v>196611</v>
      </c>
      <c r="K5" s="71">
        <v>0.47106481481481483</v>
      </c>
      <c r="L5" s="9">
        <v>15.16</v>
      </c>
      <c r="M5" s="9">
        <v>6.51</v>
      </c>
    </row>
    <row r="6" spans="1:13" x14ac:dyDescent="0.35">
      <c r="A6" s="9" t="s">
        <v>1456</v>
      </c>
      <c r="B6" s="9" t="s">
        <v>1457</v>
      </c>
      <c r="C6" s="9">
        <v>7.9</v>
      </c>
      <c r="D6" s="9">
        <v>7700007500</v>
      </c>
      <c r="E6" s="9">
        <v>3</v>
      </c>
      <c r="F6" s="9" t="s">
        <v>1500</v>
      </c>
      <c r="G6" s="9" t="s">
        <v>985</v>
      </c>
      <c r="H6" s="9">
        <v>76.099999999999994</v>
      </c>
      <c r="I6" s="9">
        <v>100</v>
      </c>
      <c r="J6" s="9">
        <v>196611</v>
      </c>
      <c r="K6" s="71">
        <v>0.39704861111111112</v>
      </c>
      <c r="L6" s="9">
        <v>4.93</v>
      </c>
      <c r="M6" s="9">
        <v>21.42</v>
      </c>
    </row>
    <row r="7" spans="1:13" x14ac:dyDescent="0.35">
      <c r="A7" s="9" t="s">
        <v>541</v>
      </c>
      <c r="B7" s="9" t="s">
        <v>542</v>
      </c>
      <c r="C7" s="9">
        <v>18.190000000000001</v>
      </c>
      <c r="D7" s="9">
        <v>9144407100</v>
      </c>
      <c r="E7" s="9">
        <v>3</v>
      </c>
      <c r="F7" s="9" t="s">
        <v>1413</v>
      </c>
      <c r="G7" s="9" t="s">
        <v>985</v>
      </c>
      <c r="H7" s="9">
        <v>16.72</v>
      </c>
      <c r="I7" s="9">
        <v>100</v>
      </c>
      <c r="J7" s="9">
        <v>196611</v>
      </c>
      <c r="K7" s="71">
        <v>0.4689814814814815</v>
      </c>
      <c r="L7" s="9">
        <v>7.84</v>
      </c>
      <c r="M7" s="9">
        <v>2.95</v>
      </c>
    </row>
    <row r="8" spans="1:13" x14ac:dyDescent="0.35">
      <c r="A8" s="9" t="s">
        <v>1530</v>
      </c>
      <c r="B8" s="9" t="s">
        <v>1531</v>
      </c>
      <c r="C8" s="9">
        <v>8.52</v>
      </c>
      <c r="D8" s="9">
        <v>5484793000</v>
      </c>
      <c r="E8" s="9">
        <v>2</v>
      </c>
      <c r="F8" s="9" t="s">
        <v>1605</v>
      </c>
      <c r="G8" s="9" t="s">
        <v>985</v>
      </c>
      <c r="H8" s="9">
        <v>58.06</v>
      </c>
      <c r="I8" s="9">
        <v>99.69</v>
      </c>
      <c r="J8" s="9">
        <v>131074</v>
      </c>
      <c r="K8" s="71">
        <v>0.42171296296296296</v>
      </c>
      <c r="L8" s="9">
        <v>13.62</v>
      </c>
      <c r="M8" s="9">
        <v>13.72</v>
      </c>
    </row>
    <row r="9" spans="1:13" x14ac:dyDescent="0.35">
      <c r="A9" s="9" t="s">
        <v>1038</v>
      </c>
      <c r="B9" s="9" t="s">
        <v>1039</v>
      </c>
      <c r="C9" s="9">
        <v>27.53</v>
      </c>
      <c r="D9" s="9">
        <v>3150808500</v>
      </c>
      <c r="E9" s="9">
        <v>2</v>
      </c>
      <c r="F9" s="9" t="s">
        <v>1591</v>
      </c>
      <c r="G9" s="9" t="s">
        <v>985</v>
      </c>
      <c r="H9" s="9">
        <v>39.74</v>
      </c>
      <c r="I9" s="9">
        <v>100</v>
      </c>
      <c r="J9" s="9">
        <v>131074</v>
      </c>
      <c r="K9" s="71">
        <v>0.41042824074074075</v>
      </c>
      <c r="L9" s="9">
        <v>10.08</v>
      </c>
      <c r="M9" s="9">
        <v>30.22</v>
      </c>
    </row>
    <row r="10" spans="1:13" x14ac:dyDescent="0.35">
      <c r="A10" s="9" t="s">
        <v>1001</v>
      </c>
      <c r="B10" s="9" t="s">
        <v>148</v>
      </c>
      <c r="C10" s="9">
        <v>27.23</v>
      </c>
      <c r="D10" s="9">
        <v>4874999300</v>
      </c>
      <c r="E10" s="9">
        <v>2</v>
      </c>
      <c r="F10" s="9" t="s">
        <v>1527</v>
      </c>
      <c r="G10" s="9" t="s">
        <v>985</v>
      </c>
      <c r="H10" s="9">
        <v>7.17</v>
      </c>
      <c r="I10" s="9">
        <v>98.03</v>
      </c>
      <c r="J10" s="9">
        <v>131074</v>
      </c>
      <c r="K10" s="71">
        <v>0.39600694444444445</v>
      </c>
      <c r="L10" s="9">
        <v>6.54</v>
      </c>
      <c r="M10" s="9">
        <v>72.3</v>
      </c>
    </row>
    <row r="11" spans="1:13" x14ac:dyDescent="0.35">
      <c r="A11" s="9" t="s">
        <v>1524</v>
      </c>
      <c r="B11" s="9" t="s">
        <v>1525</v>
      </c>
      <c r="C11" s="9">
        <v>6.66</v>
      </c>
      <c r="D11" s="9">
        <v>3322133500</v>
      </c>
      <c r="E11" s="9">
        <v>2</v>
      </c>
      <c r="F11" s="9" t="s">
        <v>1526</v>
      </c>
      <c r="G11" s="9" t="s">
        <v>985</v>
      </c>
      <c r="H11" s="9">
        <v>55.33</v>
      </c>
      <c r="I11" s="9">
        <v>100</v>
      </c>
      <c r="J11" s="9">
        <v>131074</v>
      </c>
      <c r="K11" s="71">
        <v>0.39652777777777781</v>
      </c>
      <c r="L11" s="9">
        <v>9.02</v>
      </c>
      <c r="M11" s="9">
        <v>22.52</v>
      </c>
    </row>
    <row r="12" spans="1:13" x14ac:dyDescent="0.35">
      <c r="A12" s="9" t="s">
        <v>1521</v>
      </c>
      <c r="B12" s="9" t="s">
        <v>1522</v>
      </c>
      <c r="C12" s="9">
        <v>11.23</v>
      </c>
      <c r="D12" s="9">
        <v>1429376500</v>
      </c>
      <c r="E12" s="9">
        <v>2</v>
      </c>
      <c r="F12" s="9" t="s">
        <v>1523</v>
      </c>
      <c r="G12" s="9" t="s">
        <v>986</v>
      </c>
      <c r="H12" s="9">
        <v>0</v>
      </c>
      <c r="I12" s="9">
        <v>80.150000000000006</v>
      </c>
      <c r="J12" s="9">
        <v>131074</v>
      </c>
      <c r="K12" s="71">
        <v>0.40956018518518517</v>
      </c>
      <c r="L12" s="9">
        <v>11.72</v>
      </c>
      <c r="M12" s="9">
        <v>19.39</v>
      </c>
    </row>
    <row r="13" spans="1:13" x14ac:dyDescent="0.35">
      <c r="A13" s="9" t="s">
        <v>883</v>
      </c>
      <c r="B13" s="9" t="s">
        <v>884</v>
      </c>
      <c r="C13" s="9">
        <v>5.39</v>
      </c>
      <c r="D13" s="9">
        <v>5926269500</v>
      </c>
      <c r="E13" s="9">
        <v>2</v>
      </c>
      <c r="F13" s="9" t="s">
        <v>1606</v>
      </c>
      <c r="G13" s="9" t="s">
        <v>987</v>
      </c>
      <c r="H13" s="9">
        <v>2.85</v>
      </c>
      <c r="I13" s="9">
        <v>100</v>
      </c>
      <c r="J13" s="9">
        <v>262151</v>
      </c>
      <c r="K13" s="71">
        <v>0.39583333333333331</v>
      </c>
      <c r="L13" s="9">
        <v>0.99</v>
      </c>
      <c r="M13" s="9">
        <v>470.06</v>
      </c>
    </row>
    <row r="14" spans="1:13" x14ac:dyDescent="0.35">
      <c r="A14" s="9" t="s">
        <v>1510</v>
      </c>
      <c r="B14" s="9" t="s">
        <v>1511</v>
      </c>
      <c r="C14" s="9">
        <v>4.2699999999999996</v>
      </c>
      <c r="D14" s="9">
        <v>3301539800</v>
      </c>
      <c r="E14" s="9">
        <v>2</v>
      </c>
      <c r="F14" s="9" t="s">
        <v>1512</v>
      </c>
      <c r="G14" s="9" t="s">
        <v>985</v>
      </c>
      <c r="H14" s="9">
        <v>31.1</v>
      </c>
      <c r="I14" s="9">
        <v>93.76</v>
      </c>
      <c r="J14" s="9">
        <v>131074</v>
      </c>
      <c r="K14" s="71">
        <v>0.58831018518518519</v>
      </c>
      <c r="L14" s="9">
        <v>18.11</v>
      </c>
      <c r="M14" s="9">
        <v>1.6</v>
      </c>
    </row>
    <row r="15" spans="1:13" x14ac:dyDescent="0.35">
      <c r="A15" s="9" t="s">
        <v>750</v>
      </c>
      <c r="B15" s="9" t="s">
        <v>751</v>
      </c>
      <c r="C15" s="9">
        <v>33.26</v>
      </c>
      <c r="D15" s="9">
        <v>17590112000</v>
      </c>
      <c r="E15" s="9">
        <v>2</v>
      </c>
      <c r="F15" s="9" t="s">
        <v>1592</v>
      </c>
      <c r="G15" s="9" t="s">
        <v>985</v>
      </c>
      <c r="H15" s="9">
        <v>57.54</v>
      </c>
      <c r="I15" s="9">
        <v>100</v>
      </c>
      <c r="J15" s="9">
        <v>131074</v>
      </c>
      <c r="K15" s="71">
        <v>0.58493055555555562</v>
      </c>
      <c r="L15" s="9">
        <v>8.66</v>
      </c>
      <c r="M15" s="9">
        <v>3.89</v>
      </c>
    </row>
    <row r="16" spans="1:13" x14ac:dyDescent="0.35">
      <c r="A16" s="9" t="s">
        <v>311</v>
      </c>
      <c r="B16" s="9" t="s">
        <v>312</v>
      </c>
      <c r="C16" s="9">
        <v>19.84</v>
      </c>
      <c r="D16" s="9">
        <v>7924036200</v>
      </c>
      <c r="E16" s="9">
        <v>2</v>
      </c>
      <c r="F16" s="9" t="s">
        <v>1593</v>
      </c>
      <c r="G16" s="9" t="s">
        <v>985</v>
      </c>
      <c r="H16" s="9">
        <v>37.69</v>
      </c>
      <c r="I16" s="9">
        <v>100</v>
      </c>
      <c r="J16" s="9">
        <v>589835</v>
      </c>
      <c r="K16" s="71">
        <v>0.3972222222222222</v>
      </c>
      <c r="L16" s="9">
        <v>11.95</v>
      </c>
      <c r="M16" s="9">
        <v>29.53</v>
      </c>
    </row>
    <row r="17" spans="1:13" x14ac:dyDescent="0.35">
      <c r="A17" s="9" t="s">
        <v>1491</v>
      </c>
      <c r="B17" s="9" t="s">
        <v>1492</v>
      </c>
      <c r="C17" s="9">
        <v>7.33</v>
      </c>
      <c r="D17" s="9">
        <v>6444598300</v>
      </c>
      <c r="E17" s="9">
        <v>2</v>
      </c>
      <c r="F17" s="9" t="s">
        <v>1493</v>
      </c>
      <c r="G17" s="9" t="s">
        <v>985</v>
      </c>
      <c r="H17" s="9">
        <v>24.57</v>
      </c>
      <c r="I17" s="9">
        <v>100</v>
      </c>
      <c r="J17" s="9">
        <v>131074</v>
      </c>
      <c r="K17" s="71">
        <v>0.6130092592592592</v>
      </c>
      <c r="L17" s="9">
        <v>14.13</v>
      </c>
      <c r="M17" s="9">
        <v>0.56999999999999995</v>
      </c>
    </row>
    <row r="18" spans="1:13" x14ac:dyDescent="0.35">
      <c r="A18" s="9" t="s">
        <v>1504</v>
      </c>
      <c r="B18" s="9" t="s">
        <v>1505</v>
      </c>
      <c r="C18" s="9">
        <v>20.61</v>
      </c>
      <c r="D18" s="9">
        <v>12173999300</v>
      </c>
      <c r="E18" s="9">
        <v>2</v>
      </c>
      <c r="F18" s="9" t="s">
        <v>1506</v>
      </c>
      <c r="G18" s="9" t="s">
        <v>985</v>
      </c>
      <c r="H18" s="9">
        <v>30.71</v>
      </c>
      <c r="I18" s="9">
        <v>97.6</v>
      </c>
      <c r="J18" s="9">
        <v>131074</v>
      </c>
      <c r="K18" s="71">
        <v>0.61780092592592595</v>
      </c>
      <c r="L18" s="9">
        <v>30.77</v>
      </c>
      <c r="M18" s="9">
        <v>2.23</v>
      </c>
    </row>
    <row r="19" spans="1:13" x14ac:dyDescent="0.35">
      <c r="A19" s="9" t="s">
        <v>1488</v>
      </c>
      <c r="B19" s="9" t="s">
        <v>1489</v>
      </c>
      <c r="C19" s="9">
        <v>19.39</v>
      </c>
      <c r="D19" s="9">
        <v>5800523400</v>
      </c>
      <c r="E19" s="9">
        <v>2</v>
      </c>
      <c r="F19" s="9" t="s">
        <v>1490</v>
      </c>
      <c r="G19" s="9" t="s">
        <v>985</v>
      </c>
      <c r="H19" s="9">
        <v>41.68</v>
      </c>
      <c r="I19" s="9">
        <v>100</v>
      </c>
      <c r="J19" s="9">
        <v>131074</v>
      </c>
      <c r="K19" s="71">
        <v>0.60642361111111109</v>
      </c>
      <c r="L19" s="9">
        <v>10.9</v>
      </c>
      <c r="M19" s="9">
        <v>2.04</v>
      </c>
    </row>
    <row r="20" spans="1:13" x14ac:dyDescent="0.35">
      <c r="A20" s="9" t="s">
        <v>1501</v>
      </c>
      <c r="B20" s="9" t="s">
        <v>1502</v>
      </c>
      <c r="C20" s="9">
        <v>8.84</v>
      </c>
      <c r="D20" s="9">
        <v>2707674600</v>
      </c>
      <c r="E20" s="9">
        <v>2</v>
      </c>
      <c r="F20" s="9" t="s">
        <v>1503</v>
      </c>
      <c r="G20" s="9" t="s">
        <v>985</v>
      </c>
      <c r="H20" s="9">
        <v>37.99</v>
      </c>
      <c r="I20" s="9">
        <v>100</v>
      </c>
      <c r="J20" s="9">
        <v>131074</v>
      </c>
      <c r="K20" s="71">
        <v>0.40226851851851847</v>
      </c>
      <c r="L20" s="9">
        <v>8.31</v>
      </c>
      <c r="M20" s="9">
        <v>9.43</v>
      </c>
    </row>
    <row r="21" spans="1:13" x14ac:dyDescent="0.35">
      <c r="A21" s="9" t="s">
        <v>638</v>
      </c>
      <c r="B21" s="9" t="s">
        <v>639</v>
      </c>
      <c r="C21" s="9">
        <v>29.84</v>
      </c>
      <c r="D21" s="9">
        <v>1867088800</v>
      </c>
      <c r="E21" s="9">
        <v>2</v>
      </c>
      <c r="F21" s="9" t="s">
        <v>1562</v>
      </c>
      <c r="G21" s="9" t="s">
        <v>985</v>
      </c>
      <c r="H21" s="9">
        <v>49.44</v>
      </c>
      <c r="I21" s="9">
        <v>100</v>
      </c>
      <c r="J21" s="9">
        <v>131074</v>
      </c>
      <c r="K21" s="71">
        <v>0.40278935185185188</v>
      </c>
      <c r="L21" s="9">
        <v>4.08</v>
      </c>
      <c r="M21" s="9">
        <v>23.91</v>
      </c>
    </row>
    <row r="22" spans="1:13" x14ac:dyDescent="0.35">
      <c r="A22" s="9" t="s">
        <v>1564</v>
      </c>
      <c r="B22" s="9" t="s">
        <v>1565</v>
      </c>
      <c r="C22" s="9">
        <v>17.61</v>
      </c>
      <c r="D22" s="9">
        <v>2282731500</v>
      </c>
      <c r="E22" s="9">
        <v>2</v>
      </c>
      <c r="F22" s="9" t="s">
        <v>1566</v>
      </c>
      <c r="G22" s="9" t="s">
        <v>985</v>
      </c>
      <c r="H22" s="9">
        <v>13.49</v>
      </c>
      <c r="I22" s="9">
        <v>93.78</v>
      </c>
      <c r="J22" s="9">
        <v>131074</v>
      </c>
      <c r="K22" s="71">
        <v>0.56967592592592597</v>
      </c>
      <c r="L22" s="9">
        <v>23.48</v>
      </c>
      <c r="M22" s="9">
        <v>4.68</v>
      </c>
    </row>
    <row r="23" spans="1:13" x14ac:dyDescent="0.35">
      <c r="A23" s="9" t="s">
        <v>532</v>
      </c>
      <c r="B23" s="9" t="s">
        <v>533</v>
      </c>
      <c r="C23" s="9">
        <v>53.7</v>
      </c>
      <c r="D23" s="9">
        <v>2239827000</v>
      </c>
      <c r="E23" s="9">
        <v>2</v>
      </c>
      <c r="F23" s="9" t="s">
        <v>1563</v>
      </c>
      <c r="G23" s="9" t="s">
        <v>985</v>
      </c>
      <c r="H23" s="9">
        <v>16.14</v>
      </c>
      <c r="I23" s="9">
        <v>100</v>
      </c>
      <c r="J23" s="9">
        <v>131074</v>
      </c>
      <c r="K23" s="71">
        <v>0.54251157407407413</v>
      </c>
      <c r="L23" s="9">
        <v>8.5500000000000007</v>
      </c>
      <c r="M23" s="9">
        <v>5.42</v>
      </c>
    </row>
    <row r="24" spans="1:13" x14ac:dyDescent="0.35">
      <c r="A24" s="9" t="s">
        <v>1559</v>
      </c>
      <c r="B24" s="9" t="s">
        <v>1560</v>
      </c>
      <c r="C24" s="9">
        <v>35.31</v>
      </c>
      <c r="D24" s="9">
        <v>2676913600</v>
      </c>
      <c r="E24" s="9">
        <v>2</v>
      </c>
      <c r="F24" s="9" t="s">
        <v>1561</v>
      </c>
      <c r="G24" s="9" t="s">
        <v>985</v>
      </c>
      <c r="H24" s="9">
        <v>14.52</v>
      </c>
      <c r="I24" s="9">
        <v>100</v>
      </c>
      <c r="J24" s="9">
        <v>131074</v>
      </c>
      <c r="K24" s="71">
        <v>0.47106481481481483</v>
      </c>
      <c r="L24" s="9">
        <v>14.54</v>
      </c>
      <c r="M24" s="9">
        <v>10.1</v>
      </c>
    </row>
    <row r="25" spans="1:13" x14ac:dyDescent="0.35">
      <c r="A25" s="9" t="s">
        <v>1539</v>
      </c>
      <c r="B25" s="9" t="s">
        <v>1540</v>
      </c>
      <c r="C25" s="9">
        <v>18.149999999999999</v>
      </c>
      <c r="D25" s="9">
        <v>43650750000</v>
      </c>
      <c r="E25" s="9">
        <v>2</v>
      </c>
      <c r="F25" s="9" t="s">
        <v>1541</v>
      </c>
      <c r="G25" s="9" t="s">
        <v>985</v>
      </c>
      <c r="H25" s="9">
        <v>62.94</v>
      </c>
      <c r="I25" s="9">
        <v>100</v>
      </c>
      <c r="J25" s="9">
        <v>131074</v>
      </c>
      <c r="K25" s="71">
        <v>0.6149768518518518</v>
      </c>
      <c r="L25" s="9">
        <v>5.98</v>
      </c>
      <c r="M25" s="9">
        <v>3.35</v>
      </c>
    </row>
    <row r="26" spans="1:13" x14ac:dyDescent="0.35">
      <c r="A26" s="9" t="s">
        <v>1607</v>
      </c>
      <c r="B26" s="9" t="s">
        <v>1608</v>
      </c>
      <c r="C26" s="9">
        <v>22.26</v>
      </c>
      <c r="D26" s="9">
        <v>667800000</v>
      </c>
      <c r="E26" s="9">
        <v>1</v>
      </c>
      <c r="F26" s="9" t="s">
        <v>1609</v>
      </c>
      <c r="G26" s="9" t="s">
        <v>985</v>
      </c>
      <c r="H26" s="9">
        <v>0</v>
      </c>
      <c r="I26" s="9">
        <v>79.77</v>
      </c>
      <c r="J26" s="9">
        <v>65537</v>
      </c>
      <c r="K26" s="71">
        <v>0.39739583333333334</v>
      </c>
      <c r="L26" s="9">
        <v>8.68</v>
      </c>
      <c r="M26" s="9">
        <v>54.96</v>
      </c>
    </row>
    <row r="27" spans="1:13" x14ac:dyDescent="0.35">
      <c r="A27" s="9" t="s">
        <v>1610</v>
      </c>
      <c r="B27" s="9" t="s">
        <v>1611</v>
      </c>
      <c r="C27" s="9">
        <v>43.66</v>
      </c>
      <c r="D27" s="9">
        <v>2307497400</v>
      </c>
      <c r="E27" s="9">
        <v>1</v>
      </c>
      <c r="F27" s="9" t="s">
        <v>1090</v>
      </c>
      <c r="G27" s="9" t="s">
        <v>985</v>
      </c>
      <c r="H27" s="9">
        <v>8.81</v>
      </c>
      <c r="I27" s="9">
        <v>100</v>
      </c>
      <c r="J27" s="9">
        <v>65537</v>
      </c>
      <c r="K27" s="71">
        <v>0.46238425925925924</v>
      </c>
      <c r="L27" s="9">
        <v>18.96</v>
      </c>
      <c r="M27" s="9">
        <v>6.06</v>
      </c>
    </row>
    <row r="28" spans="1:13" x14ac:dyDescent="0.35">
      <c r="A28" s="9" t="s">
        <v>1612</v>
      </c>
      <c r="B28" s="9" t="s">
        <v>1613</v>
      </c>
      <c r="C28" s="9">
        <v>14.71</v>
      </c>
      <c r="D28" s="9">
        <v>5563540700</v>
      </c>
      <c r="E28" s="9">
        <v>1</v>
      </c>
      <c r="F28" s="9" t="s">
        <v>1614</v>
      </c>
      <c r="G28" s="9" t="s">
        <v>985</v>
      </c>
      <c r="H28" s="9">
        <v>45.47</v>
      </c>
      <c r="I28" s="9">
        <v>92.42</v>
      </c>
      <c r="J28" s="9">
        <v>65537</v>
      </c>
      <c r="K28" s="71">
        <v>0.58348379629629632</v>
      </c>
      <c r="L28" s="9">
        <v>9.67</v>
      </c>
      <c r="M28" s="9">
        <v>0.81</v>
      </c>
    </row>
    <row r="29" spans="1:13" x14ac:dyDescent="0.35">
      <c r="A29" s="9" t="s">
        <v>1615</v>
      </c>
      <c r="B29" s="9" t="s">
        <v>1616</v>
      </c>
      <c r="C29" s="9">
        <v>3.56</v>
      </c>
      <c r="D29" s="9">
        <v>1763517200</v>
      </c>
      <c r="E29" s="9">
        <v>1</v>
      </c>
      <c r="F29" s="9" t="s">
        <v>1617</v>
      </c>
      <c r="G29" s="9" t="s">
        <v>985</v>
      </c>
      <c r="H29" s="9">
        <v>28.64</v>
      </c>
      <c r="I29" s="9">
        <v>98.64</v>
      </c>
      <c r="J29" s="9">
        <v>65537</v>
      </c>
      <c r="K29" s="71">
        <v>0.58796296296296291</v>
      </c>
      <c r="L29" s="9">
        <v>14.79</v>
      </c>
      <c r="M29" s="9">
        <v>1.1499999999999999</v>
      </c>
    </row>
    <row r="30" spans="1:13" x14ac:dyDescent="0.35">
      <c r="A30" s="9" t="s">
        <v>1618</v>
      </c>
      <c r="B30" s="9" t="s">
        <v>1619</v>
      </c>
      <c r="C30" s="9">
        <v>51.78</v>
      </c>
      <c r="D30" s="9">
        <v>1446917100</v>
      </c>
      <c r="E30" s="9">
        <v>1</v>
      </c>
      <c r="F30" s="9" t="s">
        <v>1620</v>
      </c>
      <c r="G30" s="9" t="s">
        <v>985</v>
      </c>
      <c r="H30" s="9">
        <v>2.06</v>
      </c>
      <c r="I30" s="9">
        <v>78.33</v>
      </c>
      <c r="J30" s="9">
        <v>65537</v>
      </c>
      <c r="K30" s="71">
        <v>0.62280092592592595</v>
      </c>
      <c r="L30" s="9">
        <v>29.75</v>
      </c>
      <c r="M30" s="9">
        <v>0.98</v>
      </c>
    </row>
    <row r="31" spans="1:13" x14ac:dyDescent="0.35">
      <c r="A31" s="9" t="s">
        <v>1621</v>
      </c>
      <c r="B31" s="9" t="s">
        <v>1622</v>
      </c>
      <c r="C31" s="9">
        <v>18.63</v>
      </c>
      <c r="D31" s="9">
        <v>1229719730</v>
      </c>
      <c r="E31" s="9">
        <v>1</v>
      </c>
      <c r="F31" s="9" t="s">
        <v>1623</v>
      </c>
      <c r="G31" s="9" t="s">
        <v>985</v>
      </c>
      <c r="H31" s="9">
        <v>46.75</v>
      </c>
      <c r="I31" s="9">
        <v>68.239999999999995</v>
      </c>
      <c r="J31" s="9">
        <v>65537</v>
      </c>
      <c r="K31" s="71">
        <v>0.40296296296296297</v>
      </c>
      <c r="L31" s="9">
        <v>2.5099999999999998</v>
      </c>
      <c r="M31" s="9">
        <v>115.33</v>
      </c>
    </row>
    <row r="32" spans="1:13" x14ac:dyDescent="0.35">
      <c r="A32" s="9" t="s">
        <v>1624</v>
      </c>
      <c r="B32" s="9" t="s">
        <v>1625</v>
      </c>
      <c r="C32" s="9">
        <v>22.67</v>
      </c>
      <c r="D32" s="9">
        <v>1620971500</v>
      </c>
      <c r="E32" s="9">
        <v>1</v>
      </c>
      <c r="F32" s="9" t="s">
        <v>1626</v>
      </c>
      <c r="G32" s="9" t="s">
        <v>985</v>
      </c>
      <c r="H32" s="9">
        <v>42.88</v>
      </c>
      <c r="I32" s="9">
        <v>98.86</v>
      </c>
      <c r="J32" s="9">
        <v>65537</v>
      </c>
      <c r="K32" s="71">
        <v>0.42136574074074074</v>
      </c>
      <c r="L32" s="9">
        <v>9.99</v>
      </c>
      <c r="M32" s="9">
        <v>15.46</v>
      </c>
    </row>
    <row r="33" spans="1:13" x14ac:dyDescent="0.35">
      <c r="A33" s="9" t="s">
        <v>1627</v>
      </c>
      <c r="B33" s="9" t="s">
        <v>1628</v>
      </c>
      <c r="C33" s="9">
        <v>18.84</v>
      </c>
      <c r="D33" s="9">
        <v>2368685800</v>
      </c>
      <c r="E33" s="9">
        <v>1</v>
      </c>
      <c r="F33" s="9" t="s">
        <v>1555</v>
      </c>
      <c r="G33" s="9" t="s">
        <v>985</v>
      </c>
      <c r="H33" s="9">
        <v>15.04</v>
      </c>
      <c r="I33" s="9">
        <v>99.93</v>
      </c>
      <c r="J33" s="9">
        <v>65537</v>
      </c>
      <c r="K33" s="71">
        <v>0.55103009259259261</v>
      </c>
      <c r="L33" s="9">
        <v>13.96</v>
      </c>
      <c r="M33" s="9">
        <v>9.07</v>
      </c>
    </row>
    <row r="34" spans="1:13" x14ac:dyDescent="0.35">
      <c r="A34" s="9" t="s">
        <v>588</v>
      </c>
      <c r="B34" s="9" t="s">
        <v>589</v>
      </c>
      <c r="C34" s="9">
        <v>26.96</v>
      </c>
      <c r="D34" s="9">
        <v>2126045000</v>
      </c>
      <c r="E34" s="9">
        <v>1</v>
      </c>
      <c r="F34" s="9" t="s">
        <v>1629</v>
      </c>
      <c r="G34" s="9" t="s">
        <v>985</v>
      </c>
      <c r="H34" s="9">
        <v>8.6</v>
      </c>
      <c r="I34" s="9">
        <v>100</v>
      </c>
      <c r="J34" s="9">
        <v>65537</v>
      </c>
      <c r="K34" s="71">
        <v>0.45629629629629626</v>
      </c>
      <c r="L34" s="9">
        <v>34.42</v>
      </c>
      <c r="M34" s="9">
        <v>6.32</v>
      </c>
    </row>
    <row r="35" spans="1:13" x14ac:dyDescent="0.35">
      <c r="A35" s="9" t="s">
        <v>1630</v>
      </c>
      <c r="B35" s="9" t="s">
        <v>1631</v>
      </c>
      <c r="C35" s="9">
        <v>13.44</v>
      </c>
      <c r="D35" s="9">
        <v>1430702100</v>
      </c>
      <c r="E35" s="9">
        <v>1</v>
      </c>
      <c r="F35" s="9" t="s">
        <v>1632</v>
      </c>
      <c r="G35" s="9" t="s">
        <v>985</v>
      </c>
      <c r="H35" s="9">
        <v>36.479999999999997</v>
      </c>
      <c r="I35" s="9">
        <v>86.86</v>
      </c>
      <c r="J35" s="9">
        <v>65537</v>
      </c>
      <c r="K35" s="71">
        <v>0.39844907407407404</v>
      </c>
      <c r="L35" s="9">
        <v>4.0599999999999996</v>
      </c>
      <c r="M35" s="9">
        <v>35.6</v>
      </c>
    </row>
    <row r="36" spans="1:13" x14ac:dyDescent="0.35">
      <c r="A36" s="9" t="s">
        <v>490</v>
      </c>
      <c r="B36" s="9" t="s">
        <v>146</v>
      </c>
      <c r="C36" s="9">
        <v>18.77</v>
      </c>
      <c r="D36" s="9">
        <v>2599436600</v>
      </c>
      <c r="E36" s="9">
        <v>1</v>
      </c>
      <c r="F36" s="9" t="s">
        <v>313</v>
      </c>
      <c r="G36" s="9" t="s">
        <v>985</v>
      </c>
      <c r="H36" s="9">
        <v>2.82</v>
      </c>
      <c r="I36" s="9">
        <v>99.38</v>
      </c>
      <c r="J36" s="9">
        <v>65537</v>
      </c>
      <c r="K36" s="71">
        <v>0.45438657407407407</v>
      </c>
      <c r="L36" s="9">
        <v>26.34</v>
      </c>
      <c r="M36" s="9">
        <v>3.91</v>
      </c>
    </row>
    <row r="37" spans="1:13" x14ac:dyDescent="0.35">
      <c r="A37" s="9" t="s">
        <v>593</v>
      </c>
      <c r="B37" s="9" t="s">
        <v>594</v>
      </c>
      <c r="C37" s="9">
        <v>21.65</v>
      </c>
      <c r="D37" s="9">
        <v>2927347800</v>
      </c>
      <c r="E37" s="9">
        <v>1</v>
      </c>
      <c r="F37" s="9" t="s">
        <v>796</v>
      </c>
      <c r="G37" s="9" t="s">
        <v>985</v>
      </c>
      <c r="H37" s="9">
        <v>61.07</v>
      </c>
      <c r="I37" s="9">
        <v>98.4</v>
      </c>
      <c r="J37" s="9">
        <v>65537</v>
      </c>
      <c r="K37" s="71">
        <v>0.57930555555555563</v>
      </c>
      <c r="L37" s="9">
        <v>5.91</v>
      </c>
      <c r="M37" s="9">
        <v>25.01</v>
      </c>
    </row>
    <row r="38" spans="1:13" x14ac:dyDescent="0.35">
      <c r="A38" s="9" t="s">
        <v>1633</v>
      </c>
      <c r="B38" s="9" t="s">
        <v>1634</v>
      </c>
      <c r="C38" s="9">
        <v>10.86</v>
      </c>
      <c r="D38" s="9">
        <v>1342560000</v>
      </c>
      <c r="E38" s="9">
        <v>1</v>
      </c>
      <c r="F38" s="9" t="s">
        <v>1635</v>
      </c>
      <c r="G38" s="9" t="s">
        <v>985</v>
      </c>
      <c r="H38" s="9">
        <v>21.01</v>
      </c>
      <c r="I38" s="9">
        <v>58.13</v>
      </c>
      <c r="J38" s="9">
        <v>65537</v>
      </c>
      <c r="K38" s="71">
        <v>0.4175462962962963</v>
      </c>
      <c r="L38" s="9">
        <v>12.06</v>
      </c>
      <c r="M38" s="9">
        <v>25.41</v>
      </c>
    </row>
    <row r="39" spans="1:13" x14ac:dyDescent="0.35">
      <c r="A39" s="9" t="s">
        <v>598</v>
      </c>
      <c r="B39" s="9" t="s">
        <v>599</v>
      </c>
      <c r="C39" s="9">
        <v>34.49</v>
      </c>
      <c r="D39" s="9">
        <v>4070333400</v>
      </c>
      <c r="E39" s="9">
        <v>1</v>
      </c>
      <c r="F39" s="9" t="s">
        <v>1636</v>
      </c>
      <c r="G39" s="9" t="s">
        <v>985</v>
      </c>
      <c r="H39" s="9">
        <v>35.31</v>
      </c>
      <c r="I39" s="9">
        <v>90.94</v>
      </c>
      <c r="J39" s="9">
        <v>65537</v>
      </c>
      <c r="K39" s="71">
        <v>0.40747685185185184</v>
      </c>
      <c r="L39" s="9">
        <v>3.75</v>
      </c>
      <c r="M39" s="9">
        <v>38.43</v>
      </c>
    </row>
    <row r="40" spans="1:13" x14ac:dyDescent="0.35">
      <c r="A40" s="9" t="s">
        <v>724</v>
      </c>
      <c r="B40" s="9" t="s">
        <v>725</v>
      </c>
      <c r="C40" s="9">
        <v>13.37</v>
      </c>
      <c r="D40" s="9">
        <v>1881016000</v>
      </c>
      <c r="E40" s="9">
        <v>1</v>
      </c>
      <c r="F40" s="9" t="s">
        <v>726</v>
      </c>
      <c r="G40" s="9" t="s">
        <v>985</v>
      </c>
      <c r="H40" s="9">
        <v>26.75</v>
      </c>
      <c r="I40" s="9">
        <v>63.86</v>
      </c>
      <c r="J40" s="9">
        <v>65537</v>
      </c>
      <c r="K40" s="71">
        <v>0.56290509259259258</v>
      </c>
      <c r="L40" s="9">
        <v>9.92</v>
      </c>
      <c r="M40" s="9">
        <v>8.99</v>
      </c>
    </row>
    <row r="41" spans="1:13" x14ac:dyDescent="0.35">
      <c r="A41" s="9" t="s">
        <v>391</v>
      </c>
      <c r="B41" s="9" t="s">
        <v>392</v>
      </c>
      <c r="C41" s="9">
        <v>8.4700000000000006</v>
      </c>
      <c r="D41" s="9">
        <v>3776641700</v>
      </c>
      <c r="E41" s="9">
        <v>1</v>
      </c>
      <c r="F41" s="9" t="s">
        <v>1637</v>
      </c>
      <c r="G41" s="9" t="s">
        <v>985</v>
      </c>
      <c r="H41" s="9">
        <v>7.26</v>
      </c>
      <c r="I41" s="9">
        <v>53.78</v>
      </c>
      <c r="J41" s="9">
        <v>65537</v>
      </c>
      <c r="K41" s="71">
        <v>0.46394675925925927</v>
      </c>
      <c r="L41" s="9">
        <v>4.84</v>
      </c>
      <c r="M41" s="9">
        <v>22.35</v>
      </c>
    </row>
    <row r="42" spans="1:13" x14ac:dyDescent="0.35">
      <c r="A42" s="9" t="s">
        <v>1046</v>
      </c>
      <c r="B42" s="9" t="s">
        <v>1047</v>
      </c>
      <c r="C42" s="9">
        <v>16.02</v>
      </c>
      <c r="D42" s="9">
        <v>985350420</v>
      </c>
      <c r="E42" s="9">
        <v>1</v>
      </c>
      <c r="F42" s="9" t="s">
        <v>1048</v>
      </c>
      <c r="G42" s="9" t="s">
        <v>985</v>
      </c>
      <c r="H42" s="9">
        <v>0</v>
      </c>
      <c r="I42" s="9">
        <v>99.51</v>
      </c>
      <c r="J42" s="9">
        <v>65537</v>
      </c>
      <c r="K42" s="71">
        <v>0.3994907407407407</v>
      </c>
      <c r="L42" s="9">
        <v>4.82</v>
      </c>
      <c r="M42" s="9">
        <v>99.44</v>
      </c>
    </row>
    <row r="43" spans="1:13" x14ac:dyDescent="0.35">
      <c r="A43" s="9" t="s">
        <v>1638</v>
      </c>
      <c r="B43" s="9" t="s">
        <v>1639</v>
      </c>
      <c r="C43" s="9">
        <v>13.33</v>
      </c>
      <c r="D43" s="9">
        <v>1839540000</v>
      </c>
      <c r="E43" s="9">
        <v>1</v>
      </c>
      <c r="F43" s="9" t="s">
        <v>1640</v>
      </c>
      <c r="G43" s="9" t="s">
        <v>985</v>
      </c>
      <c r="H43" s="9">
        <v>30</v>
      </c>
      <c r="I43" s="9">
        <v>71.930000000000007</v>
      </c>
      <c r="J43" s="9">
        <v>65537</v>
      </c>
      <c r="K43" s="71">
        <v>0.40400462962962963</v>
      </c>
      <c r="L43" s="9">
        <v>0.88</v>
      </c>
      <c r="M43" s="9">
        <v>201.12</v>
      </c>
    </row>
    <row r="44" spans="1:13" x14ac:dyDescent="0.35">
      <c r="A44" s="9" t="s">
        <v>1004</v>
      </c>
      <c r="B44" s="9" t="s">
        <v>1005</v>
      </c>
      <c r="C44" s="9">
        <v>11.52</v>
      </c>
      <c r="D44" s="9">
        <v>6371233400</v>
      </c>
      <c r="E44" s="9">
        <v>1</v>
      </c>
      <c r="F44" s="9" t="s">
        <v>1641</v>
      </c>
      <c r="G44" s="9" t="s">
        <v>985</v>
      </c>
      <c r="H44" s="9">
        <v>64.41</v>
      </c>
      <c r="I44" s="9">
        <v>60.96</v>
      </c>
      <c r="J44" s="9">
        <v>65537</v>
      </c>
      <c r="K44" s="71">
        <v>0.45351851851851849</v>
      </c>
      <c r="L44" s="9">
        <v>11.14</v>
      </c>
      <c r="M44" s="9">
        <v>8.42</v>
      </c>
    </row>
    <row r="45" spans="1:13" x14ac:dyDescent="0.35">
      <c r="A45" s="9" t="s">
        <v>1642</v>
      </c>
      <c r="B45" s="9" t="s">
        <v>1643</v>
      </c>
      <c r="C45" s="9">
        <v>4.3600000000000003</v>
      </c>
      <c r="D45" s="9">
        <v>4888497400</v>
      </c>
      <c r="E45" s="9">
        <v>1</v>
      </c>
      <c r="F45" s="9" t="s">
        <v>1644</v>
      </c>
      <c r="G45" s="9" t="s">
        <v>985</v>
      </c>
      <c r="H45" s="9">
        <v>21.29</v>
      </c>
      <c r="I45" s="9">
        <v>99.59</v>
      </c>
      <c r="J45" s="9">
        <v>65537</v>
      </c>
      <c r="K45" s="71">
        <v>0.560613425925926</v>
      </c>
      <c r="L45" s="9">
        <v>11.17</v>
      </c>
      <c r="M45" s="9">
        <v>6.31</v>
      </c>
    </row>
    <row r="46" spans="1:13" x14ac:dyDescent="0.35">
      <c r="A46" s="9" t="s">
        <v>1645</v>
      </c>
      <c r="B46" s="9" t="s">
        <v>1646</v>
      </c>
      <c r="C46" s="9">
        <v>4.96</v>
      </c>
      <c r="D46" s="9">
        <v>2270061900</v>
      </c>
      <c r="E46" s="9">
        <v>1</v>
      </c>
      <c r="F46" s="9" t="s">
        <v>1647</v>
      </c>
      <c r="G46" s="9" t="s">
        <v>985</v>
      </c>
      <c r="H46" s="9">
        <v>13.15</v>
      </c>
      <c r="I46" s="9">
        <v>77.66</v>
      </c>
      <c r="J46" s="9">
        <v>65537</v>
      </c>
      <c r="K46" s="71">
        <v>0.42396990740740742</v>
      </c>
      <c r="L46" s="9">
        <v>4.51</v>
      </c>
      <c r="M46" s="9">
        <v>26.95</v>
      </c>
    </row>
    <row r="47" spans="1:13" x14ac:dyDescent="0.35">
      <c r="A47" s="9" t="s">
        <v>1648</v>
      </c>
      <c r="B47" s="9" t="s">
        <v>1649</v>
      </c>
      <c r="C47" s="9">
        <v>9.06</v>
      </c>
      <c r="D47" s="9">
        <v>14707557000</v>
      </c>
      <c r="E47" s="9">
        <v>1</v>
      </c>
      <c r="F47" s="9" t="s">
        <v>1650</v>
      </c>
      <c r="G47" s="9" t="s">
        <v>985</v>
      </c>
      <c r="H47" s="9">
        <v>70.150000000000006</v>
      </c>
      <c r="I47" s="9">
        <v>31.84</v>
      </c>
      <c r="J47" s="9">
        <v>65537</v>
      </c>
      <c r="K47" s="71">
        <v>0.44223379629629633</v>
      </c>
      <c r="L47" s="9">
        <v>3.12</v>
      </c>
      <c r="M47" s="9">
        <v>7.3</v>
      </c>
    </row>
    <row r="48" spans="1:13" x14ac:dyDescent="0.35">
      <c r="A48" s="9" t="s">
        <v>1651</v>
      </c>
      <c r="B48" s="9" t="s">
        <v>1652</v>
      </c>
      <c r="C48" s="9">
        <v>3.36</v>
      </c>
      <c r="D48" s="9">
        <v>8243640400</v>
      </c>
      <c r="E48" s="9">
        <v>1</v>
      </c>
      <c r="F48" s="9" t="s">
        <v>1653</v>
      </c>
      <c r="G48" s="9" t="s">
        <v>985</v>
      </c>
      <c r="H48" s="9">
        <v>19.64</v>
      </c>
      <c r="I48" s="9">
        <v>88.83</v>
      </c>
      <c r="J48" s="9">
        <v>65537</v>
      </c>
      <c r="K48" s="71">
        <v>0.41146990740740735</v>
      </c>
      <c r="L48" s="9">
        <v>7.4</v>
      </c>
      <c r="M48" s="9">
        <v>8.49</v>
      </c>
    </row>
    <row r="49" spans="1:13" x14ac:dyDescent="0.35">
      <c r="A49" s="9" t="s">
        <v>1654</v>
      </c>
      <c r="B49" s="9" t="s">
        <v>1655</v>
      </c>
      <c r="C49" s="9">
        <v>2.02</v>
      </c>
      <c r="D49" s="9">
        <v>2625349500</v>
      </c>
      <c r="E49" s="9">
        <v>1</v>
      </c>
      <c r="F49" s="9" t="s">
        <v>1617</v>
      </c>
      <c r="G49" s="9" t="s">
        <v>985</v>
      </c>
      <c r="H49" s="9">
        <v>5.57</v>
      </c>
      <c r="I49" s="9">
        <v>73</v>
      </c>
      <c r="J49" s="9">
        <v>65537</v>
      </c>
      <c r="K49" s="71">
        <v>0.401400462962963</v>
      </c>
      <c r="L49" s="9">
        <v>2.4700000000000002</v>
      </c>
      <c r="M49" s="9">
        <v>74.489999999999995</v>
      </c>
    </row>
    <row r="50" spans="1:13" x14ac:dyDescent="0.35">
      <c r="A50" s="9" t="s">
        <v>1656</v>
      </c>
      <c r="B50" s="9" t="s">
        <v>1657</v>
      </c>
      <c r="C50" s="9">
        <v>15.68</v>
      </c>
      <c r="D50" s="9">
        <v>4662039100</v>
      </c>
      <c r="E50" s="9">
        <v>1</v>
      </c>
      <c r="F50" s="9" t="s">
        <v>1658</v>
      </c>
      <c r="G50" s="9" t="s">
        <v>985</v>
      </c>
      <c r="H50" s="9">
        <v>4.3</v>
      </c>
      <c r="I50" s="9">
        <v>61.76</v>
      </c>
      <c r="J50" s="9">
        <v>65537</v>
      </c>
      <c r="K50" s="71">
        <v>0.44483796296296302</v>
      </c>
      <c r="L50" s="9">
        <v>8.73</v>
      </c>
      <c r="M50" s="9">
        <v>14.64</v>
      </c>
    </row>
    <row r="51" spans="1:13" x14ac:dyDescent="0.35">
      <c r="A51" s="9" t="s">
        <v>1659</v>
      </c>
      <c r="B51" s="9" t="s">
        <v>1660</v>
      </c>
      <c r="C51" s="9">
        <v>4.0199999999999996</v>
      </c>
      <c r="D51" s="9">
        <v>3012590300</v>
      </c>
      <c r="E51" s="9">
        <v>1</v>
      </c>
      <c r="F51" s="9" t="s">
        <v>1661</v>
      </c>
      <c r="G51" s="9" t="s">
        <v>985</v>
      </c>
      <c r="H51" s="9">
        <v>28.37</v>
      </c>
      <c r="I51" s="9">
        <v>65.33</v>
      </c>
      <c r="J51" s="9">
        <v>65537</v>
      </c>
      <c r="K51" s="71">
        <v>0.42206018518518523</v>
      </c>
      <c r="L51" s="9">
        <v>6.21</v>
      </c>
      <c r="M51" s="9">
        <v>37.86</v>
      </c>
    </row>
    <row r="52" spans="1:13" x14ac:dyDescent="0.35">
      <c r="A52" s="9" t="s">
        <v>1225</v>
      </c>
      <c r="B52" s="9" t="s">
        <v>1226</v>
      </c>
      <c r="C52" s="9">
        <v>6.28</v>
      </c>
      <c r="D52" s="9">
        <v>1966839300</v>
      </c>
      <c r="E52" s="9">
        <v>1</v>
      </c>
      <c r="F52" s="9" t="s">
        <v>1227</v>
      </c>
      <c r="G52" s="9" t="s">
        <v>985</v>
      </c>
      <c r="H52" s="9">
        <v>29.81</v>
      </c>
      <c r="I52" s="9">
        <v>87.59</v>
      </c>
      <c r="J52" s="9">
        <v>131076</v>
      </c>
      <c r="K52" s="71">
        <v>0.39810185185185182</v>
      </c>
      <c r="L52" s="9">
        <v>4.43</v>
      </c>
      <c r="M52" s="9">
        <v>110.84</v>
      </c>
    </row>
    <row r="53" spans="1:13" x14ac:dyDescent="0.35">
      <c r="A53" s="9" t="s">
        <v>378</v>
      </c>
      <c r="B53" s="9" t="s">
        <v>379</v>
      </c>
      <c r="C53" s="9">
        <v>5.78</v>
      </c>
      <c r="D53" s="9">
        <v>2717797900</v>
      </c>
      <c r="E53" s="9">
        <v>1</v>
      </c>
      <c r="F53" s="9" t="s">
        <v>1201</v>
      </c>
      <c r="G53" s="9" t="s">
        <v>985</v>
      </c>
      <c r="H53" s="9">
        <v>23.79</v>
      </c>
      <c r="I53" s="9">
        <v>99.75</v>
      </c>
      <c r="J53" s="9">
        <v>131076</v>
      </c>
      <c r="K53" s="71">
        <v>0.39600694444444445</v>
      </c>
      <c r="L53" s="9">
        <v>2.57</v>
      </c>
      <c r="M53" s="9">
        <v>51.73</v>
      </c>
    </row>
    <row r="54" spans="1:13" x14ac:dyDescent="0.35">
      <c r="A54" s="9" t="s">
        <v>328</v>
      </c>
      <c r="B54" s="9" t="s">
        <v>277</v>
      </c>
      <c r="C54" s="9">
        <v>11.39</v>
      </c>
      <c r="D54" s="9">
        <v>3076526300</v>
      </c>
      <c r="E54" s="9">
        <v>1</v>
      </c>
      <c r="F54" s="9" t="s">
        <v>1662</v>
      </c>
      <c r="G54" s="9" t="s">
        <v>985</v>
      </c>
      <c r="H54" s="9">
        <v>34.43</v>
      </c>
      <c r="I54" s="9">
        <v>89.88</v>
      </c>
      <c r="J54" s="9">
        <v>65537</v>
      </c>
      <c r="K54" s="71">
        <v>0.39635416666666662</v>
      </c>
      <c r="L54" s="9">
        <v>3.33</v>
      </c>
      <c r="M54" s="9">
        <v>78.14</v>
      </c>
    </row>
    <row r="55" spans="1:13" x14ac:dyDescent="0.35">
      <c r="A55" s="9" t="s">
        <v>1314</v>
      </c>
      <c r="B55" s="9" t="s">
        <v>1315</v>
      </c>
      <c r="C55" s="9">
        <v>22.67</v>
      </c>
      <c r="D55" s="9">
        <v>19943728000</v>
      </c>
      <c r="E55" s="9">
        <v>1</v>
      </c>
      <c r="F55" s="9" t="s">
        <v>1663</v>
      </c>
      <c r="G55" s="9" t="s">
        <v>985</v>
      </c>
      <c r="H55" s="9">
        <v>22.52</v>
      </c>
      <c r="I55" s="9">
        <v>100</v>
      </c>
      <c r="J55" s="9">
        <v>131076</v>
      </c>
      <c r="K55" s="71">
        <v>0.583125</v>
      </c>
      <c r="L55" s="9">
        <v>9.7899999999999991</v>
      </c>
      <c r="M55" s="9">
        <v>2.5299999999999998</v>
      </c>
    </row>
    <row r="56" spans="1:13" x14ac:dyDescent="0.35">
      <c r="A56" s="9" t="s">
        <v>1664</v>
      </c>
      <c r="B56" s="9" t="s">
        <v>1665</v>
      </c>
      <c r="C56" s="9">
        <v>20.5</v>
      </c>
      <c r="D56" s="9">
        <v>14872969000</v>
      </c>
      <c r="E56" s="9">
        <v>1</v>
      </c>
      <c r="F56" s="9" t="s">
        <v>1666</v>
      </c>
      <c r="G56" s="9" t="s">
        <v>985</v>
      </c>
      <c r="H56" s="9">
        <v>82.51</v>
      </c>
      <c r="I56" s="9">
        <v>91.6</v>
      </c>
      <c r="J56" s="9">
        <v>65537</v>
      </c>
      <c r="K56" s="71">
        <v>0.62186342592592592</v>
      </c>
      <c r="L56" s="9">
        <v>4.24</v>
      </c>
      <c r="M56" s="9">
        <v>1.98</v>
      </c>
    </row>
    <row r="57" spans="1:13" x14ac:dyDescent="0.35">
      <c r="A57" s="9" t="s">
        <v>712</v>
      </c>
      <c r="B57" s="9" t="s">
        <v>713</v>
      </c>
      <c r="C57" s="9">
        <v>3.34</v>
      </c>
      <c r="D57" s="9">
        <v>4665040700</v>
      </c>
      <c r="E57" s="9">
        <v>1</v>
      </c>
      <c r="F57" s="9" t="s">
        <v>127</v>
      </c>
      <c r="G57" s="9" t="s">
        <v>985</v>
      </c>
      <c r="H57" s="9">
        <v>36.72</v>
      </c>
      <c r="I57" s="9">
        <v>85.04</v>
      </c>
      <c r="J57" s="9">
        <v>262152</v>
      </c>
      <c r="K57" s="71">
        <v>0.560613425925926</v>
      </c>
      <c r="L57" s="9">
        <v>10.17</v>
      </c>
      <c r="M57" s="9">
        <v>9.82</v>
      </c>
    </row>
    <row r="58" spans="1:13" x14ac:dyDescent="0.35">
      <c r="A58" s="9" t="s">
        <v>1667</v>
      </c>
      <c r="B58" s="9" t="s">
        <v>1668</v>
      </c>
      <c r="C58" s="9">
        <v>34.76</v>
      </c>
      <c r="D58" s="9">
        <v>19651803000</v>
      </c>
      <c r="E58" s="9">
        <v>1</v>
      </c>
      <c r="F58" s="9" t="s">
        <v>1669</v>
      </c>
      <c r="G58" s="9" t="s">
        <v>985</v>
      </c>
      <c r="H58" s="9">
        <v>65.17</v>
      </c>
      <c r="I58" s="9">
        <v>100</v>
      </c>
      <c r="J58" s="9">
        <v>65537</v>
      </c>
      <c r="K58" s="71">
        <v>0.46741898148148148</v>
      </c>
      <c r="L58" s="9">
        <v>4.13</v>
      </c>
      <c r="M58" s="9">
        <v>11.04</v>
      </c>
    </row>
    <row r="59" spans="1:13" x14ac:dyDescent="0.35">
      <c r="A59" s="9" t="s">
        <v>710</v>
      </c>
      <c r="B59" s="9" t="s">
        <v>711</v>
      </c>
      <c r="C59" s="9">
        <v>15.75</v>
      </c>
      <c r="D59" s="9">
        <v>8726039700</v>
      </c>
      <c r="E59" s="9">
        <v>1</v>
      </c>
      <c r="F59" s="9" t="s">
        <v>855</v>
      </c>
      <c r="G59" s="9" t="s">
        <v>985</v>
      </c>
      <c r="H59" s="9">
        <v>24.38</v>
      </c>
      <c r="I59" s="9">
        <v>100</v>
      </c>
      <c r="J59" s="9">
        <v>393224</v>
      </c>
      <c r="K59" s="71">
        <v>0.61964120370370368</v>
      </c>
      <c r="L59" s="9">
        <v>31.16</v>
      </c>
      <c r="M59" s="9">
        <v>0.99</v>
      </c>
    </row>
    <row r="60" spans="1:13" x14ac:dyDescent="0.35">
      <c r="A60" s="9" t="s">
        <v>1670</v>
      </c>
      <c r="B60" s="9" t="s">
        <v>1671</v>
      </c>
      <c r="C60" s="9">
        <v>3.64</v>
      </c>
      <c r="D60" s="9">
        <v>3031296900</v>
      </c>
      <c r="E60" s="9">
        <v>1</v>
      </c>
      <c r="F60" s="9" t="s">
        <v>1672</v>
      </c>
      <c r="G60" s="9" t="s">
        <v>985</v>
      </c>
      <c r="H60" s="9">
        <v>24.02</v>
      </c>
      <c r="I60" s="9">
        <v>79.069999999999993</v>
      </c>
      <c r="J60" s="9">
        <v>65537</v>
      </c>
      <c r="K60" s="71">
        <v>0.45752314814814815</v>
      </c>
      <c r="L60" s="9">
        <v>4.47</v>
      </c>
      <c r="M60" s="9">
        <v>27.49</v>
      </c>
    </row>
    <row r="61" spans="1:13" x14ac:dyDescent="0.35">
      <c r="A61" s="9" t="s">
        <v>1673</v>
      </c>
      <c r="B61" s="9" t="s">
        <v>1674</v>
      </c>
      <c r="C61" s="9">
        <v>10.11</v>
      </c>
      <c r="D61" s="9">
        <v>4032333400</v>
      </c>
      <c r="E61" s="9">
        <v>1</v>
      </c>
      <c r="F61" s="9" t="s">
        <v>1675</v>
      </c>
      <c r="G61" s="9" t="s">
        <v>985</v>
      </c>
      <c r="H61" s="9">
        <v>11.39</v>
      </c>
      <c r="I61" s="9">
        <v>100</v>
      </c>
      <c r="J61" s="9">
        <v>65537</v>
      </c>
      <c r="K61" s="71">
        <v>0.60074074074074069</v>
      </c>
      <c r="L61" s="9">
        <v>5.81</v>
      </c>
      <c r="M61" s="9">
        <v>7.65</v>
      </c>
    </row>
    <row r="62" spans="1:13" x14ac:dyDescent="0.35">
      <c r="A62" s="9" t="s">
        <v>1676</v>
      </c>
      <c r="B62" s="9" t="s">
        <v>1677</v>
      </c>
      <c r="C62" s="9">
        <v>2.5</v>
      </c>
      <c r="D62" s="9">
        <v>7749821800</v>
      </c>
      <c r="E62" s="9">
        <v>1</v>
      </c>
      <c r="F62" s="9" t="s">
        <v>1678</v>
      </c>
      <c r="G62" s="9" t="s">
        <v>985</v>
      </c>
      <c r="H62" s="9">
        <v>18.16</v>
      </c>
      <c r="I62" s="9">
        <v>99.8</v>
      </c>
      <c r="J62" s="9">
        <v>65537</v>
      </c>
      <c r="K62" s="71">
        <v>0.54181712962962958</v>
      </c>
      <c r="L62" s="9">
        <v>5.0599999999999996</v>
      </c>
      <c r="M62" s="9">
        <v>11.39</v>
      </c>
    </row>
    <row r="63" spans="1:13" x14ac:dyDescent="0.35">
      <c r="A63" s="9" t="s">
        <v>1058</v>
      </c>
      <c r="B63" s="9" t="s">
        <v>1059</v>
      </c>
      <c r="C63" s="9">
        <v>5.04</v>
      </c>
      <c r="D63" s="9">
        <v>2962163000</v>
      </c>
      <c r="E63" s="9">
        <v>1</v>
      </c>
      <c r="F63" s="9" t="s">
        <v>1132</v>
      </c>
      <c r="G63" s="9" t="s">
        <v>985</v>
      </c>
      <c r="H63" s="9">
        <v>32.909999999999997</v>
      </c>
      <c r="I63" s="9">
        <v>72.290000000000006</v>
      </c>
      <c r="J63" s="9">
        <v>262150</v>
      </c>
      <c r="K63" s="71">
        <v>0.40313657407407405</v>
      </c>
      <c r="L63" s="9">
        <v>6.7</v>
      </c>
      <c r="M63" s="9">
        <v>18.649999999999999</v>
      </c>
    </row>
    <row r="64" spans="1:13" x14ac:dyDescent="0.35">
      <c r="A64" s="9" t="s">
        <v>1679</v>
      </c>
      <c r="B64" s="9" t="s">
        <v>1680</v>
      </c>
      <c r="C64" s="9">
        <v>8.36</v>
      </c>
      <c r="D64" s="9">
        <v>4195578200</v>
      </c>
      <c r="E64" s="9">
        <v>1</v>
      </c>
      <c r="F64" s="9" t="s">
        <v>1681</v>
      </c>
      <c r="G64" s="9" t="s">
        <v>987</v>
      </c>
      <c r="H64" s="9">
        <v>67.349999999999994</v>
      </c>
      <c r="I64" s="9">
        <v>84.06</v>
      </c>
      <c r="J64" s="9">
        <v>65537</v>
      </c>
      <c r="K64" s="71">
        <v>0.39583333333333331</v>
      </c>
      <c r="L64" s="9">
        <v>4.2</v>
      </c>
      <c r="M64" s="9">
        <v>21.44</v>
      </c>
    </row>
    <row r="65" spans="1:13" x14ac:dyDescent="0.35">
      <c r="A65" s="9" t="s">
        <v>1682</v>
      </c>
      <c r="B65" s="9" t="s">
        <v>1683</v>
      </c>
      <c r="C65" s="9">
        <v>7.3</v>
      </c>
      <c r="D65" s="9">
        <v>2497807700</v>
      </c>
      <c r="E65" s="9">
        <v>1</v>
      </c>
      <c r="F65" s="9" t="s">
        <v>1684</v>
      </c>
      <c r="G65" s="9" t="s">
        <v>985</v>
      </c>
      <c r="H65" s="9">
        <v>0.92</v>
      </c>
      <c r="I65" s="9">
        <v>74.59</v>
      </c>
      <c r="J65" s="9">
        <v>65537</v>
      </c>
      <c r="K65" s="71">
        <v>0.44258101851851855</v>
      </c>
      <c r="L65" s="9">
        <v>5.7</v>
      </c>
      <c r="M65" s="9">
        <v>19.809999999999999</v>
      </c>
    </row>
    <row r="66" spans="1:13" x14ac:dyDescent="0.35">
      <c r="A66" s="9" t="s">
        <v>1685</v>
      </c>
      <c r="B66" s="9" t="s">
        <v>1686</v>
      </c>
      <c r="C66" s="9">
        <v>7.13</v>
      </c>
      <c r="D66" s="9">
        <v>1783850700</v>
      </c>
      <c r="E66" s="9">
        <v>1</v>
      </c>
      <c r="F66" s="9" t="s">
        <v>1687</v>
      </c>
      <c r="G66" s="9" t="s">
        <v>985</v>
      </c>
      <c r="H66" s="9">
        <v>47.53</v>
      </c>
      <c r="I66" s="9">
        <v>78.510000000000005</v>
      </c>
      <c r="J66" s="9">
        <v>65537</v>
      </c>
      <c r="K66" s="71">
        <v>0.4145949074074074</v>
      </c>
      <c r="L66" s="9">
        <v>7.32</v>
      </c>
      <c r="M66" s="9">
        <v>8.15</v>
      </c>
    </row>
    <row r="67" spans="1:13" x14ac:dyDescent="0.35">
      <c r="A67" s="9" t="s">
        <v>129</v>
      </c>
      <c r="B67" s="9" t="s">
        <v>130</v>
      </c>
      <c r="C67" s="9">
        <v>7.94</v>
      </c>
      <c r="D67" s="9">
        <v>15335078000</v>
      </c>
      <c r="E67" s="9">
        <v>1</v>
      </c>
      <c r="F67" s="9" t="s">
        <v>1688</v>
      </c>
      <c r="G67" s="9" t="s">
        <v>985</v>
      </c>
      <c r="H67" s="9">
        <v>66.819999999999993</v>
      </c>
      <c r="I67" s="9">
        <v>88.72</v>
      </c>
      <c r="J67" s="9">
        <v>65537</v>
      </c>
      <c r="K67" s="71">
        <v>0.44292824074074072</v>
      </c>
      <c r="L67" s="9">
        <v>13</v>
      </c>
      <c r="M67" s="9">
        <v>5.13</v>
      </c>
    </row>
    <row r="68" spans="1:13" x14ac:dyDescent="0.35">
      <c r="A68" s="9" t="s">
        <v>1689</v>
      </c>
      <c r="B68" s="9" t="s">
        <v>1690</v>
      </c>
      <c r="C68" s="9">
        <v>6.83</v>
      </c>
      <c r="D68" s="9">
        <v>1782156800</v>
      </c>
      <c r="E68" s="9">
        <v>1</v>
      </c>
      <c r="F68" s="9" t="s">
        <v>1691</v>
      </c>
      <c r="G68" s="9" t="s">
        <v>985</v>
      </c>
      <c r="H68" s="9">
        <v>56.4</v>
      </c>
      <c r="I68" s="9">
        <v>93.37</v>
      </c>
      <c r="J68" s="9">
        <v>65537</v>
      </c>
      <c r="K68" s="71">
        <v>0.42640046296296297</v>
      </c>
      <c r="L68" s="9">
        <v>2.75</v>
      </c>
      <c r="M68" s="9">
        <v>52.17</v>
      </c>
    </row>
    <row r="69" spans="1:13" x14ac:dyDescent="0.35">
      <c r="A69" s="9" t="s">
        <v>1692</v>
      </c>
      <c r="B69" s="9" t="s">
        <v>1693</v>
      </c>
      <c r="C69" s="9">
        <v>6.4</v>
      </c>
      <c r="D69" s="9">
        <v>1541652800</v>
      </c>
      <c r="E69" s="9">
        <v>1</v>
      </c>
      <c r="F69" s="9" t="s">
        <v>1694</v>
      </c>
      <c r="G69" s="9" t="s">
        <v>985</v>
      </c>
      <c r="H69" s="9">
        <v>30.99</v>
      </c>
      <c r="I69" s="9">
        <v>62.93</v>
      </c>
      <c r="J69" s="9">
        <v>65537</v>
      </c>
      <c r="K69" s="71">
        <v>0.39844907407407404</v>
      </c>
      <c r="L69" s="9">
        <v>2.98</v>
      </c>
      <c r="M69" s="9">
        <v>111.43</v>
      </c>
    </row>
    <row r="70" spans="1:13" x14ac:dyDescent="0.35">
      <c r="A70" s="9" t="s">
        <v>1695</v>
      </c>
      <c r="B70" s="9" t="s">
        <v>1696</v>
      </c>
      <c r="C70" s="9">
        <v>4.1900000000000004</v>
      </c>
      <c r="D70" s="9">
        <v>3325855200</v>
      </c>
      <c r="E70" s="9">
        <v>1</v>
      </c>
      <c r="F70" s="9" t="s">
        <v>1697</v>
      </c>
      <c r="G70" s="9" t="s">
        <v>985</v>
      </c>
      <c r="H70" s="9">
        <v>16.82</v>
      </c>
      <c r="I70" s="9">
        <v>95.12</v>
      </c>
      <c r="J70" s="9">
        <v>65537</v>
      </c>
      <c r="K70" s="71">
        <v>0.58883101851851849</v>
      </c>
      <c r="L70" s="9">
        <v>5.75</v>
      </c>
      <c r="M70" s="9">
        <v>32.07</v>
      </c>
    </row>
    <row r="71" spans="1:13" x14ac:dyDescent="0.35">
      <c r="A71" s="9" t="s">
        <v>1241</v>
      </c>
      <c r="B71" s="9" t="s">
        <v>1242</v>
      </c>
      <c r="C71" s="9">
        <v>6.88</v>
      </c>
      <c r="D71" s="9">
        <v>3308593500</v>
      </c>
      <c r="E71" s="9">
        <v>1</v>
      </c>
      <c r="F71" s="9" t="s">
        <v>1322</v>
      </c>
      <c r="G71" s="9" t="s">
        <v>985</v>
      </c>
      <c r="H71" s="9">
        <v>32.409999999999997</v>
      </c>
      <c r="I71" s="9">
        <v>99.69</v>
      </c>
      <c r="J71" s="9">
        <v>131076</v>
      </c>
      <c r="K71" s="71">
        <v>0.41199074074074077</v>
      </c>
      <c r="L71" s="9">
        <v>13.68</v>
      </c>
      <c r="M71" s="9">
        <v>7.08</v>
      </c>
    </row>
    <row r="72" spans="1:13" x14ac:dyDescent="0.35">
      <c r="A72" s="9" t="s">
        <v>316</v>
      </c>
      <c r="B72" s="9" t="s">
        <v>317</v>
      </c>
      <c r="C72" s="9">
        <v>9.68</v>
      </c>
      <c r="D72" s="9">
        <v>22334326000</v>
      </c>
      <c r="E72" s="9">
        <v>1</v>
      </c>
      <c r="F72" s="9" t="s">
        <v>1698</v>
      </c>
      <c r="G72" s="9" t="s">
        <v>985</v>
      </c>
      <c r="H72" s="9">
        <v>15.82</v>
      </c>
      <c r="I72" s="9">
        <v>99.92</v>
      </c>
      <c r="J72" s="9">
        <v>65537</v>
      </c>
      <c r="K72" s="71">
        <v>0.5569560185185185</v>
      </c>
      <c r="L72" s="9">
        <v>6.41</v>
      </c>
      <c r="M72" s="9">
        <v>7.13</v>
      </c>
    </row>
    <row r="73" spans="1:13" x14ac:dyDescent="0.35">
      <c r="A73" s="9" t="s">
        <v>1699</v>
      </c>
      <c r="B73" s="9" t="s">
        <v>1700</v>
      </c>
      <c r="C73" s="9">
        <v>12.91</v>
      </c>
      <c r="D73" s="9">
        <v>13282365800</v>
      </c>
      <c r="E73" s="9">
        <v>1</v>
      </c>
      <c r="F73" s="9" t="s">
        <v>1701</v>
      </c>
      <c r="G73" s="9" t="s">
        <v>985</v>
      </c>
      <c r="H73" s="9">
        <v>19.45</v>
      </c>
      <c r="I73" s="9">
        <v>97.73</v>
      </c>
      <c r="J73" s="9">
        <v>65537</v>
      </c>
      <c r="K73" s="71">
        <v>0.60368055555555555</v>
      </c>
      <c r="L73" s="9">
        <v>10.220000000000001</v>
      </c>
      <c r="M73" s="9">
        <v>2.11</v>
      </c>
    </row>
    <row r="74" spans="1:13" x14ac:dyDescent="0.35">
      <c r="A74" s="9" t="s">
        <v>1323</v>
      </c>
      <c r="B74" s="9" t="s">
        <v>1324</v>
      </c>
      <c r="C74" s="9">
        <v>20.440000000000001</v>
      </c>
      <c r="D74" s="9">
        <v>12126026500</v>
      </c>
      <c r="E74" s="9">
        <v>1</v>
      </c>
      <c r="F74" s="9" t="s">
        <v>1325</v>
      </c>
      <c r="G74" s="9" t="s">
        <v>985</v>
      </c>
      <c r="H74" s="9">
        <v>38.24</v>
      </c>
      <c r="I74" s="9">
        <v>100</v>
      </c>
      <c r="J74" s="9">
        <v>131076</v>
      </c>
      <c r="K74" s="71">
        <v>0.47438657407407409</v>
      </c>
      <c r="L74" s="9">
        <v>7.38</v>
      </c>
      <c r="M74" s="9">
        <v>12.26</v>
      </c>
    </row>
    <row r="75" spans="1:13" x14ac:dyDescent="0.35">
      <c r="A75" s="9" t="s">
        <v>1702</v>
      </c>
      <c r="B75" s="9" t="s">
        <v>1703</v>
      </c>
      <c r="C75" s="9">
        <v>7.62</v>
      </c>
      <c r="D75" s="9">
        <v>10138172900</v>
      </c>
      <c r="E75" s="9">
        <v>1</v>
      </c>
      <c r="F75" s="9" t="s">
        <v>1704</v>
      </c>
      <c r="G75" s="9" t="s">
        <v>985</v>
      </c>
      <c r="H75" s="9">
        <v>35.450000000000003</v>
      </c>
      <c r="I75" s="9">
        <v>94.08</v>
      </c>
      <c r="J75" s="9">
        <v>65537</v>
      </c>
      <c r="K75" s="71">
        <v>0.46915509259259264</v>
      </c>
      <c r="L75" s="9">
        <v>12.05</v>
      </c>
      <c r="M75" s="9">
        <v>3.32</v>
      </c>
    </row>
    <row r="76" spans="1:13" x14ac:dyDescent="0.35">
      <c r="A76" s="9" t="s">
        <v>1215</v>
      </c>
      <c r="B76" s="9" t="s">
        <v>1216</v>
      </c>
      <c r="C76" s="9">
        <v>4.37</v>
      </c>
      <c r="D76" s="9">
        <v>3031772100</v>
      </c>
      <c r="E76" s="9">
        <v>1</v>
      </c>
      <c r="F76" s="9" t="s">
        <v>1217</v>
      </c>
      <c r="G76" s="9" t="s">
        <v>985</v>
      </c>
      <c r="H76" s="9">
        <v>9.36</v>
      </c>
      <c r="I76" s="9">
        <v>80.03</v>
      </c>
      <c r="J76" s="9">
        <v>131076</v>
      </c>
      <c r="K76" s="71">
        <v>0.3972222222222222</v>
      </c>
      <c r="L76" s="9">
        <v>2.3199999999999998</v>
      </c>
      <c r="M76" s="9">
        <v>76.069999999999993</v>
      </c>
    </row>
    <row r="77" spans="1:13" x14ac:dyDescent="0.35">
      <c r="A77" s="9" t="s">
        <v>753</v>
      </c>
      <c r="B77" s="9" t="s">
        <v>754</v>
      </c>
      <c r="C77" s="9">
        <v>7.16</v>
      </c>
      <c r="D77" s="9">
        <v>2315478300</v>
      </c>
      <c r="E77" s="9">
        <v>1</v>
      </c>
      <c r="F77" s="9" t="s">
        <v>1705</v>
      </c>
      <c r="G77" s="9" t="s">
        <v>985</v>
      </c>
      <c r="H77" s="9">
        <v>30.96</v>
      </c>
      <c r="I77" s="9">
        <v>48.4</v>
      </c>
      <c r="J77" s="9">
        <v>65537</v>
      </c>
      <c r="K77" s="71">
        <v>0.57019675925925928</v>
      </c>
      <c r="L77" s="9">
        <v>6.81</v>
      </c>
      <c r="M77" s="9">
        <v>59.13</v>
      </c>
    </row>
    <row r="78" spans="1:13" x14ac:dyDescent="0.35">
      <c r="A78" s="9" t="s">
        <v>1218</v>
      </c>
      <c r="B78" s="9" t="s">
        <v>1219</v>
      </c>
      <c r="C78" s="9">
        <v>9.86</v>
      </c>
      <c r="D78" s="9">
        <v>1960196500</v>
      </c>
      <c r="E78" s="9">
        <v>1</v>
      </c>
      <c r="F78" s="9" t="s">
        <v>1220</v>
      </c>
      <c r="G78" s="9" t="s">
        <v>985</v>
      </c>
      <c r="H78" s="9">
        <v>27.69</v>
      </c>
      <c r="I78" s="9">
        <v>100</v>
      </c>
      <c r="J78" s="9">
        <v>131076</v>
      </c>
      <c r="K78" s="71">
        <v>0.45839120370370368</v>
      </c>
      <c r="L78" s="9">
        <v>15.54</v>
      </c>
      <c r="M78" s="9">
        <v>7.43</v>
      </c>
    </row>
    <row r="79" spans="1:13" x14ac:dyDescent="0.35">
      <c r="A79" s="9" t="s">
        <v>613</v>
      </c>
      <c r="B79" s="9" t="s">
        <v>131</v>
      </c>
      <c r="C79" s="9">
        <v>4.6100000000000003</v>
      </c>
      <c r="D79" s="9">
        <v>8580817600</v>
      </c>
      <c r="E79" s="9">
        <v>1</v>
      </c>
      <c r="F79" s="9" t="s">
        <v>1706</v>
      </c>
      <c r="G79" s="9" t="s">
        <v>985</v>
      </c>
      <c r="H79" s="9">
        <v>6.43</v>
      </c>
      <c r="I79" s="9">
        <v>99.18</v>
      </c>
      <c r="J79" s="9">
        <v>65537</v>
      </c>
      <c r="K79" s="71">
        <v>0.62233796296296295</v>
      </c>
      <c r="L79" s="9">
        <v>46.7</v>
      </c>
      <c r="M79" s="9">
        <v>3.06</v>
      </c>
    </row>
    <row r="80" spans="1:13" x14ac:dyDescent="0.35">
      <c r="A80" s="9" t="s">
        <v>348</v>
      </c>
      <c r="B80" s="9" t="s">
        <v>349</v>
      </c>
      <c r="C80" s="9">
        <v>46.92</v>
      </c>
      <c r="D80" s="9">
        <v>27834150000</v>
      </c>
      <c r="E80" s="9">
        <v>1</v>
      </c>
      <c r="F80" s="9" t="s">
        <v>1707</v>
      </c>
      <c r="G80" s="9" t="s">
        <v>985</v>
      </c>
      <c r="H80" s="9">
        <v>24.19</v>
      </c>
      <c r="I80" s="9">
        <v>98.35</v>
      </c>
      <c r="J80" s="9">
        <v>65537</v>
      </c>
      <c r="K80" s="71">
        <v>0.61780092592592595</v>
      </c>
      <c r="L80" s="9">
        <v>3.6</v>
      </c>
      <c r="M80" s="9">
        <v>0.45</v>
      </c>
    </row>
    <row r="81" spans="1:13" x14ac:dyDescent="0.35">
      <c r="A81" s="9" t="s">
        <v>615</v>
      </c>
      <c r="B81" s="9" t="s">
        <v>616</v>
      </c>
      <c r="C81" s="9">
        <v>6.7</v>
      </c>
      <c r="D81" s="9">
        <v>7708938600</v>
      </c>
      <c r="E81" s="9">
        <v>1</v>
      </c>
      <c r="F81" s="9" t="s">
        <v>1708</v>
      </c>
      <c r="G81" s="9" t="s">
        <v>985</v>
      </c>
      <c r="H81" s="9">
        <v>64.81</v>
      </c>
      <c r="I81" s="9">
        <v>53.09</v>
      </c>
      <c r="J81" s="9">
        <v>65537</v>
      </c>
      <c r="K81" s="71">
        <v>0.57965277777777779</v>
      </c>
      <c r="L81" s="9">
        <v>5.99</v>
      </c>
      <c r="M81" s="9">
        <v>10.8</v>
      </c>
    </row>
    <row r="82" spans="1:13" x14ac:dyDescent="0.35">
      <c r="A82" s="9" t="s">
        <v>1709</v>
      </c>
      <c r="B82" s="9" t="s">
        <v>1710</v>
      </c>
      <c r="C82" s="9">
        <v>33.03</v>
      </c>
      <c r="D82" s="9">
        <v>849003120</v>
      </c>
      <c r="E82" s="9">
        <v>1</v>
      </c>
      <c r="F82" s="9" t="s">
        <v>1711</v>
      </c>
      <c r="G82" s="9" t="s">
        <v>985</v>
      </c>
      <c r="H82" s="9">
        <v>0</v>
      </c>
      <c r="I82" s="9">
        <v>79.86</v>
      </c>
      <c r="J82" s="9">
        <v>65537</v>
      </c>
      <c r="K82" s="71">
        <v>0.57019675925925928</v>
      </c>
      <c r="L82" s="9">
        <v>14.9</v>
      </c>
      <c r="M82" s="9">
        <v>15.16</v>
      </c>
    </row>
    <row r="83" spans="1:13" x14ac:dyDescent="0.35">
      <c r="A83" s="9" t="s">
        <v>1712</v>
      </c>
      <c r="B83" s="9" t="s">
        <v>1713</v>
      </c>
      <c r="C83" s="9">
        <v>3.51</v>
      </c>
      <c r="D83" s="9">
        <v>5020698700</v>
      </c>
      <c r="E83" s="9">
        <v>1</v>
      </c>
      <c r="F83" s="9" t="s">
        <v>1623</v>
      </c>
      <c r="G83" s="9" t="s">
        <v>985</v>
      </c>
      <c r="H83" s="9">
        <v>46.51</v>
      </c>
      <c r="I83" s="9">
        <v>75.78</v>
      </c>
      <c r="J83" s="9">
        <v>65537</v>
      </c>
      <c r="K83" s="71">
        <v>0.40886574074074072</v>
      </c>
      <c r="L83" s="9">
        <v>1.89</v>
      </c>
      <c r="M83" s="9">
        <v>81.98</v>
      </c>
    </row>
    <row r="84" spans="1:13" x14ac:dyDescent="0.35">
      <c r="A84" s="9" t="s">
        <v>1208</v>
      </c>
      <c r="B84" s="9" t="s">
        <v>1209</v>
      </c>
      <c r="C84" s="9">
        <v>4.47</v>
      </c>
      <c r="D84" s="9">
        <v>4431920400</v>
      </c>
      <c r="E84" s="9">
        <v>1</v>
      </c>
      <c r="F84" s="9" t="s">
        <v>1210</v>
      </c>
      <c r="G84" s="9" t="s">
        <v>985</v>
      </c>
      <c r="H84" s="9">
        <v>42.65</v>
      </c>
      <c r="I84" s="9">
        <v>91.03</v>
      </c>
      <c r="J84" s="9">
        <v>131076</v>
      </c>
      <c r="K84" s="71">
        <v>0.39687500000000003</v>
      </c>
      <c r="L84" s="9">
        <v>2.2000000000000002</v>
      </c>
      <c r="M84" s="9">
        <v>93.86</v>
      </c>
    </row>
    <row r="85" spans="1:13" x14ac:dyDescent="0.35">
      <c r="A85" s="9" t="s">
        <v>1714</v>
      </c>
      <c r="B85" s="9" t="s">
        <v>1715</v>
      </c>
      <c r="C85" s="9">
        <v>5.71</v>
      </c>
      <c r="D85" s="9">
        <v>2369989700</v>
      </c>
      <c r="E85" s="9">
        <v>1</v>
      </c>
      <c r="F85" s="9" t="s">
        <v>1716</v>
      </c>
      <c r="G85" s="9" t="s">
        <v>985</v>
      </c>
      <c r="H85" s="9">
        <v>68.260000000000005</v>
      </c>
      <c r="I85" s="9">
        <v>57.34</v>
      </c>
      <c r="J85" s="9">
        <v>65537</v>
      </c>
      <c r="K85" s="71">
        <v>0.41233796296296293</v>
      </c>
      <c r="L85" s="9">
        <v>4</v>
      </c>
      <c r="M85" s="9">
        <v>118.2</v>
      </c>
    </row>
    <row r="86" spans="1:13" x14ac:dyDescent="0.35">
      <c r="A86" s="9" t="s">
        <v>1717</v>
      </c>
      <c r="B86" s="9" t="s">
        <v>1718</v>
      </c>
      <c r="C86" s="9">
        <v>2.73</v>
      </c>
      <c r="D86" s="9">
        <v>2239692300</v>
      </c>
      <c r="E86" s="9">
        <v>1</v>
      </c>
      <c r="F86" s="9" t="s">
        <v>1719</v>
      </c>
      <c r="G86" s="9" t="s">
        <v>985</v>
      </c>
      <c r="H86" s="9">
        <v>46.81</v>
      </c>
      <c r="I86" s="9">
        <v>42.32</v>
      </c>
      <c r="J86" s="9">
        <v>65537</v>
      </c>
      <c r="K86" s="71">
        <v>0.4001851851851852</v>
      </c>
      <c r="L86" s="9">
        <v>3.5</v>
      </c>
      <c r="M86" s="9">
        <v>50.34</v>
      </c>
    </row>
    <row r="87" spans="1:13" x14ac:dyDescent="0.35">
      <c r="A87" s="9" t="s">
        <v>1720</v>
      </c>
      <c r="B87" s="9" t="s">
        <v>1721</v>
      </c>
      <c r="C87" s="9">
        <v>2.02</v>
      </c>
      <c r="D87" s="9">
        <v>8185135500</v>
      </c>
      <c r="E87" s="9">
        <v>1</v>
      </c>
      <c r="F87" s="9" t="s">
        <v>790</v>
      </c>
      <c r="G87" s="9" t="s">
        <v>985</v>
      </c>
      <c r="H87" s="9">
        <v>51.23</v>
      </c>
      <c r="I87" s="9">
        <v>12.69</v>
      </c>
      <c r="J87" s="9">
        <v>65537</v>
      </c>
      <c r="K87" s="71">
        <v>0.4281712962962963</v>
      </c>
      <c r="L87" s="9">
        <v>5.07</v>
      </c>
      <c r="M87" s="9">
        <v>8.76</v>
      </c>
    </row>
    <row r="88" spans="1:13" x14ac:dyDescent="0.35">
      <c r="A88" s="9" t="s">
        <v>1137</v>
      </c>
      <c r="B88" s="9" t="s">
        <v>1138</v>
      </c>
      <c r="C88" s="9">
        <v>7.56</v>
      </c>
      <c r="D88" s="9">
        <v>2721600000</v>
      </c>
      <c r="E88" s="9">
        <v>1</v>
      </c>
      <c r="F88" s="9" t="s">
        <v>1139</v>
      </c>
      <c r="G88" s="9" t="s">
        <v>985</v>
      </c>
      <c r="H88" s="9">
        <v>35.31</v>
      </c>
      <c r="I88" s="9">
        <v>95.46</v>
      </c>
      <c r="J88" s="9">
        <v>196613</v>
      </c>
      <c r="K88" s="71">
        <v>0.4377199074074074</v>
      </c>
      <c r="L88" s="9">
        <v>19.149999999999999</v>
      </c>
      <c r="M88" s="9">
        <v>61.25</v>
      </c>
    </row>
    <row r="89" spans="1:13" x14ac:dyDescent="0.35">
      <c r="A89" s="9" t="s">
        <v>1722</v>
      </c>
      <c r="B89" s="9" t="s">
        <v>1723</v>
      </c>
      <c r="C89" s="9">
        <v>7.16</v>
      </c>
      <c r="D89" s="9">
        <v>2414306800</v>
      </c>
      <c r="E89" s="9">
        <v>1</v>
      </c>
      <c r="F89" s="9" t="s">
        <v>1724</v>
      </c>
      <c r="G89" s="9" t="s">
        <v>985</v>
      </c>
      <c r="H89" s="9">
        <v>52.53</v>
      </c>
      <c r="I89" s="9">
        <v>98.85</v>
      </c>
      <c r="J89" s="9">
        <v>65537</v>
      </c>
      <c r="K89" s="71">
        <v>0.40105324074074072</v>
      </c>
      <c r="L89" s="9">
        <v>3.89</v>
      </c>
      <c r="M89" s="9">
        <v>43.79</v>
      </c>
    </row>
    <row r="90" spans="1:13" x14ac:dyDescent="0.35">
      <c r="A90" s="9" t="s">
        <v>1725</v>
      </c>
      <c r="B90" s="9" t="s">
        <v>1726</v>
      </c>
      <c r="C90" s="9">
        <v>12.17</v>
      </c>
      <c r="D90" s="9">
        <v>22666877000</v>
      </c>
      <c r="E90" s="9">
        <v>1</v>
      </c>
      <c r="F90" s="9" t="s">
        <v>469</v>
      </c>
      <c r="G90" s="9" t="s">
        <v>985</v>
      </c>
      <c r="H90" s="9">
        <v>79.39</v>
      </c>
      <c r="I90" s="9">
        <v>28.43</v>
      </c>
      <c r="J90" s="9">
        <v>65537</v>
      </c>
      <c r="K90" s="71">
        <v>0.43042824074074071</v>
      </c>
      <c r="L90" s="9">
        <v>1.53</v>
      </c>
      <c r="M90" s="9">
        <v>35.01</v>
      </c>
    </row>
    <row r="91" spans="1:13" x14ac:dyDescent="0.35">
      <c r="A91" s="9" t="s">
        <v>1727</v>
      </c>
      <c r="B91" s="9" t="s">
        <v>1728</v>
      </c>
      <c r="C91" s="9">
        <v>13.39</v>
      </c>
      <c r="D91" s="9">
        <v>6593456900</v>
      </c>
      <c r="E91" s="9">
        <v>1</v>
      </c>
      <c r="F91" s="9" t="s">
        <v>1729</v>
      </c>
      <c r="G91" s="9" t="s">
        <v>985</v>
      </c>
      <c r="H91" s="9">
        <v>49.63</v>
      </c>
      <c r="I91" s="9">
        <v>67.98</v>
      </c>
      <c r="J91" s="9">
        <v>65537</v>
      </c>
      <c r="K91" s="71">
        <v>0.56412037037037044</v>
      </c>
      <c r="L91" s="9">
        <v>1.61</v>
      </c>
      <c r="M91" s="9">
        <v>17.239999999999998</v>
      </c>
    </row>
    <row r="92" spans="1:13" x14ac:dyDescent="0.35">
      <c r="A92" s="9" t="s">
        <v>978</v>
      </c>
      <c r="B92" s="9" t="s">
        <v>977</v>
      </c>
      <c r="C92" s="9">
        <v>4.24</v>
      </c>
      <c r="D92" s="9">
        <v>2903986200</v>
      </c>
      <c r="E92" s="9">
        <v>1</v>
      </c>
      <c r="F92" s="9" t="s">
        <v>1730</v>
      </c>
      <c r="G92" s="9" t="s">
        <v>985</v>
      </c>
      <c r="H92" s="9">
        <v>20.73</v>
      </c>
      <c r="I92" s="9">
        <v>77.58</v>
      </c>
      <c r="J92" s="9">
        <v>65537</v>
      </c>
      <c r="K92" s="71">
        <v>0.41355324074074074</v>
      </c>
      <c r="L92" s="9">
        <v>7.29</v>
      </c>
      <c r="M92" s="9">
        <v>31.04</v>
      </c>
    </row>
    <row r="93" spans="1:13" x14ac:dyDescent="0.35">
      <c r="A93" s="9" t="s">
        <v>1731</v>
      </c>
      <c r="B93" s="9" t="s">
        <v>1732</v>
      </c>
      <c r="C93" s="9">
        <v>7.73</v>
      </c>
      <c r="D93" s="9">
        <v>6354828200</v>
      </c>
      <c r="E93" s="9">
        <v>1</v>
      </c>
      <c r="F93" s="9" t="s">
        <v>1733</v>
      </c>
      <c r="G93" s="9" t="s">
        <v>985</v>
      </c>
      <c r="H93" s="9">
        <v>63.09</v>
      </c>
      <c r="I93" s="9">
        <v>85.47</v>
      </c>
      <c r="J93" s="9">
        <v>65537</v>
      </c>
      <c r="K93" s="71">
        <v>0.57508101851851856</v>
      </c>
      <c r="L93" s="9">
        <v>5.18</v>
      </c>
      <c r="M93" s="9">
        <v>18.850000000000001</v>
      </c>
    </row>
    <row r="94" spans="1:13" x14ac:dyDescent="0.35">
      <c r="A94" s="9" t="s">
        <v>689</v>
      </c>
      <c r="B94" s="9" t="s">
        <v>690</v>
      </c>
      <c r="C94" s="9">
        <v>5.74</v>
      </c>
      <c r="D94" s="9">
        <v>3888352800</v>
      </c>
      <c r="E94" s="9">
        <v>1</v>
      </c>
      <c r="F94" s="9" t="s">
        <v>691</v>
      </c>
      <c r="G94" s="9" t="s">
        <v>985</v>
      </c>
      <c r="H94" s="9">
        <v>19.96</v>
      </c>
      <c r="I94" s="9">
        <v>93.38</v>
      </c>
      <c r="J94" s="9">
        <v>196612</v>
      </c>
      <c r="K94" s="71">
        <v>0.59570601851851845</v>
      </c>
      <c r="L94" s="9">
        <v>16.34</v>
      </c>
      <c r="M94" s="9">
        <v>8.58</v>
      </c>
    </row>
    <row r="95" spans="1:13" x14ac:dyDescent="0.35">
      <c r="A95" s="9" t="s">
        <v>1734</v>
      </c>
      <c r="B95" s="9" t="s">
        <v>1735</v>
      </c>
      <c r="C95" s="9">
        <v>3.66</v>
      </c>
      <c r="D95" s="9">
        <v>3880846900</v>
      </c>
      <c r="E95" s="9">
        <v>1</v>
      </c>
      <c r="F95" s="9" t="s">
        <v>1736</v>
      </c>
      <c r="G95" s="9" t="s">
        <v>985</v>
      </c>
      <c r="H95" s="9">
        <v>19.149999999999999</v>
      </c>
      <c r="I95" s="9">
        <v>99.44</v>
      </c>
      <c r="J95" s="9">
        <v>65537</v>
      </c>
      <c r="K95" s="71">
        <v>0.40174768518518517</v>
      </c>
      <c r="L95" s="9">
        <v>3.95</v>
      </c>
      <c r="M95" s="9">
        <v>25.89</v>
      </c>
    </row>
    <row r="96" spans="1:13" x14ac:dyDescent="0.35">
      <c r="A96" s="9" t="s">
        <v>1737</v>
      </c>
      <c r="B96" s="9" t="s">
        <v>1738</v>
      </c>
      <c r="C96" s="9">
        <v>5.53</v>
      </c>
      <c r="D96" s="9">
        <v>13567000000</v>
      </c>
      <c r="E96" s="9">
        <v>1</v>
      </c>
      <c r="F96" s="9" t="s">
        <v>1739</v>
      </c>
      <c r="G96" s="9" t="s">
        <v>985</v>
      </c>
      <c r="H96" s="9">
        <v>48.37</v>
      </c>
      <c r="I96" s="9">
        <v>75.150000000000006</v>
      </c>
      <c r="J96" s="9">
        <v>65537</v>
      </c>
      <c r="K96" s="71">
        <v>0.40365740740740735</v>
      </c>
      <c r="L96" s="9">
        <v>1.37</v>
      </c>
      <c r="M96" s="9">
        <v>34.93</v>
      </c>
    </row>
    <row r="97" spans="1:13" x14ac:dyDescent="0.35">
      <c r="A97" s="9" t="s">
        <v>1740</v>
      </c>
      <c r="B97" s="9" t="s">
        <v>1741</v>
      </c>
      <c r="C97" s="9">
        <v>61.92</v>
      </c>
      <c r="D97" s="9">
        <v>1257378480</v>
      </c>
      <c r="E97" s="9">
        <v>1</v>
      </c>
      <c r="F97" s="9" t="s">
        <v>1742</v>
      </c>
      <c r="G97" s="9" t="s">
        <v>985</v>
      </c>
      <c r="H97" s="9">
        <v>26.89</v>
      </c>
      <c r="I97" s="9">
        <v>100</v>
      </c>
      <c r="J97" s="9">
        <v>65537</v>
      </c>
      <c r="K97" s="71">
        <v>0.625</v>
      </c>
      <c r="L97" s="9">
        <v>11.51</v>
      </c>
      <c r="M97" s="9">
        <v>1.39</v>
      </c>
    </row>
    <row r="98" spans="1:13" x14ac:dyDescent="0.35">
      <c r="A98" s="9" t="s">
        <v>1743</v>
      </c>
      <c r="B98" s="9" t="s">
        <v>1744</v>
      </c>
      <c r="C98" s="9">
        <v>20.350000000000001</v>
      </c>
      <c r="D98" s="9">
        <v>1591456200</v>
      </c>
      <c r="E98" s="9">
        <v>1</v>
      </c>
      <c r="F98" s="9" t="s">
        <v>1745</v>
      </c>
      <c r="G98" s="9" t="s">
        <v>985</v>
      </c>
      <c r="H98" s="9">
        <v>19.95</v>
      </c>
      <c r="I98" s="9">
        <v>93.99</v>
      </c>
      <c r="J98" s="9">
        <v>65537</v>
      </c>
      <c r="K98" s="71">
        <v>0.47403935185185181</v>
      </c>
      <c r="L98" s="9">
        <v>4.5199999999999996</v>
      </c>
      <c r="M98" s="9">
        <v>40.44</v>
      </c>
    </row>
    <row r="99" spans="1:13" x14ac:dyDescent="0.35">
      <c r="A99" s="9" t="s">
        <v>1746</v>
      </c>
      <c r="B99" s="9" t="s">
        <v>1747</v>
      </c>
      <c r="C99" s="9">
        <v>22.48</v>
      </c>
      <c r="D99" s="9">
        <v>1882611000</v>
      </c>
      <c r="E99" s="9">
        <v>1</v>
      </c>
      <c r="F99" s="9" t="s">
        <v>1748</v>
      </c>
      <c r="G99" s="9" t="s">
        <v>985</v>
      </c>
      <c r="H99" s="9">
        <v>76.12</v>
      </c>
      <c r="I99" s="9">
        <v>100</v>
      </c>
      <c r="J99" s="9">
        <v>65537</v>
      </c>
      <c r="K99" s="71">
        <v>0.62280092592592595</v>
      </c>
      <c r="L99" s="9">
        <v>7.04</v>
      </c>
      <c r="M99" s="9">
        <v>0.06</v>
      </c>
    </row>
    <row r="100" spans="1:13" x14ac:dyDescent="0.35">
      <c r="A100" s="9" t="s">
        <v>1749</v>
      </c>
      <c r="B100" s="9" t="s">
        <v>1750</v>
      </c>
      <c r="C100" s="9">
        <v>14.87</v>
      </c>
      <c r="D100" s="9">
        <v>1143770660</v>
      </c>
      <c r="E100" s="9">
        <v>1</v>
      </c>
      <c r="F100" s="9" t="s">
        <v>1399</v>
      </c>
      <c r="G100" s="9" t="s">
        <v>987</v>
      </c>
      <c r="H100" s="9">
        <v>12.26</v>
      </c>
      <c r="I100" s="9">
        <v>99.73</v>
      </c>
      <c r="J100" s="9">
        <v>65537</v>
      </c>
      <c r="K100" s="71">
        <v>0.39583333333333331</v>
      </c>
      <c r="L100" s="9">
        <v>2.4900000000000002</v>
      </c>
      <c r="M100" s="9">
        <v>207.68</v>
      </c>
    </row>
    <row r="101" spans="1:13" x14ac:dyDescent="0.35">
      <c r="A101" s="9" t="s">
        <v>1751</v>
      </c>
      <c r="B101" s="9" t="s">
        <v>1752</v>
      </c>
      <c r="C101" s="9">
        <v>20.260000000000002</v>
      </c>
      <c r="D101" s="9">
        <v>810400000</v>
      </c>
      <c r="E101" s="9">
        <v>1</v>
      </c>
      <c r="F101" s="9" t="s">
        <v>1753</v>
      </c>
      <c r="G101" s="9" t="s">
        <v>985</v>
      </c>
      <c r="H101" s="9">
        <v>0</v>
      </c>
      <c r="I101" s="9">
        <v>91.91</v>
      </c>
      <c r="J101" s="9">
        <v>65537</v>
      </c>
      <c r="K101" s="71">
        <v>0.40643518518518523</v>
      </c>
      <c r="L101" s="9">
        <v>9.07</v>
      </c>
      <c r="M101" s="9">
        <v>101.46</v>
      </c>
    </row>
    <row r="102" spans="1:13" x14ac:dyDescent="0.35">
      <c r="A102" s="9" t="s">
        <v>1754</v>
      </c>
      <c r="B102" s="9" t="s">
        <v>1755</v>
      </c>
      <c r="C102" s="9">
        <v>12.67</v>
      </c>
      <c r="D102" s="9">
        <v>2646509600</v>
      </c>
      <c r="E102" s="9">
        <v>1</v>
      </c>
      <c r="F102" s="9" t="s">
        <v>1756</v>
      </c>
      <c r="G102" s="9" t="s">
        <v>985</v>
      </c>
      <c r="H102" s="9">
        <v>0.49</v>
      </c>
      <c r="I102" s="9">
        <v>94.16</v>
      </c>
      <c r="J102" s="9">
        <v>65537</v>
      </c>
      <c r="K102" s="71">
        <v>0.58723379629629624</v>
      </c>
      <c r="L102" s="9">
        <v>6.35</v>
      </c>
      <c r="M102" s="9">
        <v>16.13</v>
      </c>
    </row>
    <row r="103" spans="1:13" x14ac:dyDescent="0.35">
      <c r="A103" s="9" t="s">
        <v>1757</v>
      </c>
      <c r="B103" s="9" t="s">
        <v>1758</v>
      </c>
      <c r="C103" s="9">
        <v>6.46</v>
      </c>
      <c r="D103" s="9">
        <v>3512972500</v>
      </c>
      <c r="E103" s="9">
        <v>1</v>
      </c>
      <c r="F103" s="9" t="s">
        <v>1719</v>
      </c>
      <c r="G103" s="9" t="s">
        <v>985</v>
      </c>
      <c r="H103" s="9">
        <v>66.430000000000007</v>
      </c>
      <c r="I103" s="9">
        <v>93.07</v>
      </c>
      <c r="J103" s="9">
        <v>65537</v>
      </c>
      <c r="K103" s="71">
        <v>0.47804398148148147</v>
      </c>
      <c r="L103" s="9">
        <v>4.32</v>
      </c>
      <c r="M103" s="9">
        <v>5.53</v>
      </c>
    </row>
    <row r="104" spans="1:13" x14ac:dyDescent="0.35">
      <c r="A104" s="9" t="s">
        <v>927</v>
      </c>
      <c r="B104" s="9" t="s">
        <v>926</v>
      </c>
      <c r="C104" s="9">
        <v>11.43</v>
      </c>
      <c r="D104" s="9">
        <v>5015450300</v>
      </c>
      <c r="E104" s="9">
        <v>1</v>
      </c>
      <c r="F104" s="9" t="s">
        <v>640</v>
      </c>
      <c r="G104" s="9" t="s">
        <v>985</v>
      </c>
      <c r="H104" s="9">
        <v>4</v>
      </c>
      <c r="I104" s="9">
        <v>83.75</v>
      </c>
      <c r="J104" s="9">
        <v>65537</v>
      </c>
      <c r="K104" s="71">
        <v>0.39635416666666662</v>
      </c>
      <c r="L104" s="9">
        <v>2.38</v>
      </c>
      <c r="M104" s="9">
        <v>32.65</v>
      </c>
    </row>
    <row r="105" spans="1:13" x14ac:dyDescent="0.35">
      <c r="A105" s="9" t="s">
        <v>1759</v>
      </c>
      <c r="B105" s="9" t="s">
        <v>1760</v>
      </c>
      <c r="C105" s="9">
        <v>8.73</v>
      </c>
      <c r="D105" s="9">
        <v>5693623200</v>
      </c>
      <c r="E105" s="9">
        <v>1</v>
      </c>
      <c r="F105" s="9" t="s">
        <v>1761</v>
      </c>
      <c r="G105" s="9" t="s">
        <v>985</v>
      </c>
      <c r="H105" s="9">
        <v>0</v>
      </c>
      <c r="I105" s="9">
        <v>100</v>
      </c>
      <c r="J105" s="9">
        <v>65537</v>
      </c>
      <c r="K105" s="71">
        <v>0.41771990740740739</v>
      </c>
      <c r="L105" s="9">
        <v>2.4500000000000002</v>
      </c>
      <c r="M105" s="9">
        <v>23.94</v>
      </c>
    </row>
    <row r="106" spans="1:13" x14ac:dyDescent="0.35">
      <c r="A106" s="9" t="s">
        <v>1762</v>
      </c>
      <c r="B106" s="9" t="s">
        <v>1763</v>
      </c>
      <c r="C106" s="9">
        <v>11.09</v>
      </c>
      <c r="D106" s="9">
        <v>4753136800</v>
      </c>
      <c r="E106" s="9">
        <v>1</v>
      </c>
      <c r="F106" s="9" t="s">
        <v>1066</v>
      </c>
      <c r="G106" s="9" t="s">
        <v>985</v>
      </c>
      <c r="H106" s="9">
        <v>61.58</v>
      </c>
      <c r="I106" s="9">
        <v>61.66</v>
      </c>
      <c r="J106" s="9">
        <v>65537</v>
      </c>
      <c r="K106" s="71">
        <v>0.42466435185185186</v>
      </c>
      <c r="L106" s="9">
        <v>1.18</v>
      </c>
      <c r="M106" s="9">
        <v>72.569999999999993</v>
      </c>
    </row>
    <row r="107" spans="1:13" x14ac:dyDescent="0.35">
      <c r="A107" s="9" t="s">
        <v>1764</v>
      </c>
      <c r="B107" s="9" t="s">
        <v>1765</v>
      </c>
      <c r="C107" s="9">
        <v>29.57</v>
      </c>
      <c r="D107" s="9">
        <v>1182800000</v>
      </c>
      <c r="E107" s="9">
        <v>1</v>
      </c>
      <c r="F107" s="9" t="s">
        <v>1766</v>
      </c>
      <c r="G107" s="9" t="s">
        <v>985</v>
      </c>
      <c r="H107" s="9">
        <v>0</v>
      </c>
      <c r="I107" s="9">
        <v>100</v>
      </c>
      <c r="J107" s="9">
        <v>65537</v>
      </c>
      <c r="K107" s="71">
        <v>0.44310185185185186</v>
      </c>
      <c r="L107" s="9">
        <v>40.31</v>
      </c>
      <c r="M107" s="9">
        <v>8.66</v>
      </c>
    </row>
    <row r="108" spans="1:13" x14ac:dyDescent="0.35">
      <c r="A108" s="9" t="s">
        <v>667</v>
      </c>
      <c r="B108" s="9" t="s">
        <v>668</v>
      </c>
      <c r="C108" s="9">
        <v>11.28</v>
      </c>
      <c r="D108" s="9">
        <v>4176142900</v>
      </c>
      <c r="E108" s="9">
        <v>1</v>
      </c>
      <c r="F108" s="9" t="s">
        <v>1767</v>
      </c>
      <c r="G108" s="9" t="s">
        <v>985</v>
      </c>
      <c r="H108" s="9">
        <v>41.18</v>
      </c>
      <c r="I108" s="9">
        <v>100</v>
      </c>
      <c r="J108" s="9">
        <v>65537</v>
      </c>
      <c r="K108" s="71">
        <v>0.41997685185185185</v>
      </c>
      <c r="L108" s="9">
        <v>2.65</v>
      </c>
      <c r="M108" s="9">
        <v>51.37</v>
      </c>
    </row>
    <row r="109" spans="1:13" x14ac:dyDescent="0.35">
      <c r="A109" s="9" t="s">
        <v>823</v>
      </c>
      <c r="B109" s="9" t="s">
        <v>824</v>
      </c>
      <c r="C109" s="9">
        <v>9.09</v>
      </c>
      <c r="D109" s="9">
        <v>3674350700</v>
      </c>
      <c r="E109" s="9">
        <v>1</v>
      </c>
      <c r="F109" s="9" t="s">
        <v>825</v>
      </c>
      <c r="G109" s="9" t="s">
        <v>985</v>
      </c>
      <c r="H109" s="9">
        <v>56.89</v>
      </c>
      <c r="I109" s="9">
        <v>85.69</v>
      </c>
      <c r="J109" s="9">
        <v>65537</v>
      </c>
      <c r="K109" s="71">
        <v>0.57722222222222219</v>
      </c>
      <c r="L109" s="9">
        <v>8.75</v>
      </c>
      <c r="M109" s="9">
        <v>12.9</v>
      </c>
    </row>
    <row r="110" spans="1:13" x14ac:dyDescent="0.35">
      <c r="A110" s="9" t="s">
        <v>1768</v>
      </c>
      <c r="B110" s="9" t="s">
        <v>1769</v>
      </c>
      <c r="C110" s="9">
        <v>3.49</v>
      </c>
      <c r="D110" s="9">
        <v>16936216000</v>
      </c>
      <c r="E110" s="9">
        <v>1</v>
      </c>
      <c r="F110" s="9" t="s">
        <v>1770</v>
      </c>
      <c r="G110" s="9" t="s">
        <v>985</v>
      </c>
      <c r="H110" s="9">
        <v>48.67</v>
      </c>
      <c r="I110" s="9">
        <v>37.85</v>
      </c>
      <c r="J110" s="9">
        <v>65537</v>
      </c>
      <c r="K110" s="71">
        <v>0.61759259259259258</v>
      </c>
      <c r="L110" s="9">
        <v>6.44</v>
      </c>
      <c r="M110" s="9">
        <v>0.01</v>
      </c>
    </row>
    <row r="111" spans="1:13" x14ac:dyDescent="0.35">
      <c r="A111" s="9" t="s">
        <v>1771</v>
      </c>
      <c r="B111" s="9" t="s">
        <v>1772</v>
      </c>
      <c r="C111" s="9">
        <v>5.95</v>
      </c>
      <c r="D111" s="9">
        <v>45577480000</v>
      </c>
      <c r="E111" s="9">
        <v>1</v>
      </c>
      <c r="F111" s="9" t="s">
        <v>1773</v>
      </c>
      <c r="G111" s="9" t="s">
        <v>985</v>
      </c>
      <c r="H111" s="9">
        <v>74.48</v>
      </c>
      <c r="I111" s="9">
        <v>73.87</v>
      </c>
      <c r="J111" s="9">
        <v>65537</v>
      </c>
      <c r="K111" s="71">
        <v>0.44292824074074072</v>
      </c>
      <c r="L111" s="9">
        <v>1.25</v>
      </c>
      <c r="M111" s="9">
        <v>17.71</v>
      </c>
    </row>
    <row r="112" spans="1:13" x14ac:dyDescent="0.35">
      <c r="A112" s="9" t="s">
        <v>1774</v>
      </c>
      <c r="B112" s="9" t="s">
        <v>1775</v>
      </c>
      <c r="C112" s="9">
        <v>4.58</v>
      </c>
      <c r="D112" s="9">
        <v>11722925300</v>
      </c>
      <c r="E112" s="9">
        <v>1</v>
      </c>
      <c r="F112" s="9" t="s">
        <v>1776</v>
      </c>
      <c r="G112" s="9" t="s">
        <v>986</v>
      </c>
      <c r="H112" s="9">
        <v>89.21</v>
      </c>
      <c r="I112" s="9">
        <v>25.52</v>
      </c>
      <c r="J112" s="9">
        <v>65537</v>
      </c>
      <c r="K112" s="71">
        <v>0.39600694444444445</v>
      </c>
      <c r="L112" s="9">
        <v>0.57999999999999996</v>
      </c>
      <c r="M112" s="9">
        <v>95.89</v>
      </c>
    </row>
    <row r="113" spans="1:13" x14ac:dyDescent="0.35">
      <c r="A113" s="9" t="s">
        <v>1777</v>
      </c>
      <c r="B113" s="9" t="s">
        <v>1778</v>
      </c>
      <c r="C113" s="9">
        <v>5.6</v>
      </c>
      <c r="D113" s="9">
        <v>25091803000</v>
      </c>
      <c r="E113" s="9">
        <v>1</v>
      </c>
      <c r="F113" s="9" t="s">
        <v>1779</v>
      </c>
      <c r="G113" s="9" t="s">
        <v>985</v>
      </c>
      <c r="H113" s="9">
        <v>6.41</v>
      </c>
      <c r="I113" s="9">
        <v>99.6</v>
      </c>
      <c r="J113" s="9">
        <v>65537</v>
      </c>
      <c r="K113" s="71">
        <v>0.47054398148148152</v>
      </c>
      <c r="L113" s="9">
        <v>7.32</v>
      </c>
      <c r="M113" s="9">
        <v>9.23</v>
      </c>
    </row>
    <row r="114" spans="1:13" x14ac:dyDescent="0.35">
      <c r="A114" s="9" t="s">
        <v>1443</v>
      </c>
      <c r="B114" s="9" t="s">
        <v>1444</v>
      </c>
      <c r="C114" s="9">
        <v>21.18</v>
      </c>
      <c r="D114" s="9">
        <v>2947060400</v>
      </c>
      <c r="E114" s="9">
        <v>1</v>
      </c>
      <c r="F114" s="9" t="s">
        <v>1445</v>
      </c>
      <c r="G114" s="9" t="s">
        <v>985</v>
      </c>
      <c r="H114" s="9">
        <v>46.29</v>
      </c>
      <c r="I114" s="9">
        <v>99.25</v>
      </c>
      <c r="J114" s="9">
        <v>131075</v>
      </c>
      <c r="K114" s="71">
        <v>0.41042824074074075</v>
      </c>
      <c r="L114" s="9">
        <v>2.98</v>
      </c>
      <c r="M114" s="9">
        <v>70.680000000000007</v>
      </c>
    </row>
    <row r="115" spans="1:13" x14ac:dyDescent="0.35">
      <c r="A115" s="9" t="s">
        <v>1780</v>
      </c>
      <c r="B115" s="9" t="s">
        <v>1781</v>
      </c>
      <c r="C115" s="9">
        <v>23.18</v>
      </c>
      <c r="D115" s="9">
        <v>32592151000</v>
      </c>
      <c r="E115" s="9">
        <v>1</v>
      </c>
      <c r="F115" s="9" t="s">
        <v>1782</v>
      </c>
      <c r="G115" s="9" t="s">
        <v>985</v>
      </c>
      <c r="H115" s="9">
        <v>52.95</v>
      </c>
      <c r="I115" s="9">
        <v>96.81</v>
      </c>
      <c r="J115" s="9">
        <v>65537</v>
      </c>
      <c r="K115" s="71">
        <v>0.41476851851851854</v>
      </c>
      <c r="L115" s="9">
        <v>2.14</v>
      </c>
      <c r="M115" s="9">
        <v>8.98</v>
      </c>
    </row>
    <row r="116" spans="1:13" x14ac:dyDescent="0.35">
      <c r="A116" s="9" t="s">
        <v>1783</v>
      </c>
      <c r="B116" s="9" t="s">
        <v>1784</v>
      </c>
      <c r="C116" s="9">
        <v>1.43</v>
      </c>
      <c r="D116" s="9">
        <v>4339950500</v>
      </c>
      <c r="E116" s="9">
        <v>1</v>
      </c>
      <c r="F116" s="9" t="s">
        <v>1785</v>
      </c>
      <c r="G116" s="9" t="s">
        <v>985</v>
      </c>
      <c r="H116" s="9">
        <v>50.95</v>
      </c>
      <c r="I116" s="9">
        <v>10.89</v>
      </c>
      <c r="J116" s="9">
        <v>65537</v>
      </c>
      <c r="K116" s="71">
        <v>0.41650462962962959</v>
      </c>
      <c r="L116" s="9">
        <v>3.34</v>
      </c>
      <c r="M116" s="9">
        <v>36.03</v>
      </c>
    </row>
    <row r="117" spans="1:13" x14ac:dyDescent="0.35">
      <c r="A117" s="9" t="s">
        <v>1786</v>
      </c>
      <c r="B117" s="9" t="s">
        <v>1787</v>
      </c>
      <c r="C117" s="9">
        <v>4.0999999999999996</v>
      </c>
      <c r="D117" s="9">
        <v>3306240000</v>
      </c>
      <c r="E117" s="9">
        <v>1</v>
      </c>
      <c r="F117" s="9" t="s">
        <v>1788</v>
      </c>
      <c r="G117" s="9" t="s">
        <v>985</v>
      </c>
      <c r="H117" s="9">
        <v>55.31</v>
      </c>
      <c r="I117" s="9">
        <v>39.630000000000003</v>
      </c>
      <c r="J117" s="9">
        <v>65537</v>
      </c>
      <c r="K117" s="71">
        <v>0.47456018518518522</v>
      </c>
      <c r="L117" s="9">
        <v>2.94</v>
      </c>
      <c r="M117" s="9">
        <v>12.37</v>
      </c>
    </row>
    <row r="118" spans="1:13" x14ac:dyDescent="0.35">
      <c r="A118" s="9" t="s">
        <v>1789</v>
      </c>
      <c r="B118" s="9" t="s">
        <v>1790</v>
      </c>
      <c r="C118" s="9">
        <v>2.68</v>
      </c>
      <c r="D118" s="9">
        <v>21738090000</v>
      </c>
      <c r="E118" s="9">
        <v>1</v>
      </c>
      <c r="F118" s="9" t="s">
        <v>1791</v>
      </c>
      <c r="G118" s="9" t="s">
        <v>985</v>
      </c>
      <c r="H118" s="9">
        <v>60.59</v>
      </c>
      <c r="I118" s="9">
        <v>51.31</v>
      </c>
      <c r="J118" s="9">
        <v>65537</v>
      </c>
      <c r="K118" s="71">
        <v>0.60569444444444442</v>
      </c>
      <c r="L118" s="9">
        <v>2.85</v>
      </c>
      <c r="M118" s="9">
        <v>7.54</v>
      </c>
    </row>
    <row r="119" spans="1:13" x14ac:dyDescent="0.35">
      <c r="A119" s="9" t="s">
        <v>1792</v>
      </c>
      <c r="B119" s="9" t="s">
        <v>1793</v>
      </c>
      <c r="C119" s="9">
        <v>2.75</v>
      </c>
      <c r="D119" s="9">
        <v>4548321600</v>
      </c>
      <c r="E119" s="9">
        <v>1</v>
      </c>
      <c r="F119" s="9" t="s">
        <v>1719</v>
      </c>
      <c r="G119" s="9" t="s">
        <v>985</v>
      </c>
      <c r="H119" s="9">
        <v>26.18</v>
      </c>
      <c r="I119" s="9">
        <v>63.51</v>
      </c>
      <c r="J119" s="9">
        <v>65537</v>
      </c>
      <c r="K119" s="71">
        <v>0.40383101851851855</v>
      </c>
      <c r="L119" s="9">
        <v>4.97</v>
      </c>
      <c r="M119" s="9">
        <v>10.17</v>
      </c>
    </row>
    <row r="120" spans="1:13" x14ac:dyDescent="0.35">
      <c r="A120" s="9" t="s">
        <v>1794</v>
      </c>
      <c r="B120" s="9" t="s">
        <v>1795</v>
      </c>
      <c r="C120" s="9">
        <v>16.059999999999999</v>
      </c>
      <c r="D120" s="9">
        <v>43357922000</v>
      </c>
      <c r="E120" s="9">
        <v>1</v>
      </c>
      <c r="F120" s="9" t="s">
        <v>1561</v>
      </c>
      <c r="G120" s="9" t="s">
        <v>985</v>
      </c>
      <c r="H120" s="9">
        <v>63.86</v>
      </c>
      <c r="I120" s="9">
        <v>100</v>
      </c>
      <c r="J120" s="9">
        <v>65537</v>
      </c>
      <c r="K120" s="71">
        <v>0.6225694444444444</v>
      </c>
      <c r="L120" s="9">
        <v>3.55</v>
      </c>
      <c r="M120" s="9">
        <v>1.05</v>
      </c>
    </row>
    <row r="121" spans="1:13" x14ac:dyDescent="0.35">
      <c r="A121" s="9" t="s">
        <v>1796</v>
      </c>
      <c r="B121" s="9" t="s">
        <v>1797</v>
      </c>
      <c r="C121" s="9">
        <v>9.74</v>
      </c>
      <c r="D121" s="9">
        <v>27983577000</v>
      </c>
      <c r="E121" s="9">
        <v>1</v>
      </c>
      <c r="F121" s="9" t="s">
        <v>1773</v>
      </c>
      <c r="G121" s="9" t="s">
        <v>985</v>
      </c>
      <c r="H121" s="9">
        <v>71.34</v>
      </c>
      <c r="I121" s="9">
        <v>57.98</v>
      </c>
      <c r="J121" s="9">
        <v>65537</v>
      </c>
      <c r="K121" s="71">
        <v>0.42799768518518522</v>
      </c>
      <c r="L121" s="9">
        <v>2.0099999999999998</v>
      </c>
      <c r="M121" s="9">
        <v>12.66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9C348-A4F5-4010-B984-ABE907BD4EF4}">
  <dimension ref="A1:M56"/>
  <sheetViews>
    <sheetView topLeftCell="A58" workbookViewId="0">
      <selection activeCell="P18" sqref="P18"/>
    </sheetView>
  </sheetViews>
  <sheetFormatPr defaultRowHeight="14.15" x14ac:dyDescent="0.35"/>
  <cols>
    <col min="1" max="16384" width="9.140625" style="9"/>
  </cols>
  <sheetData>
    <row r="1" spans="1:13" x14ac:dyDescent="0.35">
      <c r="A1" s="9" t="s">
        <v>292</v>
      </c>
      <c r="B1" s="9" t="s">
        <v>59</v>
      </c>
      <c r="C1" s="9" t="s">
        <v>1019</v>
      </c>
      <c r="D1" s="9" t="s">
        <v>293</v>
      </c>
      <c r="E1" s="9" t="s">
        <v>1482</v>
      </c>
      <c r="F1" s="9" t="s">
        <v>1483</v>
      </c>
      <c r="G1" s="9" t="s">
        <v>982</v>
      </c>
      <c r="H1" s="9" t="s">
        <v>1017</v>
      </c>
      <c r="I1" s="9" t="s">
        <v>1484</v>
      </c>
      <c r="J1" s="9" t="s">
        <v>1022</v>
      </c>
      <c r="K1" s="9" t="s">
        <v>1485</v>
      </c>
      <c r="L1" s="9" t="s">
        <v>1486</v>
      </c>
      <c r="M1" s="9" t="s">
        <v>1487</v>
      </c>
    </row>
    <row r="2" spans="1:13" x14ac:dyDescent="0.35">
      <c r="A2" s="9" t="s">
        <v>1051</v>
      </c>
      <c r="B2" s="9" t="s">
        <v>1597</v>
      </c>
      <c r="C2" s="9">
        <v>8.25</v>
      </c>
      <c r="D2" s="9">
        <v>1787609800</v>
      </c>
      <c r="E2" s="9">
        <v>5</v>
      </c>
      <c r="F2" s="9" t="s">
        <v>1587</v>
      </c>
      <c r="G2" s="9" t="s">
        <v>985</v>
      </c>
      <c r="H2" s="9">
        <v>0</v>
      </c>
      <c r="I2" s="9">
        <v>100</v>
      </c>
      <c r="J2" s="9">
        <v>327685</v>
      </c>
      <c r="K2" s="71">
        <v>0.3989583333333333</v>
      </c>
      <c r="L2" s="9">
        <v>18.87</v>
      </c>
      <c r="M2" s="9">
        <v>21.76</v>
      </c>
    </row>
    <row r="3" spans="1:13" x14ac:dyDescent="0.35">
      <c r="A3" s="9" t="s">
        <v>1190</v>
      </c>
      <c r="B3" s="9" t="s">
        <v>1598</v>
      </c>
      <c r="C3" s="9">
        <v>11.84</v>
      </c>
      <c r="D3" s="9">
        <v>2744935700</v>
      </c>
      <c r="E3" s="9">
        <v>4</v>
      </c>
      <c r="F3" s="9" t="s">
        <v>1302</v>
      </c>
      <c r="G3" s="9" t="s">
        <v>987</v>
      </c>
      <c r="H3" s="9">
        <v>0.5</v>
      </c>
      <c r="I3" s="9">
        <v>100</v>
      </c>
      <c r="J3" s="9">
        <v>262148</v>
      </c>
      <c r="K3" s="71">
        <v>0.39583333333333331</v>
      </c>
      <c r="L3" s="9">
        <v>3.68</v>
      </c>
      <c r="M3" s="9">
        <v>92.47</v>
      </c>
    </row>
    <row r="4" spans="1:13" x14ac:dyDescent="0.35">
      <c r="A4" s="9" t="s">
        <v>837</v>
      </c>
      <c r="B4" s="9" t="s">
        <v>838</v>
      </c>
      <c r="C4" s="9">
        <v>38.82</v>
      </c>
      <c r="D4" s="9">
        <v>6086976000</v>
      </c>
      <c r="E4" s="9">
        <v>4</v>
      </c>
      <c r="F4" s="9" t="s">
        <v>752</v>
      </c>
      <c r="G4" s="9" t="s">
        <v>985</v>
      </c>
      <c r="H4" s="9">
        <v>11</v>
      </c>
      <c r="I4" s="9">
        <v>100</v>
      </c>
      <c r="J4" s="9">
        <v>393223</v>
      </c>
      <c r="K4" s="71">
        <v>0.62271990740740735</v>
      </c>
      <c r="L4" s="9">
        <v>10.01</v>
      </c>
      <c r="M4" s="9">
        <v>1.38</v>
      </c>
    </row>
    <row r="5" spans="1:13" x14ac:dyDescent="0.35">
      <c r="A5" s="9" t="s">
        <v>1580</v>
      </c>
      <c r="B5" s="9" t="s">
        <v>1581</v>
      </c>
      <c r="C5" s="9">
        <v>31.99</v>
      </c>
      <c r="D5" s="9">
        <v>1678796500</v>
      </c>
      <c r="E5" s="9">
        <v>3</v>
      </c>
      <c r="F5" s="9" t="s">
        <v>1582</v>
      </c>
      <c r="G5" s="9" t="s">
        <v>987</v>
      </c>
      <c r="H5" s="9">
        <v>0</v>
      </c>
      <c r="I5" s="9">
        <v>100</v>
      </c>
      <c r="J5" s="9">
        <v>196611</v>
      </c>
      <c r="K5" s="71">
        <v>0.39583333333333331</v>
      </c>
      <c r="L5" s="9">
        <v>9.33</v>
      </c>
      <c r="M5" s="9">
        <v>138.27000000000001</v>
      </c>
    </row>
    <row r="6" spans="1:13" x14ac:dyDescent="0.35">
      <c r="A6" s="9" t="s">
        <v>1278</v>
      </c>
      <c r="B6" s="9" t="s">
        <v>1279</v>
      </c>
      <c r="C6" s="9">
        <v>12.73</v>
      </c>
      <c r="D6" s="9">
        <v>5488380400</v>
      </c>
      <c r="E6" s="9">
        <v>3</v>
      </c>
      <c r="F6" s="9" t="s">
        <v>1280</v>
      </c>
      <c r="G6" s="9" t="s">
        <v>985</v>
      </c>
      <c r="H6" s="9">
        <v>0.3</v>
      </c>
      <c r="I6" s="9">
        <v>100</v>
      </c>
      <c r="J6" s="9">
        <v>196611</v>
      </c>
      <c r="K6" s="71">
        <v>0.41060185185185188</v>
      </c>
      <c r="L6" s="9">
        <v>7.88</v>
      </c>
      <c r="M6" s="9">
        <v>5.1100000000000003</v>
      </c>
    </row>
    <row r="7" spans="1:13" x14ac:dyDescent="0.35">
      <c r="A7" s="9" t="s">
        <v>1236</v>
      </c>
      <c r="B7" s="9" t="s">
        <v>1237</v>
      </c>
      <c r="C7" s="9">
        <v>13.07</v>
      </c>
      <c r="D7" s="9">
        <v>3213256500</v>
      </c>
      <c r="E7" s="9">
        <v>3</v>
      </c>
      <c r="F7" s="9" t="s">
        <v>1238</v>
      </c>
      <c r="G7" s="9" t="s">
        <v>986</v>
      </c>
      <c r="H7" s="9">
        <v>39.049999999999997</v>
      </c>
      <c r="I7" s="9">
        <v>100</v>
      </c>
      <c r="J7" s="9">
        <v>196611</v>
      </c>
      <c r="K7" s="71">
        <v>0.61689814814814814</v>
      </c>
      <c r="L7" s="9">
        <v>28.25</v>
      </c>
      <c r="M7" s="9">
        <v>2.2599999999999998</v>
      </c>
    </row>
    <row r="8" spans="1:13" x14ac:dyDescent="0.35">
      <c r="A8" s="9" t="s">
        <v>1229</v>
      </c>
      <c r="B8" s="9" t="s">
        <v>1230</v>
      </c>
      <c r="C8" s="9">
        <v>5.01</v>
      </c>
      <c r="D8" s="9">
        <v>12186921000</v>
      </c>
      <c r="E8" s="9">
        <v>3</v>
      </c>
      <c r="F8" s="9" t="s">
        <v>1588</v>
      </c>
      <c r="G8" s="9" t="s">
        <v>985</v>
      </c>
      <c r="H8" s="9">
        <v>68.599999999999994</v>
      </c>
      <c r="I8" s="9">
        <v>100</v>
      </c>
      <c r="J8" s="9">
        <v>196611</v>
      </c>
      <c r="K8" s="71">
        <v>0.39687500000000003</v>
      </c>
      <c r="L8" s="9">
        <v>3.6</v>
      </c>
      <c r="M8" s="9">
        <v>12.83</v>
      </c>
    </row>
    <row r="9" spans="1:13" x14ac:dyDescent="0.35">
      <c r="A9" s="9" t="s">
        <v>547</v>
      </c>
      <c r="B9" s="9" t="s">
        <v>548</v>
      </c>
      <c r="C9" s="9">
        <v>16.8</v>
      </c>
      <c r="D9" s="9">
        <v>4117512000</v>
      </c>
      <c r="E9" s="9">
        <v>3</v>
      </c>
      <c r="F9" s="9" t="s">
        <v>1369</v>
      </c>
      <c r="G9" s="9" t="s">
        <v>985</v>
      </c>
      <c r="H9" s="9">
        <v>24.07</v>
      </c>
      <c r="I9" s="9">
        <v>100</v>
      </c>
      <c r="J9" s="9">
        <v>196611</v>
      </c>
      <c r="K9" s="71">
        <v>0.41893518518518519</v>
      </c>
      <c r="L9" s="9">
        <v>12.55</v>
      </c>
      <c r="M9" s="9">
        <v>2.41</v>
      </c>
    </row>
    <row r="10" spans="1:13" x14ac:dyDescent="0.35">
      <c r="A10" s="9" t="s">
        <v>458</v>
      </c>
      <c r="B10" s="9" t="s">
        <v>459</v>
      </c>
      <c r="C10" s="9">
        <v>53.19</v>
      </c>
      <c r="D10" s="9">
        <v>4060497800</v>
      </c>
      <c r="E10" s="9">
        <v>2</v>
      </c>
      <c r="F10" s="9" t="s">
        <v>1589</v>
      </c>
      <c r="G10" s="9" t="s">
        <v>985</v>
      </c>
      <c r="H10" s="9">
        <v>25.21</v>
      </c>
      <c r="I10" s="9">
        <v>100</v>
      </c>
      <c r="J10" s="9">
        <v>131074</v>
      </c>
      <c r="K10" s="71">
        <v>0.57726851851851857</v>
      </c>
      <c r="L10" s="9">
        <v>16.72</v>
      </c>
      <c r="M10" s="9">
        <v>5.46</v>
      </c>
    </row>
    <row r="11" spans="1:13" x14ac:dyDescent="0.35">
      <c r="A11" s="9" t="s">
        <v>347</v>
      </c>
      <c r="B11" s="9" t="s">
        <v>275</v>
      </c>
      <c r="C11" s="9">
        <v>22.51</v>
      </c>
      <c r="D11" s="9">
        <v>4727024000</v>
      </c>
      <c r="E11" s="9">
        <v>2</v>
      </c>
      <c r="F11" s="9" t="s">
        <v>1414</v>
      </c>
      <c r="G11" s="9" t="s">
        <v>985</v>
      </c>
      <c r="H11" s="9">
        <v>68.31</v>
      </c>
      <c r="I11" s="9">
        <v>100</v>
      </c>
      <c r="J11" s="9">
        <v>131074</v>
      </c>
      <c r="K11" s="71">
        <v>0.39966435185185184</v>
      </c>
      <c r="L11" s="9">
        <v>4.01</v>
      </c>
      <c r="M11" s="9">
        <v>26.79</v>
      </c>
    </row>
    <row r="12" spans="1:13" x14ac:dyDescent="0.35">
      <c r="A12" s="9" t="s">
        <v>1418</v>
      </c>
      <c r="B12" s="9" t="s">
        <v>1419</v>
      </c>
      <c r="C12" s="9">
        <v>4.72</v>
      </c>
      <c r="D12" s="9">
        <v>2514945100</v>
      </c>
      <c r="E12" s="9">
        <v>2</v>
      </c>
      <c r="F12" s="9" t="s">
        <v>1590</v>
      </c>
      <c r="G12" s="9" t="s">
        <v>985</v>
      </c>
      <c r="H12" s="9">
        <v>36.26</v>
      </c>
      <c r="I12" s="9">
        <v>91.39</v>
      </c>
      <c r="J12" s="9">
        <v>131074</v>
      </c>
      <c r="K12" s="71">
        <v>0.43872685185185184</v>
      </c>
      <c r="L12" s="9">
        <v>9.1</v>
      </c>
      <c r="M12" s="9">
        <v>20.39</v>
      </c>
    </row>
    <row r="13" spans="1:13" x14ac:dyDescent="0.35">
      <c r="A13" s="9" t="s">
        <v>1456</v>
      </c>
      <c r="B13" s="9" t="s">
        <v>1457</v>
      </c>
      <c r="C13" s="9">
        <v>7.18</v>
      </c>
      <c r="D13" s="9">
        <v>6998234600</v>
      </c>
      <c r="E13" s="9">
        <v>2</v>
      </c>
      <c r="F13" s="9" t="s">
        <v>1500</v>
      </c>
      <c r="G13" s="9" t="s">
        <v>985</v>
      </c>
      <c r="H13" s="9">
        <v>76.099999999999994</v>
      </c>
      <c r="I13" s="9">
        <v>100</v>
      </c>
      <c r="J13" s="9">
        <v>131074</v>
      </c>
      <c r="K13" s="71">
        <v>0.40469907407407407</v>
      </c>
      <c r="L13" s="9">
        <v>5.68</v>
      </c>
      <c r="M13" s="9">
        <v>12.35</v>
      </c>
    </row>
    <row r="14" spans="1:13" x14ac:dyDescent="0.35">
      <c r="A14" s="9" t="s">
        <v>1475</v>
      </c>
      <c r="B14" s="9" t="s">
        <v>1476</v>
      </c>
      <c r="C14" s="9">
        <v>15.2</v>
      </c>
      <c r="D14" s="9">
        <v>2980002300</v>
      </c>
      <c r="E14" s="9">
        <v>2</v>
      </c>
      <c r="F14" s="9" t="s">
        <v>1399</v>
      </c>
      <c r="G14" s="9" t="s">
        <v>985</v>
      </c>
      <c r="H14" s="9">
        <v>55.8</v>
      </c>
      <c r="I14" s="9">
        <v>100</v>
      </c>
      <c r="J14" s="9">
        <v>131074</v>
      </c>
      <c r="K14" s="71">
        <v>0.40001157407407412</v>
      </c>
      <c r="L14" s="9">
        <v>4.5599999999999996</v>
      </c>
      <c r="M14" s="9">
        <v>12.02</v>
      </c>
    </row>
    <row r="15" spans="1:13" x14ac:dyDescent="0.35">
      <c r="A15" s="9" t="s">
        <v>541</v>
      </c>
      <c r="B15" s="9" t="s">
        <v>542</v>
      </c>
      <c r="C15" s="9">
        <v>16.54</v>
      </c>
      <c r="D15" s="9">
        <v>8314925400</v>
      </c>
      <c r="E15" s="9">
        <v>2</v>
      </c>
      <c r="F15" s="9" t="s">
        <v>1413</v>
      </c>
      <c r="G15" s="9" t="s">
        <v>985</v>
      </c>
      <c r="H15" s="9">
        <v>16.72</v>
      </c>
      <c r="I15" s="9">
        <v>100</v>
      </c>
      <c r="J15" s="9">
        <v>131074</v>
      </c>
      <c r="K15" s="71">
        <v>0.59723379629629625</v>
      </c>
      <c r="L15" s="9">
        <v>9.56</v>
      </c>
      <c r="M15" s="9">
        <v>0.88</v>
      </c>
    </row>
    <row r="16" spans="1:13" x14ac:dyDescent="0.35">
      <c r="A16" s="9" t="s">
        <v>1574</v>
      </c>
      <c r="B16" s="9" t="s">
        <v>1575</v>
      </c>
      <c r="C16" s="9">
        <v>36.46</v>
      </c>
      <c r="D16" s="9">
        <v>729200000</v>
      </c>
      <c r="E16" s="9">
        <v>1</v>
      </c>
      <c r="F16" s="9" t="s">
        <v>1576</v>
      </c>
      <c r="G16" s="9" t="s">
        <v>985</v>
      </c>
      <c r="H16" s="9">
        <v>0.74</v>
      </c>
      <c r="I16" s="9">
        <v>99.18</v>
      </c>
      <c r="J16" s="9">
        <v>65537</v>
      </c>
      <c r="K16" s="71">
        <v>0.3991319444444445</v>
      </c>
      <c r="L16" s="9">
        <v>24.63</v>
      </c>
      <c r="M16" s="9">
        <v>35.06</v>
      </c>
    </row>
    <row r="17" spans="1:13" x14ac:dyDescent="0.35">
      <c r="A17" s="9" t="s">
        <v>1571</v>
      </c>
      <c r="B17" s="9" t="s">
        <v>1572</v>
      </c>
      <c r="C17" s="9">
        <v>42.83</v>
      </c>
      <c r="D17" s="9">
        <v>1336296000</v>
      </c>
      <c r="E17" s="9">
        <v>1</v>
      </c>
      <c r="F17" s="9" t="s">
        <v>1573</v>
      </c>
      <c r="G17" s="9" t="s">
        <v>985</v>
      </c>
      <c r="H17" s="9">
        <v>1.47</v>
      </c>
      <c r="I17" s="9">
        <v>96.9</v>
      </c>
      <c r="J17" s="9">
        <v>65537</v>
      </c>
      <c r="K17" s="71">
        <v>0.42761574074074077</v>
      </c>
      <c r="L17" s="9">
        <v>24.22</v>
      </c>
      <c r="M17" s="9">
        <v>7.57</v>
      </c>
    </row>
    <row r="18" spans="1:13" x14ac:dyDescent="0.35">
      <c r="A18" s="9" t="s">
        <v>1583</v>
      </c>
      <c r="B18" s="9" t="s">
        <v>1584</v>
      </c>
      <c r="C18" s="9">
        <v>40.56</v>
      </c>
      <c r="D18" s="9">
        <v>696316030</v>
      </c>
      <c r="E18" s="9">
        <v>1</v>
      </c>
      <c r="F18" s="9" t="s">
        <v>1585</v>
      </c>
      <c r="G18" s="9" t="s">
        <v>985</v>
      </c>
      <c r="H18" s="9">
        <v>0</v>
      </c>
      <c r="I18" s="9">
        <v>100</v>
      </c>
      <c r="J18" s="9">
        <v>65537</v>
      </c>
      <c r="K18" s="71">
        <v>0.39635416666666662</v>
      </c>
      <c r="L18" s="9">
        <v>24.95</v>
      </c>
      <c r="M18" s="9">
        <v>32.51</v>
      </c>
    </row>
    <row r="19" spans="1:13" x14ac:dyDescent="0.35">
      <c r="A19" s="9" t="s">
        <v>1556</v>
      </c>
      <c r="B19" s="9" t="s">
        <v>1557</v>
      </c>
      <c r="C19" s="9">
        <v>14.92</v>
      </c>
      <c r="D19" s="9">
        <v>2719857000</v>
      </c>
      <c r="E19" s="9">
        <v>1</v>
      </c>
      <c r="F19" s="9" t="s">
        <v>1558</v>
      </c>
      <c r="G19" s="9" t="s">
        <v>985</v>
      </c>
      <c r="H19" s="9">
        <v>12.54</v>
      </c>
      <c r="I19" s="9">
        <v>99.8</v>
      </c>
      <c r="J19" s="9">
        <v>65537</v>
      </c>
      <c r="K19" s="71">
        <v>0.616724537037037</v>
      </c>
      <c r="L19" s="9">
        <v>16.73</v>
      </c>
      <c r="M19" s="9">
        <v>1.2</v>
      </c>
    </row>
    <row r="20" spans="1:13" x14ac:dyDescent="0.35">
      <c r="A20" s="9" t="s">
        <v>1536</v>
      </c>
      <c r="B20" s="9" t="s">
        <v>1537</v>
      </c>
      <c r="C20" s="9">
        <v>41.82</v>
      </c>
      <c r="D20" s="9">
        <v>19409693000</v>
      </c>
      <c r="E20" s="9">
        <v>1</v>
      </c>
      <c r="F20" s="9" t="s">
        <v>1538</v>
      </c>
      <c r="G20" s="9" t="s">
        <v>985</v>
      </c>
      <c r="H20" s="9">
        <v>56.61</v>
      </c>
      <c r="I20" s="9">
        <v>100</v>
      </c>
      <c r="J20" s="9">
        <v>65537</v>
      </c>
      <c r="K20" s="71">
        <v>0.59480324074074076</v>
      </c>
      <c r="L20" s="9">
        <v>5.4</v>
      </c>
      <c r="M20" s="9">
        <v>6.04</v>
      </c>
    </row>
    <row r="21" spans="1:13" x14ac:dyDescent="0.35">
      <c r="A21" s="9" t="s">
        <v>1530</v>
      </c>
      <c r="B21" s="9" t="s">
        <v>1531</v>
      </c>
      <c r="C21" s="9">
        <v>7.1</v>
      </c>
      <c r="D21" s="9">
        <v>4570660800</v>
      </c>
      <c r="E21" s="9">
        <v>1</v>
      </c>
      <c r="F21" s="9" t="s">
        <v>1532</v>
      </c>
      <c r="G21" s="9" t="s">
        <v>985</v>
      </c>
      <c r="H21" s="9">
        <v>58.06</v>
      </c>
      <c r="I21" s="9">
        <v>60.16</v>
      </c>
      <c r="J21" s="9">
        <v>65537</v>
      </c>
      <c r="K21" s="71">
        <v>0.58612268518518518</v>
      </c>
      <c r="L21" s="9">
        <v>6.65</v>
      </c>
      <c r="M21" s="9">
        <v>13.87</v>
      </c>
    </row>
    <row r="22" spans="1:13" x14ac:dyDescent="0.35">
      <c r="A22" s="9" t="s">
        <v>582</v>
      </c>
      <c r="B22" s="9" t="s">
        <v>583</v>
      </c>
      <c r="C22" s="9">
        <v>69.39</v>
      </c>
      <c r="D22" s="9">
        <v>1984541400</v>
      </c>
      <c r="E22" s="9">
        <v>1</v>
      </c>
      <c r="F22" s="9" t="s">
        <v>1567</v>
      </c>
      <c r="G22" s="9" t="s">
        <v>985</v>
      </c>
      <c r="H22" s="9">
        <v>23.58</v>
      </c>
      <c r="I22" s="9">
        <v>90.92</v>
      </c>
      <c r="J22" s="9">
        <v>65537</v>
      </c>
      <c r="K22" s="71">
        <v>0.41216435185185185</v>
      </c>
      <c r="L22" s="9">
        <v>12.98</v>
      </c>
      <c r="M22" s="9">
        <v>10.220000000000001</v>
      </c>
    </row>
    <row r="23" spans="1:13" x14ac:dyDescent="0.35">
      <c r="A23" s="9" t="s">
        <v>1038</v>
      </c>
      <c r="B23" s="9" t="s">
        <v>1039</v>
      </c>
      <c r="C23" s="9">
        <v>25.03</v>
      </c>
      <c r="D23" s="9">
        <v>2864683500</v>
      </c>
      <c r="E23" s="9">
        <v>1</v>
      </c>
      <c r="F23" s="9" t="s">
        <v>1591</v>
      </c>
      <c r="G23" s="9" t="s">
        <v>985</v>
      </c>
      <c r="H23" s="9">
        <v>39.74</v>
      </c>
      <c r="I23" s="9">
        <v>100</v>
      </c>
      <c r="J23" s="9">
        <v>65537</v>
      </c>
      <c r="K23" s="71">
        <v>0.4145949074074074</v>
      </c>
      <c r="L23" s="9">
        <v>10.29</v>
      </c>
      <c r="M23" s="9">
        <v>6.22</v>
      </c>
    </row>
    <row r="24" spans="1:13" x14ac:dyDescent="0.35">
      <c r="A24" s="9" t="s">
        <v>1550</v>
      </c>
      <c r="B24" s="9" t="s">
        <v>1551</v>
      </c>
      <c r="C24" s="9">
        <v>54</v>
      </c>
      <c r="D24" s="9">
        <v>8515799700</v>
      </c>
      <c r="E24" s="9">
        <v>1</v>
      </c>
      <c r="F24" s="9" t="s">
        <v>1552</v>
      </c>
      <c r="G24" s="9" t="s">
        <v>985</v>
      </c>
      <c r="H24" s="9">
        <v>63.04</v>
      </c>
      <c r="I24" s="9">
        <v>100</v>
      </c>
      <c r="J24" s="9">
        <v>65537</v>
      </c>
      <c r="K24" s="71">
        <v>0.4158101851851852</v>
      </c>
      <c r="L24" s="9">
        <v>3.33</v>
      </c>
      <c r="M24" s="9">
        <v>25.23</v>
      </c>
    </row>
    <row r="25" spans="1:13" x14ac:dyDescent="0.35">
      <c r="A25" s="9" t="s">
        <v>1001</v>
      </c>
      <c r="B25" s="9" t="s">
        <v>148</v>
      </c>
      <c r="C25" s="9">
        <v>24.75</v>
      </c>
      <c r="D25" s="9">
        <v>4431003800</v>
      </c>
      <c r="E25" s="9">
        <v>1</v>
      </c>
      <c r="F25" s="9" t="s">
        <v>1527</v>
      </c>
      <c r="G25" s="9" t="s">
        <v>985</v>
      </c>
      <c r="H25" s="9">
        <v>7.17</v>
      </c>
      <c r="I25" s="9">
        <v>68.23</v>
      </c>
      <c r="J25" s="9">
        <v>65537</v>
      </c>
      <c r="K25" s="71">
        <v>0.56320601851851848</v>
      </c>
      <c r="L25" s="9">
        <v>31.05</v>
      </c>
      <c r="M25" s="9">
        <v>8.6300000000000008</v>
      </c>
    </row>
    <row r="26" spans="1:13" x14ac:dyDescent="0.35">
      <c r="A26" s="9" t="s">
        <v>1524</v>
      </c>
      <c r="B26" s="9" t="s">
        <v>1525</v>
      </c>
      <c r="C26" s="9">
        <v>6.05</v>
      </c>
      <c r="D26" s="9">
        <v>3017854000</v>
      </c>
      <c r="E26" s="9">
        <v>1</v>
      </c>
      <c r="F26" s="9" t="s">
        <v>1526</v>
      </c>
      <c r="G26" s="9" t="s">
        <v>985</v>
      </c>
      <c r="H26" s="9">
        <v>55.33</v>
      </c>
      <c r="I26" s="9">
        <v>99.3</v>
      </c>
      <c r="J26" s="9">
        <v>65537</v>
      </c>
      <c r="K26" s="71">
        <v>0.55035879629629625</v>
      </c>
      <c r="L26" s="9">
        <v>6.24</v>
      </c>
      <c r="M26" s="9">
        <v>29.05</v>
      </c>
    </row>
    <row r="27" spans="1:13" x14ac:dyDescent="0.35">
      <c r="A27" s="9" t="s">
        <v>1521</v>
      </c>
      <c r="B27" s="9" t="s">
        <v>1522</v>
      </c>
      <c r="C27" s="9">
        <v>10.210000000000001</v>
      </c>
      <c r="D27" s="9">
        <v>1299548860</v>
      </c>
      <c r="E27" s="9">
        <v>1</v>
      </c>
      <c r="F27" s="9" t="s">
        <v>1523</v>
      </c>
      <c r="G27" s="9" t="s">
        <v>985</v>
      </c>
      <c r="H27" s="9">
        <v>0</v>
      </c>
      <c r="I27" s="9">
        <v>70.239999999999995</v>
      </c>
      <c r="J27" s="9">
        <v>65537</v>
      </c>
      <c r="K27" s="71">
        <v>0.39652777777777781</v>
      </c>
      <c r="L27" s="9">
        <v>3.06</v>
      </c>
      <c r="M27" s="9">
        <v>166.9</v>
      </c>
    </row>
    <row r="28" spans="1:13" x14ac:dyDescent="0.35">
      <c r="A28" s="9" t="s">
        <v>1518</v>
      </c>
      <c r="B28" s="9" t="s">
        <v>1519</v>
      </c>
      <c r="C28" s="9">
        <v>28.69</v>
      </c>
      <c r="D28" s="9">
        <v>7228089100</v>
      </c>
      <c r="E28" s="9">
        <v>1</v>
      </c>
      <c r="F28" s="9" t="s">
        <v>1520</v>
      </c>
      <c r="G28" s="9" t="s">
        <v>985</v>
      </c>
      <c r="H28" s="9">
        <v>8.34</v>
      </c>
      <c r="I28" s="9">
        <v>98.91</v>
      </c>
      <c r="J28" s="9">
        <v>65537</v>
      </c>
      <c r="K28" s="71">
        <v>0.4241435185185185</v>
      </c>
      <c r="L28" s="9">
        <v>13.57</v>
      </c>
      <c r="M28" s="9">
        <v>5.19</v>
      </c>
    </row>
    <row r="29" spans="1:13" x14ac:dyDescent="0.35">
      <c r="A29" s="9" t="s">
        <v>883</v>
      </c>
      <c r="B29" s="9" t="s">
        <v>884</v>
      </c>
      <c r="C29" s="9">
        <v>4.9000000000000004</v>
      </c>
      <c r="D29" s="9">
        <v>5387517700</v>
      </c>
      <c r="E29" s="9">
        <v>1</v>
      </c>
      <c r="F29" s="9" t="s">
        <v>1090</v>
      </c>
      <c r="G29" s="9" t="s">
        <v>985</v>
      </c>
      <c r="H29" s="9">
        <v>2.85</v>
      </c>
      <c r="I29" s="9">
        <v>99.36</v>
      </c>
      <c r="J29" s="9">
        <v>196614</v>
      </c>
      <c r="K29" s="71">
        <v>0.4007060185185185</v>
      </c>
      <c r="L29" s="9">
        <v>9.76</v>
      </c>
      <c r="M29" s="9">
        <v>20.76</v>
      </c>
    </row>
    <row r="30" spans="1:13" x14ac:dyDescent="0.35">
      <c r="A30" s="9" t="s">
        <v>1515</v>
      </c>
      <c r="B30" s="9" t="s">
        <v>1516</v>
      </c>
      <c r="C30" s="9">
        <v>8.35</v>
      </c>
      <c r="D30" s="9">
        <v>5027128500</v>
      </c>
      <c r="E30" s="9">
        <v>1</v>
      </c>
      <c r="F30" s="9" t="s">
        <v>1517</v>
      </c>
      <c r="G30" s="9" t="s">
        <v>985</v>
      </c>
      <c r="H30" s="9">
        <v>36.229999999999997</v>
      </c>
      <c r="I30" s="9">
        <v>99.52</v>
      </c>
      <c r="J30" s="9">
        <v>65537</v>
      </c>
      <c r="K30" s="71">
        <v>0.59237268518518515</v>
      </c>
      <c r="L30" s="9">
        <v>8.64</v>
      </c>
      <c r="M30" s="9">
        <v>37.74</v>
      </c>
    </row>
    <row r="31" spans="1:13" x14ac:dyDescent="0.35">
      <c r="A31" s="9" t="s">
        <v>1513</v>
      </c>
      <c r="B31" s="9" t="s">
        <v>1514</v>
      </c>
      <c r="C31" s="9">
        <v>52.36</v>
      </c>
      <c r="D31" s="9">
        <v>28639912000</v>
      </c>
      <c r="E31" s="9">
        <v>1</v>
      </c>
      <c r="F31" s="9" t="s">
        <v>407</v>
      </c>
      <c r="G31" s="9" t="s">
        <v>985</v>
      </c>
      <c r="H31" s="9">
        <v>60.32</v>
      </c>
      <c r="I31" s="9">
        <v>100</v>
      </c>
      <c r="J31" s="9">
        <v>65537</v>
      </c>
      <c r="K31" s="71">
        <v>0.60771990740740744</v>
      </c>
      <c r="L31" s="9">
        <v>7.05</v>
      </c>
      <c r="M31" s="9">
        <v>5</v>
      </c>
    </row>
    <row r="32" spans="1:13" x14ac:dyDescent="0.35">
      <c r="A32" s="9" t="s">
        <v>1494</v>
      </c>
      <c r="B32" s="9" t="s">
        <v>1495</v>
      </c>
      <c r="C32" s="9">
        <v>13.18</v>
      </c>
      <c r="D32" s="9">
        <v>6298209700</v>
      </c>
      <c r="E32" s="9">
        <v>1</v>
      </c>
      <c r="F32" s="9" t="s">
        <v>1496</v>
      </c>
      <c r="G32" s="9" t="s">
        <v>985</v>
      </c>
      <c r="H32" s="9">
        <v>3.74</v>
      </c>
      <c r="I32" s="9">
        <v>70.25</v>
      </c>
      <c r="J32" s="9">
        <v>65537</v>
      </c>
      <c r="K32" s="71">
        <v>0.59202546296296299</v>
      </c>
      <c r="L32" s="9">
        <v>6.67</v>
      </c>
      <c r="M32" s="9">
        <v>0.9</v>
      </c>
    </row>
    <row r="33" spans="1:13" x14ac:dyDescent="0.35">
      <c r="A33" s="9" t="s">
        <v>1510</v>
      </c>
      <c r="B33" s="9" t="s">
        <v>1511</v>
      </c>
      <c r="C33" s="9">
        <v>3.88</v>
      </c>
      <c r="D33" s="9">
        <v>2999994000</v>
      </c>
      <c r="E33" s="9">
        <v>1</v>
      </c>
      <c r="F33" s="9" t="s">
        <v>1512</v>
      </c>
      <c r="G33" s="9" t="s">
        <v>985</v>
      </c>
      <c r="H33" s="9">
        <v>31.1</v>
      </c>
      <c r="I33" s="9">
        <v>79.2</v>
      </c>
      <c r="J33" s="9">
        <v>65537</v>
      </c>
      <c r="K33" s="71">
        <v>0.40591435185185182</v>
      </c>
      <c r="L33" s="9">
        <v>3.67</v>
      </c>
      <c r="M33" s="9">
        <v>64.84</v>
      </c>
    </row>
    <row r="34" spans="1:13" x14ac:dyDescent="0.35">
      <c r="A34" s="9" t="s">
        <v>750</v>
      </c>
      <c r="B34" s="9" t="s">
        <v>751</v>
      </c>
      <c r="C34" s="9">
        <v>30.24</v>
      </c>
      <c r="D34" s="9">
        <v>15992934000</v>
      </c>
      <c r="E34" s="9">
        <v>1</v>
      </c>
      <c r="F34" s="9" t="s">
        <v>1592</v>
      </c>
      <c r="G34" s="9" t="s">
        <v>985</v>
      </c>
      <c r="H34" s="9">
        <v>57.54</v>
      </c>
      <c r="I34" s="9">
        <v>100</v>
      </c>
      <c r="J34" s="9">
        <v>65537</v>
      </c>
      <c r="K34" s="71">
        <v>0.41199074074074077</v>
      </c>
      <c r="L34" s="9">
        <v>5.04</v>
      </c>
      <c r="M34" s="9">
        <v>11.5</v>
      </c>
    </row>
    <row r="35" spans="1:13" x14ac:dyDescent="0.35">
      <c r="A35" s="9" t="s">
        <v>311</v>
      </c>
      <c r="B35" s="9" t="s">
        <v>312</v>
      </c>
      <c r="C35" s="9">
        <v>18.04</v>
      </c>
      <c r="D35" s="9">
        <v>7205121600</v>
      </c>
      <c r="E35" s="9">
        <v>1</v>
      </c>
      <c r="F35" s="9" t="s">
        <v>1593</v>
      </c>
      <c r="G35" s="9" t="s">
        <v>985</v>
      </c>
      <c r="H35" s="9">
        <v>37.69</v>
      </c>
      <c r="I35" s="9">
        <v>100</v>
      </c>
      <c r="J35" s="9">
        <v>524298</v>
      </c>
      <c r="K35" s="71">
        <v>0.62253472222222228</v>
      </c>
      <c r="L35" s="9">
        <v>41.83</v>
      </c>
      <c r="M35" s="9">
        <v>2.65</v>
      </c>
    </row>
    <row r="36" spans="1:13" x14ac:dyDescent="0.35">
      <c r="A36" s="9" t="s">
        <v>1326</v>
      </c>
      <c r="B36" s="9" t="s">
        <v>1327</v>
      </c>
      <c r="C36" s="9">
        <v>14.82</v>
      </c>
      <c r="D36" s="9">
        <v>13577717000</v>
      </c>
      <c r="E36" s="9">
        <v>1</v>
      </c>
      <c r="F36" s="9" t="s">
        <v>1594</v>
      </c>
      <c r="G36" s="9" t="s">
        <v>985</v>
      </c>
      <c r="H36" s="9">
        <v>53.33</v>
      </c>
      <c r="I36" s="9">
        <v>100</v>
      </c>
      <c r="J36" s="9">
        <v>131075</v>
      </c>
      <c r="K36" s="71">
        <v>0.39930555555555558</v>
      </c>
      <c r="L36" s="9">
        <v>2.91</v>
      </c>
      <c r="M36" s="9">
        <v>29.25</v>
      </c>
    </row>
    <row r="37" spans="1:13" x14ac:dyDescent="0.35">
      <c r="A37" s="9" t="s">
        <v>1491</v>
      </c>
      <c r="B37" s="9" t="s">
        <v>1492</v>
      </c>
      <c r="C37" s="9">
        <v>6.66</v>
      </c>
      <c r="D37" s="9">
        <v>5855528600</v>
      </c>
      <c r="E37" s="9">
        <v>1</v>
      </c>
      <c r="F37" s="9" t="s">
        <v>1493</v>
      </c>
      <c r="G37" s="9" t="s">
        <v>985</v>
      </c>
      <c r="H37" s="9">
        <v>24.57</v>
      </c>
      <c r="I37" s="9">
        <v>93.92</v>
      </c>
      <c r="J37" s="9">
        <v>65537</v>
      </c>
      <c r="K37" s="71">
        <v>0.42587962962962966</v>
      </c>
      <c r="L37" s="9">
        <v>3.46</v>
      </c>
      <c r="M37" s="9">
        <v>35.04</v>
      </c>
    </row>
    <row r="38" spans="1:13" x14ac:dyDescent="0.35">
      <c r="A38" s="9" t="s">
        <v>1504</v>
      </c>
      <c r="B38" s="9" t="s">
        <v>1505</v>
      </c>
      <c r="C38" s="9">
        <v>18.739999999999998</v>
      </c>
      <c r="D38" s="9">
        <v>11069420000</v>
      </c>
      <c r="E38" s="9">
        <v>1</v>
      </c>
      <c r="F38" s="9" t="s">
        <v>1506</v>
      </c>
      <c r="G38" s="9" t="s">
        <v>985</v>
      </c>
      <c r="H38" s="9">
        <v>30.71</v>
      </c>
      <c r="I38" s="9">
        <v>67.3</v>
      </c>
      <c r="J38" s="9">
        <v>65537</v>
      </c>
      <c r="K38" s="71">
        <v>0.60105324074074074</v>
      </c>
      <c r="L38" s="9">
        <v>20.78</v>
      </c>
      <c r="M38" s="9">
        <v>7.91</v>
      </c>
    </row>
    <row r="39" spans="1:13" x14ac:dyDescent="0.35">
      <c r="A39" s="9" t="s">
        <v>1488</v>
      </c>
      <c r="B39" s="9" t="s">
        <v>1489</v>
      </c>
      <c r="C39" s="9">
        <v>17.63</v>
      </c>
      <c r="D39" s="9">
        <v>5274019000</v>
      </c>
      <c r="E39" s="9">
        <v>1</v>
      </c>
      <c r="F39" s="9" t="s">
        <v>1490</v>
      </c>
      <c r="G39" s="9" t="s">
        <v>985</v>
      </c>
      <c r="H39" s="9">
        <v>41.68</v>
      </c>
      <c r="I39" s="9">
        <v>100</v>
      </c>
      <c r="J39" s="9">
        <v>65537</v>
      </c>
      <c r="K39" s="71">
        <v>0.463900462962963</v>
      </c>
      <c r="L39" s="9">
        <v>9.64</v>
      </c>
      <c r="M39" s="9">
        <v>2.54</v>
      </c>
    </row>
    <row r="40" spans="1:13" x14ac:dyDescent="0.35">
      <c r="A40" s="9" t="s">
        <v>1501</v>
      </c>
      <c r="B40" s="9" t="s">
        <v>1502</v>
      </c>
      <c r="C40" s="9">
        <v>8.0399999999999991</v>
      </c>
      <c r="D40" s="9">
        <v>2462636200</v>
      </c>
      <c r="E40" s="9">
        <v>1</v>
      </c>
      <c r="F40" s="9" t="s">
        <v>1503</v>
      </c>
      <c r="G40" s="9" t="s">
        <v>987</v>
      </c>
      <c r="H40" s="9">
        <v>37.99</v>
      </c>
      <c r="I40" s="9">
        <v>97.22</v>
      </c>
      <c r="J40" s="9">
        <v>65537</v>
      </c>
      <c r="K40" s="71">
        <v>0.39583333333333331</v>
      </c>
      <c r="L40" s="9">
        <v>1.98</v>
      </c>
      <c r="M40" s="9">
        <v>114.14</v>
      </c>
    </row>
    <row r="41" spans="1:13" x14ac:dyDescent="0.35">
      <c r="A41" s="9" t="s">
        <v>1497</v>
      </c>
      <c r="B41" s="9" t="s">
        <v>1498</v>
      </c>
      <c r="C41" s="9">
        <v>4.5199999999999996</v>
      </c>
      <c r="D41" s="9">
        <v>3958655800</v>
      </c>
      <c r="E41" s="9">
        <v>1</v>
      </c>
      <c r="F41" s="9" t="s">
        <v>1499</v>
      </c>
      <c r="G41" s="9" t="s">
        <v>985</v>
      </c>
      <c r="H41" s="9">
        <v>35.72</v>
      </c>
      <c r="I41" s="9">
        <v>96.26</v>
      </c>
      <c r="J41" s="9">
        <v>65537</v>
      </c>
      <c r="K41" s="71">
        <v>0.46945601851851854</v>
      </c>
      <c r="L41" s="9">
        <v>10.68</v>
      </c>
      <c r="M41" s="9">
        <v>10.93</v>
      </c>
    </row>
    <row r="42" spans="1:13" x14ac:dyDescent="0.35">
      <c r="A42" s="9" t="s">
        <v>638</v>
      </c>
      <c r="B42" s="9" t="s">
        <v>639</v>
      </c>
      <c r="C42" s="9">
        <v>27.13</v>
      </c>
      <c r="D42" s="9">
        <v>1697524100</v>
      </c>
      <c r="E42" s="9">
        <v>1</v>
      </c>
      <c r="F42" s="9" t="s">
        <v>1562</v>
      </c>
      <c r="G42" s="9" t="s">
        <v>985</v>
      </c>
      <c r="H42" s="9">
        <v>49.44</v>
      </c>
      <c r="I42" s="9">
        <v>99.95</v>
      </c>
      <c r="J42" s="9">
        <v>65537</v>
      </c>
      <c r="K42" s="71">
        <v>0.4229282407407407</v>
      </c>
      <c r="L42" s="9">
        <v>4.84</v>
      </c>
      <c r="M42" s="9">
        <v>67.33</v>
      </c>
    </row>
    <row r="43" spans="1:13" x14ac:dyDescent="0.35">
      <c r="A43" s="9" t="s">
        <v>1564</v>
      </c>
      <c r="B43" s="9" t="s">
        <v>1565</v>
      </c>
      <c r="C43" s="9">
        <v>16.010000000000002</v>
      </c>
      <c r="D43" s="9">
        <v>2075328300</v>
      </c>
      <c r="E43" s="9">
        <v>1</v>
      </c>
      <c r="F43" s="9" t="s">
        <v>1566</v>
      </c>
      <c r="G43" s="9" t="s">
        <v>985</v>
      </c>
      <c r="H43" s="9">
        <v>13.49</v>
      </c>
      <c r="I43" s="9">
        <v>61.79</v>
      </c>
      <c r="J43" s="9">
        <v>65537</v>
      </c>
      <c r="K43" s="71">
        <v>0.44202546296296297</v>
      </c>
      <c r="L43" s="9">
        <v>10.02</v>
      </c>
      <c r="M43" s="9">
        <v>33.46</v>
      </c>
    </row>
    <row r="44" spans="1:13" x14ac:dyDescent="0.35">
      <c r="A44" s="9" t="s">
        <v>532</v>
      </c>
      <c r="B44" s="9" t="s">
        <v>533</v>
      </c>
      <c r="C44" s="9">
        <v>48.82</v>
      </c>
      <c r="D44" s="9">
        <v>2036282200</v>
      </c>
      <c r="E44" s="9">
        <v>1</v>
      </c>
      <c r="F44" s="9" t="s">
        <v>1563</v>
      </c>
      <c r="G44" s="9" t="s">
        <v>985</v>
      </c>
      <c r="H44" s="9">
        <v>16.14</v>
      </c>
      <c r="I44" s="9">
        <v>100</v>
      </c>
      <c r="J44" s="9">
        <v>65537</v>
      </c>
      <c r="K44" s="71">
        <v>0.6008796296296296</v>
      </c>
      <c r="L44" s="9">
        <v>9.57</v>
      </c>
      <c r="M44" s="9">
        <v>0.47</v>
      </c>
    </row>
    <row r="45" spans="1:13" x14ac:dyDescent="0.35">
      <c r="A45" s="9" t="s">
        <v>1568</v>
      </c>
      <c r="B45" s="9" t="s">
        <v>1569</v>
      </c>
      <c r="C45" s="9">
        <v>28.18</v>
      </c>
      <c r="D45" s="9">
        <v>3468605800</v>
      </c>
      <c r="E45" s="9">
        <v>1</v>
      </c>
      <c r="F45" s="9" t="s">
        <v>1570</v>
      </c>
      <c r="G45" s="9" t="s">
        <v>985</v>
      </c>
      <c r="H45" s="9">
        <v>5.56</v>
      </c>
      <c r="I45" s="9">
        <v>100</v>
      </c>
      <c r="J45" s="9">
        <v>65537</v>
      </c>
      <c r="K45" s="71">
        <v>0.45834490740740735</v>
      </c>
      <c r="L45" s="9">
        <v>10.44</v>
      </c>
      <c r="M45" s="9">
        <v>7.94</v>
      </c>
    </row>
    <row r="46" spans="1:13" x14ac:dyDescent="0.35">
      <c r="A46" s="9" t="s">
        <v>1533</v>
      </c>
      <c r="B46" s="9" t="s">
        <v>1534</v>
      </c>
      <c r="C46" s="9">
        <v>21.21</v>
      </c>
      <c r="D46" s="9">
        <v>5518202200</v>
      </c>
      <c r="E46" s="9">
        <v>1</v>
      </c>
      <c r="F46" s="9" t="s">
        <v>1535</v>
      </c>
      <c r="G46" s="9" t="s">
        <v>985</v>
      </c>
      <c r="H46" s="9">
        <v>13.14</v>
      </c>
      <c r="I46" s="9">
        <v>65.87</v>
      </c>
      <c r="J46" s="9">
        <v>65537</v>
      </c>
      <c r="K46" s="71">
        <v>0.44237268518518519</v>
      </c>
      <c r="L46" s="9">
        <v>4.1500000000000004</v>
      </c>
      <c r="M46" s="9">
        <v>12.38</v>
      </c>
    </row>
    <row r="47" spans="1:13" x14ac:dyDescent="0.35">
      <c r="A47" s="9" t="s">
        <v>1553</v>
      </c>
      <c r="B47" s="9" t="s">
        <v>1554</v>
      </c>
      <c r="C47" s="9">
        <v>59.5</v>
      </c>
      <c r="D47" s="9">
        <v>28916403000</v>
      </c>
      <c r="E47" s="9">
        <v>1</v>
      </c>
      <c r="F47" s="9" t="s">
        <v>1555</v>
      </c>
      <c r="G47" s="9" t="s">
        <v>985</v>
      </c>
      <c r="H47" s="9">
        <v>52.14</v>
      </c>
      <c r="I47" s="9">
        <v>100</v>
      </c>
      <c r="J47" s="9">
        <v>65537</v>
      </c>
      <c r="K47" s="71">
        <v>0.60579861111111111</v>
      </c>
      <c r="L47" s="9">
        <v>3.43</v>
      </c>
      <c r="M47" s="9">
        <v>0.38</v>
      </c>
    </row>
    <row r="48" spans="1:13" x14ac:dyDescent="0.35">
      <c r="A48" s="9" t="s">
        <v>656</v>
      </c>
      <c r="B48" s="9" t="s">
        <v>657</v>
      </c>
      <c r="C48" s="9">
        <v>76.45</v>
      </c>
      <c r="D48" s="9">
        <v>19681965000</v>
      </c>
      <c r="E48" s="9">
        <v>1</v>
      </c>
      <c r="F48" s="9" t="s">
        <v>1399</v>
      </c>
      <c r="G48" s="9" t="s">
        <v>985</v>
      </c>
      <c r="H48" s="9">
        <v>22.52</v>
      </c>
      <c r="I48" s="9">
        <v>100</v>
      </c>
      <c r="J48" s="9">
        <v>65537</v>
      </c>
      <c r="K48" s="71">
        <v>0.62253472222222228</v>
      </c>
      <c r="L48" s="9">
        <v>3.02</v>
      </c>
      <c r="M48" s="9">
        <v>0.05</v>
      </c>
    </row>
    <row r="49" spans="1:13" x14ac:dyDescent="0.35">
      <c r="A49" s="9" t="s">
        <v>1545</v>
      </c>
      <c r="B49" s="9" t="s">
        <v>1546</v>
      </c>
      <c r="C49" s="9">
        <v>12</v>
      </c>
      <c r="D49" s="9">
        <v>5823588500</v>
      </c>
      <c r="E49" s="9">
        <v>1</v>
      </c>
      <c r="F49" s="9" t="s">
        <v>1547</v>
      </c>
      <c r="G49" s="9" t="s">
        <v>986</v>
      </c>
      <c r="H49" s="9">
        <v>6.4</v>
      </c>
      <c r="I49" s="9">
        <v>61.48</v>
      </c>
      <c r="J49" s="9">
        <v>65537</v>
      </c>
      <c r="K49" s="71">
        <v>0.4019212962962963</v>
      </c>
      <c r="L49" s="9">
        <v>1.81</v>
      </c>
      <c r="M49" s="9">
        <v>38.6</v>
      </c>
    </row>
    <row r="50" spans="1:13" x14ac:dyDescent="0.35">
      <c r="A50" s="9" t="s">
        <v>1548</v>
      </c>
      <c r="B50" s="9" t="s">
        <v>1549</v>
      </c>
      <c r="C50" s="9">
        <v>33.630000000000003</v>
      </c>
      <c r="D50" s="9">
        <v>21047606000</v>
      </c>
      <c r="E50" s="9">
        <v>1</v>
      </c>
      <c r="F50" s="9" t="s">
        <v>1538</v>
      </c>
      <c r="G50" s="9" t="s">
        <v>985</v>
      </c>
      <c r="H50" s="9">
        <v>59.76</v>
      </c>
      <c r="I50" s="9">
        <v>95.1</v>
      </c>
      <c r="J50" s="9">
        <v>65537</v>
      </c>
      <c r="K50" s="71">
        <v>0.43646990740740743</v>
      </c>
      <c r="L50" s="9">
        <v>2.4</v>
      </c>
      <c r="M50" s="9">
        <v>7.29</v>
      </c>
    </row>
    <row r="51" spans="1:13" x14ac:dyDescent="0.35">
      <c r="A51" s="9" t="s">
        <v>1559</v>
      </c>
      <c r="B51" s="9" t="s">
        <v>1560</v>
      </c>
      <c r="C51" s="9">
        <v>32.1</v>
      </c>
      <c r="D51" s="9">
        <v>2433557800</v>
      </c>
      <c r="E51" s="9">
        <v>1</v>
      </c>
      <c r="F51" s="9" t="s">
        <v>1561</v>
      </c>
      <c r="G51" s="9" t="s">
        <v>985</v>
      </c>
      <c r="H51" s="9">
        <v>14.52</v>
      </c>
      <c r="I51" s="9">
        <v>84.16</v>
      </c>
      <c r="J51" s="9">
        <v>65537</v>
      </c>
      <c r="K51" s="71">
        <v>0.41789351851851847</v>
      </c>
      <c r="L51" s="9">
        <v>9.58</v>
      </c>
      <c r="M51" s="9">
        <v>14.1</v>
      </c>
    </row>
    <row r="52" spans="1:13" x14ac:dyDescent="0.35">
      <c r="A52" s="9" t="s">
        <v>1577</v>
      </c>
      <c r="B52" s="9" t="s">
        <v>1578</v>
      </c>
      <c r="C52" s="9">
        <v>28.74</v>
      </c>
      <c r="D52" s="9">
        <v>2393807800</v>
      </c>
      <c r="E52" s="9">
        <v>1</v>
      </c>
      <c r="F52" s="9" t="s">
        <v>1579</v>
      </c>
      <c r="G52" s="9" t="s">
        <v>985</v>
      </c>
      <c r="H52" s="9">
        <v>0</v>
      </c>
      <c r="I52" s="9">
        <v>99.99</v>
      </c>
      <c r="J52" s="9">
        <v>196613</v>
      </c>
      <c r="K52" s="71">
        <v>0.46581018518518519</v>
      </c>
      <c r="L52" s="9">
        <v>31.91</v>
      </c>
      <c r="M52" s="9">
        <v>6.33</v>
      </c>
    </row>
    <row r="53" spans="1:13" x14ac:dyDescent="0.35">
      <c r="A53" s="9" t="s">
        <v>1528</v>
      </c>
      <c r="B53" s="9" t="s">
        <v>1529</v>
      </c>
      <c r="C53" s="9">
        <v>10.66</v>
      </c>
      <c r="D53" s="9">
        <v>17602711000</v>
      </c>
      <c r="E53" s="9">
        <v>1</v>
      </c>
      <c r="F53" s="9" t="s">
        <v>1595</v>
      </c>
      <c r="G53" s="9" t="s">
        <v>985</v>
      </c>
      <c r="H53" s="9">
        <v>70.75</v>
      </c>
      <c r="I53" s="9">
        <v>96.17</v>
      </c>
      <c r="J53" s="9">
        <v>65537</v>
      </c>
      <c r="K53" s="71">
        <v>0.57067129629629632</v>
      </c>
      <c r="L53" s="9">
        <v>2.64</v>
      </c>
      <c r="M53" s="9">
        <v>5.22</v>
      </c>
    </row>
    <row r="54" spans="1:13" x14ac:dyDescent="0.35">
      <c r="A54" s="9" t="s">
        <v>1542</v>
      </c>
      <c r="B54" s="9" t="s">
        <v>1543</v>
      </c>
      <c r="C54" s="9">
        <v>6.74</v>
      </c>
      <c r="D54" s="9">
        <v>7099661200</v>
      </c>
      <c r="E54" s="9">
        <v>1</v>
      </c>
      <c r="F54" s="9" t="s">
        <v>1544</v>
      </c>
      <c r="G54" s="9" t="s">
        <v>985</v>
      </c>
      <c r="H54" s="9">
        <v>47.17</v>
      </c>
      <c r="I54" s="9">
        <v>83.45</v>
      </c>
      <c r="J54" s="9">
        <v>65537</v>
      </c>
      <c r="K54" s="71">
        <v>0.61797453703703698</v>
      </c>
      <c r="L54" s="9">
        <v>4.42</v>
      </c>
      <c r="M54" s="9">
        <v>3.58</v>
      </c>
    </row>
    <row r="55" spans="1:13" x14ac:dyDescent="0.35">
      <c r="A55" s="9" t="s">
        <v>1539</v>
      </c>
      <c r="B55" s="9" t="s">
        <v>1540</v>
      </c>
      <c r="C55" s="9">
        <v>16.5</v>
      </c>
      <c r="D55" s="9">
        <v>39682500000</v>
      </c>
      <c r="E55" s="9">
        <v>1</v>
      </c>
      <c r="F55" s="9" t="s">
        <v>1541</v>
      </c>
      <c r="G55" s="9" t="s">
        <v>985</v>
      </c>
      <c r="H55" s="9">
        <v>62.94</v>
      </c>
      <c r="I55" s="9">
        <v>100</v>
      </c>
      <c r="J55" s="9">
        <v>65537</v>
      </c>
      <c r="K55" s="71">
        <v>0.59289351851851857</v>
      </c>
      <c r="L55" s="9">
        <v>3.6</v>
      </c>
      <c r="M55" s="9">
        <v>2.54</v>
      </c>
    </row>
    <row r="56" spans="1:13" x14ac:dyDescent="0.35">
      <c r="A56" s="9" t="s">
        <v>1507</v>
      </c>
      <c r="B56" s="9" t="s">
        <v>1508</v>
      </c>
      <c r="C56" s="9">
        <v>17.71</v>
      </c>
      <c r="D56" s="9">
        <v>24554746000</v>
      </c>
      <c r="E56" s="9">
        <v>1</v>
      </c>
      <c r="F56" s="9" t="s">
        <v>1509</v>
      </c>
      <c r="G56" s="9" t="s">
        <v>985</v>
      </c>
      <c r="H56" s="9">
        <v>53.1</v>
      </c>
      <c r="I56" s="9">
        <v>95.34</v>
      </c>
      <c r="J56" s="9">
        <v>65537</v>
      </c>
      <c r="K56" s="71">
        <v>0.61986111111111108</v>
      </c>
      <c r="L56" s="9">
        <v>7.73</v>
      </c>
      <c r="M56" s="9">
        <v>0.17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A4A55-2949-4F39-9926-588D53E03986}">
  <dimension ref="A1:M66"/>
  <sheetViews>
    <sheetView workbookViewId="0">
      <selection activeCell="Q11" sqref="Q11"/>
    </sheetView>
  </sheetViews>
  <sheetFormatPr defaultRowHeight="14.15" x14ac:dyDescent="0.35"/>
  <cols>
    <col min="1" max="16384" width="9.140625" style="9"/>
  </cols>
  <sheetData>
    <row r="1" spans="1:13" x14ac:dyDescent="0.35">
      <c r="A1" s="9" t="s">
        <v>292</v>
      </c>
      <c r="B1" s="9" t="s">
        <v>59</v>
      </c>
      <c r="C1" s="9" t="s">
        <v>1019</v>
      </c>
      <c r="D1" s="9" t="s">
        <v>293</v>
      </c>
      <c r="E1" s="9" t="s">
        <v>1355</v>
      </c>
      <c r="F1" s="9" t="s">
        <v>1356</v>
      </c>
      <c r="G1" s="9" t="s">
        <v>982</v>
      </c>
      <c r="H1" s="9" t="s">
        <v>1017</v>
      </c>
      <c r="I1" s="9" t="s">
        <v>1357</v>
      </c>
      <c r="J1" s="9" t="s">
        <v>1022</v>
      </c>
      <c r="K1" s="9" t="s">
        <v>1358</v>
      </c>
      <c r="L1" s="9" t="s">
        <v>1359</v>
      </c>
      <c r="M1" s="9" t="s">
        <v>1477</v>
      </c>
    </row>
    <row r="2" spans="1:13" x14ac:dyDescent="0.35">
      <c r="A2" s="9" t="s">
        <v>689</v>
      </c>
      <c r="B2" s="9" t="s">
        <v>1596</v>
      </c>
      <c r="C2" s="9">
        <v>5.56</v>
      </c>
      <c r="D2" s="9">
        <v>3766418400</v>
      </c>
      <c r="E2" s="9">
        <v>2</v>
      </c>
      <c r="F2" s="9" t="s">
        <v>691</v>
      </c>
      <c r="G2" s="9" t="s">
        <v>987</v>
      </c>
      <c r="H2" s="9">
        <v>19.96</v>
      </c>
      <c r="I2" s="9">
        <v>100</v>
      </c>
      <c r="J2" s="9">
        <v>131074</v>
      </c>
      <c r="K2" s="71">
        <v>0.39583333333333331</v>
      </c>
      <c r="L2" s="9">
        <v>2.69</v>
      </c>
      <c r="M2" s="9">
        <v>87.08</v>
      </c>
    </row>
    <row r="3" spans="1:13" x14ac:dyDescent="0.35">
      <c r="A3" s="9" t="s">
        <v>1462</v>
      </c>
      <c r="B3" s="9" t="s">
        <v>1463</v>
      </c>
      <c r="C3" s="9">
        <v>16.95</v>
      </c>
      <c r="D3" s="9">
        <v>15724042000</v>
      </c>
      <c r="E3" s="9">
        <v>1</v>
      </c>
      <c r="F3" s="9" t="s">
        <v>415</v>
      </c>
      <c r="G3" s="9" t="s">
        <v>985</v>
      </c>
      <c r="H3" s="9">
        <v>76.44</v>
      </c>
      <c r="I3" s="9">
        <v>100</v>
      </c>
      <c r="J3" s="9">
        <v>65537</v>
      </c>
      <c r="K3" s="71">
        <v>0.58233796296296292</v>
      </c>
      <c r="L3" s="9">
        <v>2.4500000000000002</v>
      </c>
      <c r="M3" s="9">
        <v>8.0500000000000007</v>
      </c>
    </row>
    <row r="4" spans="1:13" x14ac:dyDescent="0.35">
      <c r="A4" s="9" t="s">
        <v>621</v>
      </c>
      <c r="B4" s="9" t="s">
        <v>622</v>
      </c>
      <c r="C4" s="9">
        <v>7.94</v>
      </c>
      <c r="D4" s="9">
        <v>4843748700</v>
      </c>
      <c r="E4" s="9">
        <v>7</v>
      </c>
      <c r="F4" s="9" t="s">
        <v>1131</v>
      </c>
      <c r="G4" s="9" t="s">
        <v>985</v>
      </c>
      <c r="H4" s="9">
        <v>35.42</v>
      </c>
      <c r="I4" s="9">
        <v>100</v>
      </c>
      <c r="J4" s="9">
        <v>458759</v>
      </c>
      <c r="K4" s="71">
        <v>0.46287037037037032</v>
      </c>
      <c r="L4" s="9">
        <v>27.82</v>
      </c>
      <c r="M4" s="9">
        <v>1.74</v>
      </c>
    </row>
    <row r="5" spans="1:13" x14ac:dyDescent="0.35">
      <c r="A5" s="9" t="s">
        <v>1010</v>
      </c>
      <c r="B5" s="9" t="s">
        <v>1011</v>
      </c>
      <c r="C5" s="9">
        <v>23.21</v>
      </c>
      <c r="D5" s="9">
        <v>13761300000</v>
      </c>
      <c r="E5" s="9">
        <v>1</v>
      </c>
      <c r="F5" s="9" t="s">
        <v>1478</v>
      </c>
      <c r="G5" s="9" t="s">
        <v>985</v>
      </c>
      <c r="H5" s="9">
        <v>42.83</v>
      </c>
      <c r="I5" s="9">
        <v>100</v>
      </c>
      <c r="J5" s="9">
        <v>65537</v>
      </c>
      <c r="K5" s="71">
        <v>0.625</v>
      </c>
      <c r="L5" s="9">
        <v>27.19</v>
      </c>
      <c r="M5" s="9">
        <v>1.25</v>
      </c>
    </row>
    <row r="6" spans="1:13" x14ac:dyDescent="0.35">
      <c r="A6" s="9" t="s">
        <v>1447</v>
      </c>
      <c r="B6" s="9" t="s">
        <v>1448</v>
      </c>
      <c r="C6" s="9">
        <v>36.72</v>
      </c>
      <c r="D6" s="9">
        <v>14563410000</v>
      </c>
      <c r="E6" s="9">
        <v>1</v>
      </c>
      <c r="F6" s="9" t="s">
        <v>469</v>
      </c>
      <c r="G6" s="9" t="s">
        <v>985</v>
      </c>
      <c r="H6" s="9">
        <v>27.1</v>
      </c>
      <c r="I6" s="9">
        <v>100</v>
      </c>
      <c r="J6" s="9">
        <v>65537</v>
      </c>
      <c r="K6" s="71">
        <v>0.40296296296296297</v>
      </c>
      <c r="L6" s="9">
        <v>4.18</v>
      </c>
      <c r="M6" s="9">
        <v>21.89</v>
      </c>
    </row>
    <row r="7" spans="1:13" x14ac:dyDescent="0.35">
      <c r="A7" s="9" t="s">
        <v>1370</v>
      </c>
      <c r="B7" s="9" t="s">
        <v>1371</v>
      </c>
      <c r="C7" s="9">
        <v>13.6</v>
      </c>
      <c r="D7" s="9">
        <v>6769725600</v>
      </c>
      <c r="E7" s="9">
        <v>1</v>
      </c>
      <c r="F7" s="9" t="s">
        <v>1372</v>
      </c>
      <c r="G7" s="9" t="s">
        <v>985</v>
      </c>
      <c r="H7" s="9">
        <v>1.34</v>
      </c>
      <c r="I7" s="9">
        <v>99.96</v>
      </c>
      <c r="J7" s="9">
        <v>65537</v>
      </c>
      <c r="K7" s="71">
        <v>0.56966435185185182</v>
      </c>
      <c r="L7" s="9">
        <v>14.57</v>
      </c>
      <c r="M7" s="9">
        <v>4.29</v>
      </c>
    </row>
    <row r="8" spans="1:13" x14ac:dyDescent="0.35">
      <c r="A8" s="9" t="s">
        <v>1421</v>
      </c>
      <c r="B8" s="9" t="s">
        <v>1422</v>
      </c>
      <c r="C8" s="9">
        <v>23.57</v>
      </c>
      <c r="D8" s="9">
        <v>29933900000</v>
      </c>
      <c r="E8" s="9">
        <v>1</v>
      </c>
      <c r="F8" s="9" t="s">
        <v>1423</v>
      </c>
      <c r="G8" s="9" t="s">
        <v>985</v>
      </c>
      <c r="H8" s="9">
        <v>46.86</v>
      </c>
      <c r="I8" s="9">
        <v>84.21</v>
      </c>
      <c r="J8" s="9">
        <v>65537</v>
      </c>
      <c r="K8" s="71">
        <v>0.58337962962962964</v>
      </c>
      <c r="L8" s="9">
        <v>6.81</v>
      </c>
      <c r="M8" s="9">
        <v>2.89</v>
      </c>
    </row>
    <row r="9" spans="1:13" x14ac:dyDescent="0.35">
      <c r="A9" s="9" t="s">
        <v>1456</v>
      </c>
      <c r="B9" s="9" t="s">
        <v>1457</v>
      </c>
      <c r="C9" s="9">
        <v>6.53</v>
      </c>
      <c r="D9" s="9">
        <v>6364689700</v>
      </c>
      <c r="E9" s="9">
        <v>1</v>
      </c>
      <c r="F9" s="9" t="s">
        <v>1458</v>
      </c>
      <c r="G9" s="9" t="s">
        <v>985</v>
      </c>
      <c r="H9" s="9">
        <v>76.099999999999994</v>
      </c>
      <c r="I9" s="9">
        <v>100</v>
      </c>
      <c r="J9" s="9">
        <v>65537</v>
      </c>
      <c r="K9" s="71">
        <v>0.44203703703703701</v>
      </c>
      <c r="L9" s="9">
        <v>2.86</v>
      </c>
      <c r="M9" s="9">
        <v>18.59</v>
      </c>
    </row>
    <row r="10" spans="1:13" x14ac:dyDescent="0.35">
      <c r="A10" s="9" t="s">
        <v>1190</v>
      </c>
      <c r="B10" s="9" t="s">
        <v>1191</v>
      </c>
      <c r="C10" s="9">
        <v>10.76</v>
      </c>
      <c r="D10" s="9">
        <v>2494553000</v>
      </c>
      <c r="E10" s="9">
        <v>3</v>
      </c>
      <c r="F10" s="9" t="s">
        <v>1302</v>
      </c>
      <c r="G10" s="9" t="s">
        <v>985</v>
      </c>
      <c r="H10" s="9">
        <v>0.5</v>
      </c>
      <c r="I10" s="9">
        <v>100</v>
      </c>
      <c r="J10" s="9">
        <v>196611</v>
      </c>
      <c r="K10" s="71">
        <v>0.4079976851851852</v>
      </c>
      <c r="L10" s="9">
        <v>9.1300000000000008</v>
      </c>
      <c r="M10" s="9">
        <v>32.94</v>
      </c>
    </row>
    <row r="11" spans="1:13" x14ac:dyDescent="0.35">
      <c r="A11" s="9" t="s">
        <v>1452</v>
      </c>
      <c r="B11" s="9" t="s">
        <v>1453</v>
      </c>
      <c r="C11" s="9">
        <v>57.05</v>
      </c>
      <c r="D11" s="9">
        <v>7433447700</v>
      </c>
      <c r="E11" s="9">
        <v>1</v>
      </c>
      <c r="F11" s="9" t="s">
        <v>1454</v>
      </c>
      <c r="G11" s="9" t="s">
        <v>985</v>
      </c>
      <c r="H11" s="9">
        <v>6.54</v>
      </c>
      <c r="I11" s="9">
        <v>80.849999999999994</v>
      </c>
      <c r="J11" s="9">
        <v>65537</v>
      </c>
      <c r="K11" s="71">
        <v>0.46668981481481481</v>
      </c>
      <c r="L11" s="9">
        <v>3.57</v>
      </c>
      <c r="M11" s="9">
        <v>20.09</v>
      </c>
    </row>
    <row r="12" spans="1:13" x14ac:dyDescent="0.35">
      <c r="A12" s="9" t="s">
        <v>727</v>
      </c>
      <c r="B12" s="9" t="s">
        <v>728</v>
      </c>
      <c r="C12" s="9">
        <v>12.65</v>
      </c>
      <c r="D12" s="9">
        <v>2016521100</v>
      </c>
      <c r="E12" s="9">
        <v>1</v>
      </c>
      <c r="F12" s="9" t="s">
        <v>729</v>
      </c>
      <c r="G12" s="9" t="s">
        <v>985</v>
      </c>
      <c r="H12" s="9">
        <v>2.88</v>
      </c>
      <c r="I12" s="9">
        <v>99.04</v>
      </c>
      <c r="J12" s="9">
        <v>65537</v>
      </c>
      <c r="K12" s="71">
        <v>0.45401620370370371</v>
      </c>
      <c r="L12" s="9">
        <v>7.44</v>
      </c>
      <c r="M12" s="9">
        <v>26.47</v>
      </c>
    </row>
    <row r="13" spans="1:13" x14ac:dyDescent="0.35">
      <c r="A13" s="9" t="s">
        <v>1229</v>
      </c>
      <c r="B13" s="9" t="s">
        <v>1230</v>
      </c>
      <c r="C13" s="9">
        <v>4.55</v>
      </c>
      <c r="D13" s="9">
        <v>11067962200</v>
      </c>
      <c r="E13" s="9">
        <v>2</v>
      </c>
      <c r="F13" s="9" t="s">
        <v>1231</v>
      </c>
      <c r="G13" s="9" t="s">
        <v>985</v>
      </c>
      <c r="H13" s="9">
        <v>68.599999999999994</v>
      </c>
      <c r="I13" s="9">
        <v>100</v>
      </c>
      <c r="J13" s="9">
        <v>131074</v>
      </c>
      <c r="K13" s="71">
        <v>0.42953703703703705</v>
      </c>
      <c r="L13" s="9">
        <v>3.3</v>
      </c>
      <c r="M13" s="9">
        <v>23.5</v>
      </c>
    </row>
    <row r="14" spans="1:13" x14ac:dyDescent="0.35">
      <c r="A14" s="9" t="s">
        <v>1430</v>
      </c>
      <c r="B14" s="9" t="s">
        <v>1431</v>
      </c>
      <c r="C14" s="9">
        <v>4.54</v>
      </c>
      <c r="D14" s="9">
        <v>6694021700</v>
      </c>
      <c r="E14" s="9">
        <v>1</v>
      </c>
      <c r="F14" s="9" t="s">
        <v>1432</v>
      </c>
      <c r="G14" s="9" t="s">
        <v>985</v>
      </c>
      <c r="H14" s="9">
        <v>37.4</v>
      </c>
      <c r="I14" s="9">
        <v>90.69</v>
      </c>
      <c r="J14" s="9">
        <v>65537</v>
      </c>
      <c r="K14" s="71">
        <v>0.58997685185185189</v>
      </c>
      <c r="L14" s="9">
        <v>6.22</v>
      </c>
      <c r="M14" s="9">
        <v>8.83</v>
      </c>
    </row>
    <row r="15" spans="1:13" x14ac:dyDescent="0.35">
      <c r="A15" s="9" t="s">
        <v>1418</v>
      </c>
      <c r="B15" s="9" t="s">
        <v>1419</v>
      </c>
      <c r="C15" s="9">
        <v>4.29</v>
      </c>
      <c r="D15" s="9">
        <v>2285829300</v>
      </c>
      <c r="E15" s="9">
        <v>1</v>
      </c>
      <c r="F15" s="9" t="s">
        <v>1420</v>
      </c>
      <c r="G15" s="9" t="s">
        <v>985</v>
      </c>
      <c r="H15" s="9">
        <v>36.26</v>
      </c>
      <c r="I15" s="9">
        <v>74.25</v>
      </c>
      <c r="J15" s="9">
        <v>65537</v>
      </c>
      <c r="K15" s="71">
        <v>0.47016203703703702</v>
      </c>
      <c r="L15" s="9">
        <v>7.4</v>
      </c>
      <c r="M15" s="9">
        <v>7.22</v>
      </c>
    </row>
    <row r="16" spans="1:13" x14ac:dyDescent="0.35">
      <c r="A16" s="9" t="s">
        <v>347</v>
      </c>
      <c r="B16" s="9" t="s">
        <v>275</v>
      </c>
      <c r="C16" s="9">
        <v>20.46</v>
      </c>
      <c r="D16" s="9">
        <v>4296530900</v>
      </c>
      <c r="E16" s="9">
        <v>1</v>
      </c>
      <c r="F16" s="9" t="s">
        <v>1414</v>
      </c>
      <c r="G16" s="9" t="s">
        <v>985</v>
      </c>
      <c r="H16" s="9">
        <v>68.31</v>
      </c>
      <c r="I16" s="9">
        <v>100</v>
      </c>
      <c r="J16" s="9">
        <v>65537</v>
      </c>
      <c r="K16" s="71">
        <v>0.61799768518518516</v>
      </c>
      <c r="L16" s="9">
        <v>7.96</v>
      </c>
      <c r="M16" s="9">
        <v>1.98</v>
      </c>
    </row>
    <row r="17" spans="1:13" x14ac:dyDescent="0.35">
      <c r="A17" s="9" t="s">
        <v>1236</v>
      </c>
      <c r="B17" s="9" t="s">
        <v>1237</v>
      </c>
      <c r="C17" s="9">
        <v>11.88</v>
      </c>
      <c r="D17" s="9">
        <v>2920695200</v>
      </c>
      <c r="E17" s="9">
        <v>2</v>
      </c>
      <c r="F17" s="9" t="s">
        <v>1238</v>
      </c>
      <c r="G17" s="9" t="s">
        <v>987</v>
      </c>
      <c r="H17" s="9">
        <v>39.049999999999997</v>
      </c>
      <c r="I17" s="9">
        <v>98.86</v>
      </c>
      <c r="J17" s="9">
        <v>131074</v>
      </c>
      <c r="K17" s="71">
        <v>0.39583333333333331</v>
      </c>
      <c r="L17" s="9">
        <v>1.4</v>
      </c>
      <c r="M17" s="9">
        <v>309.11</v>
      </c>
    </row>
    <row r="18" spans="1:13" x14ac:dyDescent="0.35">
      <c r="A18" s="9" t="s">
        <v>1246</v>
      </c>
      <c r="B18" s="9" t="s">
        <v>1247</v>
      </c>
      <c r="C18" s="9">
        <v>4.8499999999999996</v>
      </c>
      <c r="D18" s="9">
        <v>10284381100</v>
      </c>
      <c r="E18" s="9">
        <v>2</v>
      </c>
      <c r="F18" s="9" t="s">
        <v>1248</v>
      </c>
      <c r="G18" s="9" t="s">
        <v>985</v>
      </c>
      <c r="H18" s="9">
        <v>51.74</v>
      </c>
      <c r="I18" s="9">
        <v>100</v>
      </c>
      <c r="J18" s="9">
        <v>131074</v>
      </c>
      <c r="K18" s="71">
        <v>0.54986111111111113</v>
      </c>
      <c r="L18" s="9">
        <v>11.39</v>
      </c>
      <c r="M18" s="9">
        <v>14.04</v>
      </c>
    </row>
    <row r="19" spans="1:13" x14ac:dyDescent="0.35">
      <c r="A19" s="9" t="s">
        <v>1140</v>
      </c>
      <c r="B19" s="9" t="s">
        <v>1141</v>
      </c>
      <c r="C19" s="9">
        <v>5.17</v>
      </c>
      <c r="D19" s="9">
        <v>5513719100</v>
      </c>
      <c r="E19" s="9">
        <v>3</v>
      </c>
      <c r="F19" s="9" t="s">
        <v>1142</v>
      </c>
      <c r="G19" s="9" t="s">
        <v>986</v>
      </c>
      <c r="H19" s="9">
        <v>14</v>
      </c>
      <c r="I19" s="9">
        <v>100</v>
      </c>
      <c r="J19" s="9">
        <v>196611</v>
      </c>
      <c r="K19" s="71">
        <v>0.43231481481481482</v>
      </c>
      <c r="L19" s="9">
        <v>23.7</v>
      </c>
      <c r="M19" s="9">
        <v>4.6100000000000003</v>
      </c>
    </row>
    <row r="20" spans="1:13" x14ac:dyDescent="0.35">
      <c r="A20" s="9" t="s">
        <v>1407</v>
      </c>
      <c r="B20" s="9" t="s">
        <v>1408</v>
      </c>
      <c r="C20" s="9">
        <v>2.92</v>
      </c>
      <c r="D20" s="9">
        <v>2084689900</v>
      </c>
      <c r="E20" s="9">
        <v>1</v>
      </c>
      <c r="F20" s="9" t="s">
        <v>1409</v>
      </c>
      <c r="G20" s="9" t="s">
        <v>986</v>
      </c>
      <c r="H20" s="9">
        <v>0.67</v>
      </c>
      <c r="I20" s="9">
        <v>93.32</v>
      </c>
      <c r="J20" s="9">
        <v>65537</v>
      </c>
      <c r="K20" s="71">
        <v>0.40574074074074074</v>
      </c>
      <c r="L20" s="9">
        <v>8.64</v>
      </c>
      <c r="M20" s="9">
        <v>25.98</v>
      </c>
    </row>
    <row r="21" spans="1:13" x14ac:dyDescent="0.35">
      <c r="A21" s="9" t="s">
        <v>1464</v>
      </c>
      <c r="B21" s="9" t="s">
        <v>1465</v>
      </c>
      <c r="C21" s="9">
        <v>6.82</v>
      </c>
      <c r="D21" s="9">
        <v>3472848500</v>
      </c>
      <c r="E21" s="9">
        <v>1</v>
      </c>
      <c r="F21" s="9" t="s">
        <v>1466</v>
      </c>
      <c r="G21" s="9" t="s">
        <v>985</v>
      </c>
      <c r="H21" s="9">
        <v>26.99</v>
      </c>
      <c r="I21" s="9">
        <v>67.239999999999995</v>
      </c>
      <c r="J21" s="9">
        <v>65537</v>
      </c>
      <c r="K21" s="71">
        <v>0.409212962962963</v>
      </c>
      <c r="L21" s="9">
        <v>2.31</v>
      </c>
      <c r="M21" s="9">
        <v>45.53</v>
      </c>
    </row>
    <row r="22" spans="1:13" x14ac:dyDescent="0.35">
      <c r="A22" s="9" t="s">
        <v>1051</v>
      </c>
      <c r="B22" s="9" t="s">
        <v>1052</v>
      </c>
      <c r="C22" s="9">
        <v>7.5</v>
      </c>
      <c r="D22" s="9">
        <v>1625099800</v>
      </c>
      <c r="E22" s="9">
        <v>4</v>
      </c>
      <c r="F22" s="9" t="s">
        <v>1133</v>
      </c>
      <c r="G22" s="9" t="s">
        <v>985</v>
      </c>
      <c r="H22" s="9">
        <v>0</v>
      </c>
      <c r="I22" s="9">
        <v>100</v>
      </c>
      <c r="J22" s="9">
        <v>262148</v>
      </c>
      <c r="K22" s="71">
        <v>0.40035879629629628</v>
      </c>
      <c r="L22" s="9">
        <v>21</v>
      </c>
      <c r="M22" s="9">
        <v>15.5</v>
      </c>
    </row>
    <row r="23" spans="1:13" x14ac:dyDescent="0.35">
      <c r="A23" s="9" t="s">
        <v>1373</v>
      </c>
      <c r="B23" s="9" t="s">
        <v>1374</v>
      </c>
      <c r="C23" s="9">
        <v>9.5</v>
      </c>
      <c r="D23" s="9">
        <v>2976951800</v>
      </c>
      <c r="E23" s="9">
        <v>1</v>
      </c>
      <c r="F23" s="9" t="s">
        <v>1375</v>
      </c>
      <c r="G23" s="9" t="s">
        <v>985</v>
      </c>
      <c r="H23" s="9">
        <v>7.09</v>
      </c>
      <c r="I23" s="9">
        <v>100</v>
      </c>
      <c r="J23" s="9">
        <v>65537</v>
      </c>
      <c r="K23" s="71">
        <v>0.54656249999999995</v>
      </c>
      <c r="L23" s="9">
        <v>13.32</v>
      </c>
      <c r="M23" s="9">
        <v>13.54</v>
      </c>
    </row>
    <row r="24" spans="1:13" x14ac:dyDescent="0.35">
      <c r="A24" s="9" t="s">
        <v>1433</v>
      </c>
      <c r="B24" s="9" t="s">
        <v>1434</v>
      </c>
      <c r="C24" s="9">
        <v>6.82</v>
      </c>
      <c r="D24" s="9">
        <v>19449812000</v>
      </c>
      <c r="E24" s="9">
        <v>1</v>
      </c>
      <c r="F24" s="9" t="s">
        <v>1435</v>
      </c>
      <c r="G24" s="9" t="s">
        <v>985</v>
      </c>
      <c r="H24" s="9">
        <v>79.489999999999995</v>
      </c>
      <c r="I24" s="9">
        <v>89.03</v>
      </c>
      <c r="J24" s="9">
        <v>65537</v>
      </c>
      <c r="K24" s="71">
        <v>0.57313657407407403</v>
      </c>
      <c r="L24" s="9">
        <v>5.77</v>
      </c>
      <c r="M24" s="9">
        <v>6.61</v>
      </c>
    </row>
    <row r="25" spans="1:13" x14ac:dyDescent="0.35">
      <c r="A25" s="9" t="s">
        <v>798</v>
      </c>
      <c r="B25" s="9" t="s">
        <v>799</v>
      </c>
      <c r="C25" s="9">
        <v>8.11</v>
      </c>
      <c r="D25" s="9">
        <v>4607922300</v>
      </c>
      <c r="E25" s="9">
        <v>1</v>
      </c>
      <c r="F25" s="9" t="s">
        <v>1436</v>
      </c>
      <c r="G25" s="9" t="s">
        <v>985</v>
      </c>
      <c r="H25" s="9">
        <v>29.38</v>
      </c>
      <c r="I25" s="9">
        <v>98.16</v>
      </c>
      <c r="J25" s="9">
        <v>65537</v>
      </c>
      <c r="K25" s="71">
        <v>0.59171296296296294</v>
      </c>
      <c r="L25" s="9">
        <v>5.42</v>
      </c>
      <c r="M25" s="9">
        <v>11.6</v>
      </c>
    </row>
    <row r="26" spans="1:13" x14ac:dyDescent="0.35">
      <c r="A26" s="9" t="s">
        <v>877</v>
      </c>
      <c r="B26" s="9" t="s">
        <v>878</v>
      </c>
      <c r="C26" s="9">
        <v>13.93</v>
      </c>
      <c r="D26" s="9">
        <v>2164942600</v>
      </c>
      <c r="E26" s="9">
        <v>1</v>
      </c>
      <c r="F26" s="9" t="s">
        <v>1455</v>
      </c>
      <c r="G26" s="9" t="s">
        <v>985</v>
      </c>
      <c r="H26" s="9">
        <v>69.150000000000006</v>
      </c>
      <c r="I26" s="9">
        <v>93.77</v>
      </c>
      <c r="J26" s="9">
        <v>65537</v>
      </c>
      <c r="K26" s="71">
        <v>0.57105324074074071</v>
      </c>
      <c r="L26" s="9">
        <v>3.41</v>
      </c>
      <c r="M26" s="9">
        <v>21.63</v>
      </c>
    </row>
    <row r="27" spans="1:13" x14ac:dyDescent="0.35">
      <c r="A27" s="9" t="s">
        <v>1415</v>
      </c>
      <c r="B27" s="9" t="s">
        <v>1416</v>
      </c>
      <c r="C27" s="9">
        <v>8.07</v>
      </c>
      <c r="D27" s="9">
        <v>8593730200</v>
      </c>
      <c r="E27" s="9">
        <v>1</v>
      </c>
      <c r="F27" s="9" t="s">
        <v>1479</v>
      </c>
      <c r="G27" s="9" t="s">
        <v>985</v>
      </c>
      <c r="H27" s="9">
        <v>66.64</v>
      </c>
      <c r="I27" s="9">
        <v>85.63</v>
      </c>
      <c r="J27" s="9">
        <v>65537</v>
      </c>
      <c r="K27" s="71">
        <v>0.61921296296296291</v>
      </c>
      <c r="L27" s="9">
        <v>7.61</v>
      </c>
      <c r="M27" s="9">
        <v>1.9</v>
      </c>
    </row>
    <row r="28" spans="1:13" x14ac:dyDescent="0.35">
      <c r="A28" s="9" t="s">
        <v>1376</v>
      </c>
      <c r="B28" s="9" t="s">
        <v>1377</v>
      </c>
      <c r="C28" s="9">
        <v>18.86</v>
      </c>
      <c r="D28" s="9">
        <v>15732952000</v>
      </c>
      <c r="E28" s="9">
        <v>1</v>
      </c>
      <c r="F28" s="9" t="s">
        <v>1378</v>
      </c>
      <c r="G28" s="9" t="s">
        <v>985</v>
      </c>
      <c r="H28" s="9">
        <v>33.229999999999997</v>
      </c>
      <c r="I28" s="9">
        <v>100</v>
      </c>
      <c r="J28" s="9">
        <v>65537</v>
      </c>
      <c r="K28" s="71">
        <v>0.47085648148148151</v>
      </c>
      <c r="L28" s="9">
        <v>13.2</v>
      </c>
      <c r="M28" s="9">
        <v>6.09</v>
      </c>
    </row>
    <row r="29" spans="1:13" x14ac:dyDescent="0.35">
      <c r="A29" s="9" t="s">
        <v>1394</v>
      </c>
      <c r="B29" s="9" t="s">
        <v>1395</v>
      </c>
      <c r="C29" s="9">
        <v>7.85</v>
      </c>
      <c r="D29" s="9">
        <v>4430301100</v>
      </c>
      <c r="E29" s="9">
        <v>1</v>
      </c>
      <c r="F29" s="9" t="s">
        <v>1396</v>
      </c>
      <c r="G29" s="9" t="s">
        <v>985</v>
      </c>
      <c r="H29" s="9">
        <v>36.82</v>
      </c>
      <c r="I29" s="9">
        <v>62.1</v>
      </c>
      <c r="J29" s="9">
        <v>65537</v>
      </c>
      <c r="K29" s="71">
        <v>0.61550925925925926</v>
      </c>
      <c r="L29" s="9">
        <v>10.69</v>
      </c>
      <c r="M29" s="9">
        <v>2.72</v>
      </c>
    </row>
    <row r="30" spans="1:13" x14ac:dyDescent="0.35">
      <c r="A30" s="9" t="s">
        <v>814</v>
      </c>
      <c r="B30" s="9" t="s">
        <v>815</v>
      </c>
      <c r="C30" s="9">
        <v>10.67</v>
      </c>
      <c r="D30" s="9">
        <v>4403068800</v>
      </c>
      <c r="E30" s="9">
        <v>1</v>
      </c>
      <c r="F30" s="9" t="s">
        <v>816</v>
      </c>
      <c r="G30" s="9" t="s">
        <v>985</v>
      </c>
      <c r="H30" s="9">
        <v>31.25</v>
      </c>
      <c r="I30" s="9">
        <v>97.16</v>
      </c>
      <c r="J30" s="9">
        <v>65537</v>
      </c>
      <c r="K30" s="71">
        <v>0.44672453703703702</v>
      </c>
      <c r="L30" s="9">
        <v>5.86</v>
      </c>
      <c r="M30" s="9">
        <v>32.22</v>
      </c>
    </row>
    <row r="31" spans="1:13" x14ac:dyDescent="0.35">
      <c r="A31" s="9" t="s">
        <v>1437</v>
      </c>
      <c r="B31" s="9" t="s">
        <v>1438</v>
      </c>
      <c r="C31" s="9">
        <v>6.24</v>
      </c>
      <c r="D31" s="9">
        <v>1969306600</v>
      </c>
      <c r="E31" s="9">
        <v>1</v>
      </c>
      <c r="F31" s="9" t="s">
        <v>1439</v>
      </c>
      <c r="G31" s="9" t="s">
        <v>696</v>
      </c>
      <c r="H31" s="9">
        <v>34.549999999999997</v>
      </c>
      <c r="I31" s="9">
        <v>73.06</v>
      </c>
      <c r="J31" s="9" t="s">
        <v>696</v>
      </c>
      <c r="K31" s="71">
        <v>0.41321759259259255</v>
      </c>
      <c r="L31" s="9">
        <v>5.25</v>
      </c>
      <c r="M31" s="9">
        <v>16.3</v>
      </c>
    </row>
    <row r="32" spans="1:13" x14ac:dyDescent="0.35">
      <c r="A32" s="9" t="s">
        <v>1115</v>
      </c>
      <c r="B32" s="9" t="s">
        <v>1116</v>
      </c>
      <c r="C32" s="9">
        <v>10.98</v>
      </c>
      <c r="D32" s="9">
        <v>1756800000</v>
      </c>
      <c r="E32" s="9">
        <v>1</v>
      </c>
      <c r="F32" s="9" t="s">
        <v>1400</v>
      </c>
      <c r="G32" s="9" t="s">
        <v>696</v>
      </c>
      <c r="H32" s="9">
        <v>44.94</v>
      </c>
      <c r="I32" s="9">
        <v>97.26</v>
      </c>
      <c r="J32" s="9" t="s">
        <v>696</v>
      </c>
      <c r="K32" s="71">
        <v>0.40209490740740739</v>
      </c>
      <c r="L32" s="9">
        <v>10.26</v>
      </c>
      <c r="M32" s="9">
        <v>23.6</v>
      </c>
    </row>
    <row r="33" spans="1:13" x14ac:dyDescent="0.35">
      <c r="A33" s="9" t="s">
        <v>562</v>
      </c>
      <c r="B33" s="9" t="s">
        <v>563</v>
      </c>
      <c r="C33" s="9">
        <v>6.84</v>
      </c>
      <c r="D33" s="9">
        <v>2906053300</v>
      </c>
      <c r="E33" s="9">
        <v>1</v>
      </c>
      <c r="F33" s="9" t="s">
        <v>1393</v>
      </c>
      <c r="G33" s="9" t="s">
        <v>696</v>
      </c>
      <c r="H33" s="9">
        <v>30.59</v>
      </c>
      <c r="I33" s="9">
        <v>83.64</v>
      </c>
      <c r="J33" s="9" t="s">
        <v>696</v>
      </c>
      <c r="K33" s="71">
        <v>0.41391203703703705</v>
      </c>
      <c r="L33" s="9">
        <v>10.75</v>
      </c>
      <c r="M33" s="9">
        <v>18.57</v>
      </c>
    </row>
    <row r="34" spans="1:13" x14ac:dyDescent="0.35">
      <c r="A34" s="9" t="s">
        <v>1443</v>
      </c>
      <c r="B34" s="9" t="s">
        <v>1444</v>
      </c>
      <c r="C34" s="9">
        <v>20.440000000000001</v>
      </c>
      <c r="D34" s="9">
        <v>2844094200</v>
      </c>
      <c r="E34" s="9">
        <v>1</v>
      </c>
      <c r="F34" s="9" t="s">
        <v>1445</v>
      </c>
      <c r="G34" s="9" t="s">
        <v>696</v>
      </c>
      <c r="H34" s="9">
        <v>46.29</v>
      </c>
      <c r="I34" s="9">
        <v>98.54</v>
      </c>
      <c r="J34" s="9" t="s">
        <v>696</v>
      </c>
      <c r="K34" s="71">
        <v>0.5861574074074074</v>
      </c>
      <c r="L34" s="9">
        <v>4.47</v>
      </c>
      <c r="M34" s="9">
        <v>9.5399999999999991</v>
      </c>
    </row>
    <row r="35" spans="1:13" x14ac:dyDescent="0.35">
      <c r="A35" s="9" t="s">
        <v>419</v>
      </c>
      <c r="B35" s="9" t="s">
        <v>420</v>
      </c>
      <c r="C35" s="9">
        <v>20.48</v>
      </c>
      <c r="D35" s="9">
        <v>4873378000</v>
      </c>
      <c r="E35" s="9">
        <v>1</v>
      </c>
      <c r="F35" s="9" t="s">
        <v>1467</v>
      </c>
      <c r="G35" s="9" t="s">
        <v>696</v>
      </c>
      <c r="H35" s="9">
        <v>41.22</v>
      </c>
      <c r="I35" s="9">
        <v>80.680000000000007</v>
      </c>
      <c r="J35" s="9" t="s">
        <v>696</v>
      </c>
      <c r="K35" s="71">
        <v>0.4168634259259259</v>
      </c>
      <c r="L35" s="9">
        <v>2.08</v>
      </c>
      <c r="M35" s="9">
        <v>55.6</v>
      </c>
    </row>
    <row r="36" spans="1:13" x14ac:dyDescent="0.35">
      <c r="A36" s="9" t="s">
        <v>547</v>
      </c>
      <c r="B36" s="9" t="s">
        <v>548</v>
      </c>
      <c r="C36" s="9">
        <v>15.27</v>
      </c>
      <c r="D36" s="9">
        <v>3742524300</v>
      </c>
      <c r="E36" s="9">
        <v>2</v>
      </c>
      <c r="F36" s="9" t="s">
        <v>1369</v>
      </c>
      <c r="G36" s="9" t="s">
        <v>696</v>
      </c>
      <c r="H36" s="9">
        <v>24.07</v>
      </c>
      <c r="I36" s="9">
        <v>100</v>
      </c>
      <c r="J36" s="9" t="s">
        <v>696</v>
      </c>
      <c r="K36" s="71">
        <v>0.58598379629629627</v>
      </c>
      <c r="L36" s="9">
        <v>19.14</v>
      </c>
      <c r="M36" s="9">
        <v>1.55</v>
      </c>
    </row>
    <row r="37" spans="1:13" x14ac:dyDescent="0.35">
      <c r="A37" s="9" t="s">
        <v>1385</v>
      </c>
      <c r="B37" s="9" t="s">
        <v>1386</v>
      </c>
      <c r="C37" s="9">
        <v>18.41</v>
      </c>
      <c r="D37" s="9">
        <v>14970497000</v>
      </c>
      <c r="E37" s="9">
        <v>1</v>
      </c>
      <c r="F37" s="9" t="s">
        <v>1387</v>
      </c>
      <c r="G37" s="9" t="s">
        <v>696</v>
      </c>
      <c r="H37" s="9">
        <v>58.87</v>
      </c>
      <c r="I37" s="9">
        <v>100</v>
      </c>
      <c r="J37" s="9" t="s">
        <v>696</v>
      </c>
      <c r="K37" s="71">
        <v>0.61358796296296292</v>
      </c>
      <c r="L37" s="9">
        <v>11.42</v>
      </c>
      <c r="M37" s="9">
        <v>1.2</v>
      </c>
    </row>
    <row r="38" spans="1:13" x14ac:dyDescent="0.35">
      <c r="A38" s="9" t="s">
        <v>1405</v>
      </c>
      <c r="B38" s="9" t="s">
        <v>1406</v>
      </c>
      <c r="C38" s="9">
        <v>9.81</v>
      </c>
      <c r="D38" s="9">
        <v>20210259000</v>
      </c>
      <c r="E38" s="9">
        <v>1</v>
      </c>
      <c r="F38" s="9" t="s">
        <v>469</v>
      </c>
      <c r="G38" s="9" t="s">
        <v>985</v>
      </c>
      <c r="H38" s="9">
        <v>42.15</v>
      </c>
      <c r="I38" s="9">
        <v>96.1</v>
      </c>
      <c r="J38" s="9">
        <v>65537</v>
      </c>
      <c r="K38" s="71">
        <v>0.6071643518518518</v>
      </c>
      <c r="L38" s="9">
        <v>8.76</v>
      </c>
      <c r="M38" s="9">
        <v>4.6399999999999997</v>
      </c>
    </row>
    <row r="39" spans="1:13" x14ac:dyDescent="0.35">
      <c r="A39" s="9" t="s">
        <v>1470</v>
      </c>
      <c r="B39" s="9" t="s">
        <v>1471</v>
      </c>
      <c r="C39" s="9">
        <v>37.83</v>
      </c>
      <c r="D39" s="9">
        <v>81333499000</v>
      </c>
      <c r="E39" s="9">
        <v>1</v>
      </c>
      <c r="F39" s="9" t="s">
        <v>1220</v>
      </c>
      <c r="G39" s="9" t="s">
        <v>985</v>
      </c>
      <c r="H39" s="9">
        <v>67.44</v>
      </c>
      <c r="I39" s="9">
        <v>70.86</v>
      </c>
      <c r="J39" s="9">
        <v>65537</v>
      </c>
      <c r="K39" s="71">
        <v>0.42224537037037035</v>
      </c>
      <c r="L39" s="9">
        <v>1.69</v>
      </c>
      <c r="M39" s="9">
        <v>8.0500000000000007</v>
      </c>
    </row>
    <row r="40" spans="1:13" x14ac:dyDescent="0.35">
      <c r="A40" s="9" t="s">
        <v>541</v>
      </c>
      <c r="B40" s="9" t="s">
        <v>542</v>
      </c>
      <c r="C40" s="9">
        <v>15.04</v>
      </c>
      <c r="D40" s="9">
        <v>7560851100</v>
      </c>
      <c r="E40" s="9">
        <v>1</v>
      </c>
      <c r="F40" s="9" t="s">
        <v>1413</v>
      </c>
      <c r="G40" s="9" t="s">
        <v>985</v>
      </c>
      <c r="H40" s="9">
        <v>16.72</v>
      </c>
      <c r="I40" s="9">
        <v>96.62</v>
      </c>
      <c r="J40" s="9">
        <v>65537</v>
      </c>
      <c r="K40" s="71">
        <v>0.6095949074074074</v>
      </c>
      <c r="L40" s="9">
        <v>8.1199999999999992</v>
      </c>
      <c r="M40" s="9">
        <v>2.12</v>
      </c>
    </row>
    <row r="41" spans="1:13" x14ac:dyDescent="0.35">
      <c r="A41" s="9" t="s">
        <v>1427</v>
      </c>
      <c r="B41" s="9" t="s">
        <v>1428</v>
      </c>
      <c r="C41" s="9">
        <v>12.09</v>
      </c>
      <c r="D41" s="9">
        <v>3727609600</v>
      </c>
      <c r="E41" s="9">
        <v>1</v>
      </c>
      <c r="F41" s="9" t="s">
        <v>1429</v>
      </c>
      <c r="G41" s="9" t="s">
        <v>985</v>
      </c>
      <c r="H41" s="9">
        <v>3.08</v>
      </c>
      <c r="I41" s="9">
        <v>99.54</v>
      </c>
      <c r="J41" s="9">
        <v>65537</v>
      </c>
      <c r="K41" s="71">
        <v>0.60525462962962961</v>
      </c>
      <c r="L41" s="9">
        <v>6.55</v>
      </c>
      <c r="M41" s="9">
        <v>9.83</v>
      </c>
    </row>
    <row r="42" spans="1:13" x14ac:dyDescent="0.35">
      <c r="A42" s="9" t="s">
        <v>1475</v>
      </c>
      <c r="B42" s="9" t="s">
        <v>1476</v>
      </c>
      <c r="C42" s="9">
        <v>13.82</v>
      </c>
      <c r="D42" s="9">
        <v>2709449400</v>
      </c>
      <c r="E42" s="9">
        <v>1</v>
      </c>
      <c r="F42" s="9" t="s">
        <v>1399</v>
      </c>
      <c r="G42" s="9" t="s">
        <v>987</v>
      </c>
      <c r="H42" s="9">
        <v>55.8</v>
      </c>
      <c r="I42" s="9">
        <v>98.08</v>
      </c>
      <c r="J42" s="9">
        <v>65537</v>
      </c>
      <c r="K42" s="71">
        <v>0.39583333333333331</v>
      </c>
      <c r="L42" s="9">
        <v>0.54</v>
      </c>
      <c r="M42" s="9">
        <v>290.94</v>
      </c>
    </row>
    <row r="43" spans="1:13" x14ac:dyDescent="0.35">
      <c r="A43" s="9" t="s">
        <v>1459</v>
      </c>
      <c r="B43" s="9" t="s">
        <v>1460</v>
      </c>
      <c r="C43" s="9">
        <v>12.27</v>
      </c>
      <c r="D43" s="9">
        <v>7901880000</v>
      </c>
      <c r="E43" s="9">
        <v>1</v>
      </c>
      <c r="F43" s="9" t="s">
        <v>1461</v>
      </c>
      <c r="G43" s="9" t="s">
        <v>985</v>
      </c>
      <c r="H43" s="9">
        <v>35.17</v>
      </c>
      <c r="I43" s="9">
        <v>44.96</v>
      </c>
      <c r="J43" s="9">
        <v>65537</v>
      </c>
      <c r="K43" s="71">
        <v>0.60299768518518515</v>
      </c>
      <c r="L43" s="9">
        <v>2.4500000000000002</v>
      </c>
      <c r="M43" s="9">
        <v>10.83</v>
      </c>
    </row>
    <row r="44" spans="1:13" x14ac:dyDescent="0.35">
      <c r="A44" s="9" t="s">
        <v>1468</v>
      </c>
      <c r="B44" s="9" t="s">
        <v>1469</v>
      </c>
      <c r="C44" s="9">
        <v>16.059999999999999</v>
      </c>
      <c r="D44" s="9">
        <v>3276240000</v>
      </c>
      <c r="E44" s="9">
        <v>1</v>
      </c>
      <c r="F44" s="9" t="s">
        <v>1467</v>
      </c>
      <c r="G44" s="9" t="s">
        <v>985</v>
      </c>
      <c r="H44" s="9">
        <v>9.26</v>
      </c>
      <c r="I44" s="9">
        <v>95.59</v>
      </c>
      <c r="J44" s="9">
        <v>65537</v>
      </c>
      <c r="K44" s="71">
        <v>0.41512731481481485</v>
      </c>
      <c r="L44" s="9">
        <v>1.78</v>
      </c>
      <c r="M44" s="9">
        <v>69.5</v>
      </c>
    </row>
    <row r="45" spans="1:13" x14ac:dyDescent="0.35">
      <c r="A45" s="9" t="s">
        <v>1278</v>
      </c>
      <c r="B45" s="9" t="s">
        <v>1279</v>
      </c>
      <c r="C45" s="9">
        <v>11.57</v>
      </c>
      <c r="D45" s="9">
        <v>4988260900</v>
      </c>
      <c r="E45" s="9">
        <v>2</v>
      </c>
      <c r="F45" s="9" t="s">
        <v>1280</v>
      </c>
      <c r="G45" s="9" t="s">
        <v>985</v>
      </c>
      <c r="H45" s="9">
        <v>0.3</v>
      </c>
      <c r="I45" s="9">
        <v>98.72</v>
      </c>
      <c r="J45" s="9">
        <v>131074</v>
      </c>
      <c r="K45" s="71">
        <v>0.42103009259259255</v>
      </c>
      <c r="L45" s="9">
        <v>6.08</v>
      </c>
      <c r="M45" s="9">
        <v>14.01</v>
      </c>
    </row>
    <row r="46" spans="1:13" x14ac:dyDescent="0.35">
      <c r="A46" s="9" t="s">
        <v>1424</v>
      </c>
      <c r="B46" s="9" t="s">
        <v>1425</v>
      </c>
      <c r="C46" s="9">
        <v>6.64</v>
      </c>
      <c r="D46" s="9">
        <v>1676758200</v>
      </c>
      <c r="E46" s="9">
        <v>1</v>
      </c>
      <c r="F46" s="9" t="s">
        <v>1426</v>
      </c>
      <c r="G46" s="9" t="s">
        <v>985</v>
      </c>
      <c r="H46" s="9">
        <v>29.01</v>
      </c>
      <c r="I46" s="9">
        <v>48.66</v>
      </c>
      <c r="J46" s="9">
        <v>65537</v>
      </c>
      <c r="K46" s="71">
        <v>0.59362268518518524</v>
      </c>
      <c r="L46" s="9">
        <v>6.63</v>
      </c>
      <c r="M46" s="9">
        <v>15.26</v>
      </c>
    </row>
    <row r="47" spans="1:13" x14ac:dyDescent="0.35">
      <c r="A47" s="9" t="s">
        <v>826</v>
      </c>
      <c r="B47" s="9" t="s">
        <v>827</v>
      </c>
      <c r="C47" s="9">
        <v>44.83</v>
      </c>
      <c r="D47" s="9">
        <v>19491591000</v>
      </c>
      <c r="E47" s="9">
        <v>1</v>
      </c>
      <c r="F47" s="9" t="s">
        <v>1446</v>
      </c>
      <c r="G47" s="9" t="s">
        <v>985</v>
      </c>
      <c r="H47" s="9">
        <v>10.56</v>
      </c>
      <c r="I47" s="9">
        <v>98.15</v>
      </c>
      <c r="J47" s="9">
        <v>196614</v>
      </c>
      <c r="K47" s="71">
        <v>0.42276620370370371</v>
      </c>
      <c r="L47" s="9">
        <v>4.32</v>
      </c>
      <c r="M47" s="9">
        <v>3.41</v>
      </c>
    </row>
    <row r="48" spans="1:13" x14ac:dyDescent="0.35">
      <c r="A48" s="9" t="s">
        <v>1281</v>
      </c>
      <c r="B48" s="9" t="s">
        <v>1282</v>
      </c>
      <c r="C48" s="9">
        <v>11.65</v>
      </c>
      <c r="D48" s="9">
        <v>4991465800</v>
      </c>
      <c r="E48" s="9">
        <v>2</v>
      </c>
      <c r="F48" s="9" t="s">
        <v>1283</v>
      </c>
      <c r="G48" s="9" t="s">
        <v>985</v>
      </c>
      <c r="H48" s="9">
        <v>57.58</v>
      </c>
      <c r="I48" s="9">
        <v>98.87</v>
      </c>
      <c r="J48" s="9">
        <v>131074</v>
      </c>
      <c r="K48" s="71">
        <v>0.4253703703703704</v>
      </c>
      <c r="L48" s="9">
        <v>3.22</v>
      </c>
      <c r="M48" s="9">
        <v>1.98</v>
      </c>
    </row>
    <row r="49" spans="1:13" x14ac:dyDescent="0.35">
      <c r="A49" s="9" t="s">
        <v>1363</v>
      </c>
      <c r="B49" s="9" t="s">
        <v>1364</v>
      </c>
      <c r="C49" s="9">
        <v>36.56</v>
      </c>
      <c r="D49" s="9">
        <v>5801230200</v>
      </c>
      <c r="E49" s="9">
        <v>1</v>
      </c>
      <c r="F49" s="9" t="s">
        <v>1365</v>
      </c>
      <c r="G49" s="9" t="s">
        <v>985</v>
      </c>
      <c r="H49" s="9">
        <v>5.96</v>
      </c>
      <c r="I49" s="9">
        <v>100</v>
      </c>
      <c r="J49" s="9">
        <v>65537</v>
      </c>
      <c r="K49" s="71">
        <v>0.541875</v>
      </c>
      <c r="L49" s="9">
        <v>23.37</v>
      </c>
      <c r="M49" s="9">
        <v>6.35</v>
      </c>
    </row>
    <row r="50" spans="1:13" x14ac:dyDescent="0.35">
      <c r="A50" s="9" t="s">
        <v>1403</v>
      </c>
      <c r="B50" s="9" t="s">
        <v>1404</v>
      </c>
      <c r="C50" s="9">
        <v>93.06</v>
      </c>
      <c r="D50" s="9">
        <v>10794949000</v>
      </c>
      <c r="E50" s="9">
        <v>1</v>
      </c>
      <c r="F50" s="9" t="s">
        <v>1480</v>
      </c>
      <c r="G50" s="9" t="s">
        <v>985</v>
      </c>
      <c r="H50" s="9">
        <v>7.66</v>
      </c>
      <c r="I50" s="9">
        <v>74.7</v>
      </c>
      <c r="J50" s="9">
        <v>65537</v>
      </c>
      <c r="K50" s="71">
        <v>0.61956018518518519</v>
      </c>
      <c r="L50" s="9">
        <v>9.4499999999999993</v>
      </c>
      <c r="M50" s="9">
        <v>1.38</v>
      </c>
    </row>
    <row r="51" spans="1:13" x14ac:dyDescent="0.35">
      <c r="A51" s="9" t="s">
        <v>1472</v>
      </c>
      <c r="B51" s="9" t="s">
        <v>1473</v>
      </c>
      <c r="C51" s="9">
        <v>31.19</v>
      </c>
      <c r="D51" s="9">
        <v>3119000000</v>
      </c>
      <c r="E51" s="9">
        <v>1</v>
      </c>
      <c r="F51" s="9" t="s">
        <v>1474</v>
      </c>
      <c r="G51" s="9" t="s">
        <v>985</v>
      </c>
      <c r="H51" s="9">
        <v>13.58</v>
      </c>
      <c r="I51" s="9">
        <v>100</v>
      </c>
      <c r="J51" s="9">
        <v>65537</v>
      </c>
      <c r="K51" s="71">
        <v>0.41582175925925924</v>
      </c>
      <c r="L51" s="9">
        <v>1.28</v>
      </c>
      <c r="M51" s="9">
        <v>71.260000000000005</v>
      </c>
    </row>
    <row r="52" spans="1:13" x14ac:dyDescent="0.35">
      <c r="A52" s="9" t="s">
        <v>837</v>
      </c>
      <c r="B52" s="9" t="s">
        <v>838</v>
      </c>
      <c r="C52" s="9">
        <v>35.29</v>
      </c>
      <c r="D52" s="9">
        <v>5533472000</v>
      </c>
      <c r="E52" s="9">
        <v>3</v>
      </c>
      <c r="F52" s="9" t="s">
        <v>640</v>
      </c>
      <c r="G52" s="9" t="s">
        <v>985</v>
      </c>
      <c r="H52" s="9">
        <v>11</v>
      </c>
      <c r="I52" s="9">
        <v>100</v>
      </c>
      <c r="J52" s="9">
        <v>327686</v>
      </c>
      <c r="K52" s="71">
        <v>0.6017824074074074</v>
      </c>
      <c r="L52" s="9">
        <v>6.86</v>
      </c>
      <c r="M52" s="9">
        <v>4.95</v>
      </c>
    </row>
    <row r="53" spans="1:13" x14ac:dyDescent="0.35">
      <c r="A53" s="9" t="s">
        <v>1287</v>
      </c>
      <c r="B53" s="9" t="s">
        <v>1288</v>
      </c>
      <c r="C53" s="9">
        <v>15.62</v>
      </c>
      <c r="D53" s="9">
        <v>2032937300</v>
      </c>
      <c r="E53" s="9">
        <v>2</v>
      </c>
      <c r="F53" s="9" t="s">
        <v>1289</v>
      </c>
      <c r="G53" s="9" t="s">
        <v>985</v>
      </c>
      <c r="H53" s="9">
        <v>48.26</v>
      </c>
      <c r="I53" s="9">
        <v>100</v>
      </c>
      <c r="J53" s="9">
        <v>131074</v>
      </c>
      <c r="K53" s="71">
        <v>0.39740740740740743</v>
      </c>
      <c r="L53" s="9">
        <v>8.93</v>
      </c>
      <c r="M53" s="9">
        <v>64.3</v>
      </c>
    </row>
    <row r="54" spans="1:13" x14ac:dyDescent="0.35">
      <c r="A54" s="9" t="s">
        <v>1440</v>
      </c>
      <c r="B54" s="9" t="s">
        <v>1441</v>
      </c>
      <c r="C54" s="9">
        <v>29.87</v>
      </c>
      <c r="D54" s="9">
        <v>7686590600</v>
      </c>
      <c r="E54" s="9">
        <v>1</v>
      </c>
      <c r="F54" s="9" t="s">
        <v>1442</v>
      </c>
      <c r="G54" s="9" t="s">
        <v>985</v>
      </c>
      <c r="H54" s="9">
        <v>28.84</v>
      </c>
      <c r="I54" s="9">
        <v>81.77</v>
      </c>
      <c r="J54" s="9">
        <v>65537</v>
      </c>
      <c r="K54" s="71">
        <v>0.47016203703703702</v>
      </c>
      <c r="L54" s="9">
        <v>4.8600000000000003</v>
      </c>
      <c r="M54" s="9">
        <v>6.32</v>
      </c>
    </row>
    <row r="55" spans="1:13" x14ac:dyDescent="0.35">
      <c r="A55" s="9" t="s">
        <v>458</v>
      </c>
      <c r="B55" s="9" t="s">
        <v>459</v>
      </c>
      <c r="C55" s="9">
        <v>48.35</v>
      </c>
      <c r="D55" s="9">
        <v>3691014700</v>
      </c>
      <c r="E55" s="9">
        <v>1</v>
      </c>
      <c r="F55" s="9" t="s">
        <v>841</v>
      </c>
      <c r="G55" s="9" t="s">
        <v>985</v>
      </c>
      <c r="H55" s="9">
        <v>25.21</v>
      </c>
      <c r="I55" s="9">
        <v>100</v>
      </c>
      <c r="J55" s="9">
        <v>65537</v>
      </c>
      <c r="K55" s="71">
        <v>0.41408564814814813</v>
      </c>
      <c r="L55" s="9">
        <v>12.12</v>
      </c>
      <c r="M55" s="9">
        <v>10.34</v>
      </c>
    </row>
    <row r="56" spans="1:13" x14ac:dyDescent="0.35">
      <c r="A56" s="9" t="s">
        <v>1401</v>
      </c>
      <c r="B56" s="9" t="s">
        <v>1402</v>
      </c>
      <c r="C56" s="9">
        <v>17.71</v>
      </c>
      <c r="D56" s="9">
        <v>1157135980</v>
      </c>
      <c r="E56" s="9">
        <v>1</v>
      </c>
      <c r="F56" s="9" t="s">
        <v>84</v>
      </c>
      <c r="G56" s="9" t="s">
        <v>985</v>
      </c>
      <c r="H56" s="9">
        <v>45.81</v>
      </c>
      <c r="I56" s="9">
        <v>85.67</v>
      </c>
      <c r="J56" s="9">
        <v>65537</v>
      </c>
      <c r="K56" s="71">
        <v>0.44793981481481482</v>
      </c>
      <c r="L56" s="9">
        <v>9.94</v>
      </c>
      <c r="M56" s="9">
        <v>29.68</v>
      </c>
    </row>
    <row r="57" spans="1:13" x14ac:dyDescent="0.35">
      <c r="A57" s="9" t="s">
        <v>1397</v>
      </c>
      <c r="B57" s="9" t="s">
        <v>1398</v>
      </c>
      <c r="C57" s="9">
        <v>22.86</v>
      </c>
      <c r="D57" s="9">
        <v>806157900</v>
      </c>
      <c r="E57" s="9">
        <v>1</v>
      </c>
      <c r="F57" s="9" t="s">
        <v>1399</v>
      </c>
      <c r="G57" s="9" t="s">
        <v>985</v>
      </c>
      <c r="H57" s="9">
        <v>1.1499999999999999</v>
      </c>
      <c r="I57" s="9">
        <v>90.62</v>
      </c>
      <c r="J57" s="9">
        <v>65537</v>
      </c>
      <c r="K57" s="71">
        <v>0.40504629629629635</v>
      </c>
      <c r="L57" s="9">
        <v>10.45</v>
      </c>
      <c r="M57" s="9">
        <v>70.010000000000005</v>
      </c>
    </row>
    <row r="58" spans="1:13" x14ac:dyDescent="0.35">
      <c r="A58" s="9" t="s">
        <v>1388</v>
      </c>
      <c r="B58" s="9" t="s">
        <v>1389</v>
      </c>
      <c r="C58" s="9">
        <v>50.74</v>
      </c>
      <c r="D58" s="9">
        <v>903806250</v>
      </c>
      <c r="E58" s="9">
        <v>1</v>
      </c>
      <c r="F58" s="9" t="s">
        <v>1481</v>
      </c>
      <c r="G58" s="9" t="s">
        <v>985</v>
      </c>
      <c r="H58" s="9">
        <v>3.55</v>
      </c>
      <c r="I58" s="9">
        <v>80.069999999999993</v>
      </c>
      <c r="J58" s="9">
        <v>65537</v>
      </c>
      <c r="K58" s="71">
        <v>0.61973379629629632</v>
      </c>
      <c r="L58" s="9">
        <v>10.9</v>
      </c>
      <c r="M58" s="9">
        <v>3.74</v>
      </c>
    </row>
    <row r="59" spans="1:13" x14ac:dyDescent="0.35">
      <c r="A59" s="9" t="s">
        <v>1366</v>
      </c>
      <c r="B59" s="9" t="s">
        <v>1367</v>
      </c>
      <c r="C59" s="9">
        <v>47.81</v>
      </c>
      <c r="D59" s="9">
        <v>2857125600</v>
      </c>
      <c r="E59" s="9">
        <v>1</v>
      </c>
      <c r="F59" s="9" t="s">
        <v>1368</v>
      </c>
      <c r="G59" s="9" t="s">
        <v>985</v>
      </c>
      <c r="H59" s="9">
        <v>6.96</v>
      </c>
      <c r="I59" s="9">
        <v>100</v>
      </c>
      <c r="J59" s="9">
        <v>65537</v>
      </c>
      <c r="K59" s="71">
        <v>0.46703703703703708</v>
      </c>
      <c r="L59" s="9">
        <v>20.14</v>
      </c>
      <c r="M59" s="9">
        <v>4.53</v>
      </c>
    </row>
    <row r="60" spans="1:13" x14ac:dyDescent="0.35">
      <c r="A60" s="9" t="s">
        <v>464</v>
      </c>
      <c r="B60" s="9" t="s">
        <v>465</v>
      </c>
      <c r="C60" s="9">
        <v>37.54</v>
      </c>
      <c r="D60" s="9">
        <v>11513367800</v>
      </c>
      <c r="E60" s="9">
        <v>1</v>
      </c>
      <c r="F60" s="9" t="s">
        <v>1417</v>
      </c>
      <c r="G60" s="9" t="s">
        <v>985</v>
      </c>
      <c r="H60" s="9">
        <v>34.479999999999997</v>
      </c>
      <c r="I60" s="9">
        <v>97.21</v>
      </c>
      <c r="J60" s="9">
        <v>65537</v>
      </c>
      <c r="K60" s="71">
        <v>0.45175925925925925</v>
      </c>
      <c r="L60" s="9">
        <v>7.51</v>
      </c>
      <c r="M60" s="9">
        <v>7.44</v>
      </c>
    </row>
    <row r="61" spans="1:13" x14ac:dyDescent="0.35">
      <c r="A61" s="9" t="s">
        <v>1410</v>
      </c>
      <c r="B61" s="9" t="s">
        <v>1411</v>
      </c>
      <c r="C61" s="9">
        <v>44.06</v>
      </c>
      <c r="D61" s="9">
        <v>2114880000</v>
      </c>
      <c r="E61" s="9">
        <v>1</v>
      </c>
      <c r="F61" s="9" t="s">
        <v>1412</v>
      </c>
      <c r="G61" s="9" t="s">
        <v>985</v>
      </c>
      <c r="H61" s="9">
        <v>16.78</v>
      </c>
      <c r="I61" s="9">
        <v>100</v>
      </c>
      <c r="J61" s="9">
        <v>65537</v>
      </c>
      <c r="K61" s="71">
        <v>0.41512731481481485</v>
      </c>
      <c r="L61" s="9">
        <v>8.3000000000000007</v>
      </c>
      <c r="M61" s="9">
        <v>14.57</v>
      </c>
    </row>
    <row r="62" spans="1:13" x14ac:dyDescent="0.35">
      <c r="A62" s="9" t="s">
        <v>1390</v>
      </c>
      <c r="B62" s="9" t="s">
        <v>1391</v>
      </c>
      <c r="C62" s="9">
        <v>23.49</v>
      </c>
      <c r="D62" s="9">
        <v>783156600</v>
      </c>
      <c r="E62" s="9">
        <v>1</v>
      </c>
      <c r="F62" s="9" t="s">
        <v>1392</v>
      </c>
      <c r="G62" s="9" t="s">
        <v>985</v>
      </c>
      <c r="H62" s="9">
        <v>3.84</v>
      </c>
      <c r="I62" s="9">
        <v>95.09</v>
      </c>
      <c r="J62" s="9">
        <v>65537</v>
      </c>
      <c r="K62" s="71">
        <v>0.42918981481481483</v>
      </c>
      <c r="L62" s="9">
        <v>10.81</v>
      </c>
      <c r="M62" s="9">
        <v>54.43</v>
      </c>
    </row>
    <row r="63" spans="1:13" x14ac:dyDescent="0.35">
      <c r="A63" s="9" t="s">
        <v>1360</v>
      </c>
      <c r="B63" s="9" t="s">
        <v>1361</v>
      </c>
      <c r="C63" s="9">
        <v>30.23</v>
      </c>
      <c r="D63" s="9">
        <v>1492097200</v>
      </c>
      <c r="E63" s="9">
        <v>1</v>
      </c>
      <c r="F63" s="9" t="s">
        <v>1362</v>
      </c>
      <c r="G63" s="9" t="s">
        <v>985</v>
      </c>
      <c r="H63" s="9">
        <v>1.32</v>
      </c>
      <c r="I63" s="9">
        <v>100</v>
      </c>
      <c r="J63" s="9">
        <v>65537</v>
      </c>
      <c r="K63" s="71">
        <v>0.40278935185185188</v>
      </c>
      <c r="L63" s="9">
        <v>26.62</v>
      </c>
      <c r="M63" s="9">
        <v>19.21</v>
      </c>
    </row>
    <row r="64" spans="1:13" x14ac:dyDescent="0.35">
      <c r="A64" s="9" t="s">
        <v>1449</v>
      </c>
      <c r="B64" s="9" t="s">
        <v>1450</v>
      </c>
      <c r="C64" s="9">
        <v>59.6</v>
      </c>
      <c r="D64" s="9">
        <v>8711970600</v>
      </c>
      <c r="E64" s="9">
        <v>1</v>
      </c>
      <c r="F64" s="9" t="s">
        <v>1451</v>
      </c>
      <c r="G64" s="9" t="s">
        <v>985</v>
      </c>
      <c r="H64" s="9">
        <v>24.14</v>
      </c>
      <c r="I64" s="9">
        <v>100</v>
      </c>
      <c r="J64" s="9">
        <v>65537</v>
      </c>
      <c r="K64" s="71">
        <v>0.41599537037037032</v>
      </c>
      <c r="L64" s="9">
        <v>4.05</v>
      </c>
      <c r="M64" s="9">
        <v>7.82</v>
      </c>
    </row>
    <row r="65" spans="1:13" x14ac:dyDescent="0.35">
      <c r="A65" s="9" t="s">
        <v>1379</v>
      </c>
      <c r="B65" s="9" t="s">
        <v>1380</v>
      </c>
      <c r="C65" s="9">
        <v>13.37</v>
      </c>
      <c r="D65" s="9">
        <v>841864780</v>
      </c>
      <c r="E65" s="9">
        <v>1</v>
      </c>
      <c r="F65" s="9" t="s">
        <v>1381</v>
      </c>
      <c r="G65" s="9" t="s">
        <v>985</v>
      </c>
      <c r="H65" s="9">
        <v>1.2</v>
      </c>
      <c r="I65" s="9">
        <v>99.81</v>
      </c>
      <c r="J65" s="9">
        <v>65537</v>
      </c>
      <c r="K65" s="71">
        <v>0.41425925925925927</v>
      </c>
      <c r="L65" s="9">
        <v>11.81</v>
      </c>
      <c r="M65" s="9">
        <v>49.52</v>
      </c>
    </row>
    <row r="66" spans="1:13" x14ac:dyDescent="0.35">
      <c r="A66" s="9" t="s">
        <v>1382</v>
      </c>
      <c r="B66" s="9" t="s">
        <v>1383</v>
      </c>
      <c r="C66" s="9">
        <v>40.799999999999997</v>
      </c>
      <c r="D66" s="9">
        <v>3129801600</v>
      </c>
      <c r="E66" s="9">
        <v>1</v>
      </c>
      <c r="F66" s="9" t="s">
        <v>1384</v>
      </c>
      <c r="G66" s="9" t="s">
        <v>985</v>
      </c>
      <c r="H66" s="9">
        <v>14.64</v>
      </c>
      <c r="I66" s="9">
        <v>100</v>
      </c>
      <c r="J66" s="9">
        <v>65537</v>
      </c>
      <c r="K66" s="71">
        <v>0.54204861111111113</v>
      </c>
      <c r="L66" s="9">
        <v>11.73</v>
      </c>
      <c r="M66" s="9">
        <v>11.09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72507-2C18-4F96-AF53-DF85A365050A}">
  <dimension ref="A1:M88"/>
  <sheetViews>
    <sheetView workbookViewId="0">
      <selection activeCell="B8" sqref="B8"/>
    </sheetView>
  </sheetViews>
  <sheetFormatPr defaultRowHeight="14.15" x14ac:dyDescent="0.35"/>
  <cols>
    <col min="1" max="16384" width="9.140625" style="9"/>
  </cols>
  <sheetData>
    <row r="1" spans="1:13" x14ac:dyDescent="0.35">
      <c r="A1" s="9" t="s">
        <v>292</v>
      </c>
      <c r="B1" s="9" t="s">
        <v>59</v>
      </c>
      <c r="C1" s="9" t="s">
        <v>1019</v>
      </c>
      <c r="D1" s="9" t="s">
        <v>293</v>
      </c>
      <c r="E1" s="9" t="s">
        <v>1202</v>
      </c>
      <c r="F1" s="9" t="s">
        <v>1203</v>
      </c>
      <c r="G1" s="9" t="s">
        <v>982</v>
      </c>
      <c r="H1" s="9" t="s">
        <v>1204</v>
      </c>
      <c r="I1" s="9" t="s">
        <v>1017</v>
      </c>
      <c r="J1" s="9" t="s">
        <v>1205</v>
      </c>
      <c r="K1" s="9" t="s">
        <v>1206</v>
      </c>
      <c r="L1" s="9" t="s">
        <v>1022</v>
      </c>
      <c r="M1" s="9" t="s">
        <v>1207</v>
      </c>
    </row>
    <row r="2" spans="1:13" x14ac:dyDescent="0.35">
      <c r="A2" s="9" t="s">
        <v>621</v>
      </c>
      <c r="B2" s="9" t="s">
        <v>622</v>
      </c>
      <c r="C2" s="9">
        <v>7.22</v>
      </c>
      <c r="D2" s="9">
        <v>4404517100</v>
      </c>
      <c r="E2" s="9">
        <v>6</v>
      </c>
      <c r="F2" s="9" t="s">
        <v>1131</v>
      </c>
      <c r="G2" s="9" t="s">
        <v>987</v>
      </c>
      <c r="H2" s="9">
        <v>1024.32</v>
      </c>
      <c r="I2" s="9">
        <v>35.42</v>
      </c>
      <c r="J2" s="9">
        <v>1.33</v>
      </c>
      <c r="K2" s="9">
        <v>100</v>
      </c>
      <c r="L2" s="9">
        <v>393222</v>
      </c>
      <c r="M2" s="71">
        <v>0.39583333333333331</v>
      </c>
    </row>
    <row r="3" spans="1:13" x14ac:dyDescent="0.35">
      <c r="A3" s="9" t="s">
        <v>710</v>
      </c>
      <c r="B3" s="9" t="s">
        <v>711</v>
      </c>
      <c r="C3" s="9">
        <v>13.01</v>
      </c>
      <c r="D3" s="9">
        <v>7207985800</v>
      </c>
      <c r="E3" s="9">
        <v>5</v>
      </c>
      <c r="F3" s="9" t="s">
        <v>855</v>
      </c>
      <c r="G3" s="9" t="s">
        <v>985</v>
      </c>
      <c r="H3" s="9">
        <v>17.100000000000001</v>
      </c>
      <c r="I3" s="9">
        <v>24.38</v>
      </c>
      <c r="J3" s="9">
        <v>11.62</v>
      </c>
      <c r="K3" s="9">
        <v>100</v>
      </c>
      <c r="L3" s="9">
        <v>327685</v>
      </c>
      <c r="M3" s="71">
        <v>0.40626157407407404</v>
      </c>
    </row>
    <row r="4" spans="1:13" x14ac:dyDescent="0.35">
      <c r="A4" s="9" t="s">
        <v>963</v>
      </c>
      <c r="B4" s="9" t="s">
        <v>962</v>
      </c>
      <c r="C4" s="9">
        <v>20.59</v>
      </c>
      <c r="D4" s="9">
        <v>9557019000</v>
      </c>
      <c r="E4" s="9">
        <v>4</v>
      </c>
      <c r="F4" s="9" t="s">
        <v>961</v>
      </c>
      <c r="G4" s="9" t="s">
        <v>986</v>
      </c>
      <c r="H4" s="9">
        <v>40.83</v>
      </c>
      <c r="I4" s="9">
        <v>57.52</v>
      </c>
      <c r="J4" s="9">
        <v>6.6</v>
      </c>
      <c r="K4" s="9">
        <v>100</v>
      </c>
      <c r="L4" s="9">
        <v>262148</v>
      </c>
      <c r="M4" s="71">
        <v>0.39739583333333334</v>
      </c>
    </row>
    <row r="5" spans="1:13" x14ac:dyDescent="0.35">
      <c r="A5" s="9" t="s">
        <v>981</v>
      </c>
      <c r="B5" s="9" t="s">
        <v>980</v>
      </c>
      <c r="C5" s="9">
        <v>8.23</v>
      </c>
      <c r="D5" s="9">
        <v>5726160500</v>
      </c>
      <c r="E5" s="9">
        <v>4</v>
      </c>
      <c r="F5" s="9" t="s">
        <v>979</v>
      </c>
      <c r="G5" s="9" t="s">
        <v>985</v>
      </c>
      <c r="H5" s="9">
        <v>5.46</v>
      </c>
      <c r="I5" s="9">
        <v>36.58</v>
      </c>
      <c r="J5" s="9">
        <v>26.14</v>
      </c>
      <c r="K5" s="9">
        <v>100</v>
      </c>
      <c r="L5" s="9">
        <v>262148</v>
      </c>
      <c r="M5" s="71">
        <v>0.4458449074074074</v>
      </c>
    </row>
    <row r="6" spans="1:13" x14ac:dyDescent="0.35">
      <c r="A6" s="9" t="s">
        <v>942</v>
      </c>
      <c r="B6" s="9" t="s">
        <v>941</v>
      </c>
      <c r="C6" s="9">
        <v>7.62</v>
      </c>
      <c r="D6" s="9">
        <v>3366119800</v>
      </c>
      <c r="E6" s="9">
        <v>4</v>
      </c>
      <c r="F6" s="9" t="s">
        <v>696</v>
      </c>
      <c r="G6" s="9" t="s">
        <v>985</v>
      </c>
      <c r="H6" s="9">
        <v>0.56999999999999995</v>
      </c>
      <c r="I6" s="9">
        <v>39.020000000000003</v>
      </c>
      <c r="J6" s="9">
        <v>28.53</v>
      </c>
      <c r="K6" s="9">
        <v>100</v>
      </c>
      <c r="L6" s="9">
        <v>262148</v>
      </c>
      <c r="M6" s="71">
        <v>0.61553240740740744</v>
      </c>
    </row>
    <row r="7" spans="1:13" x14ac:dyDescent="0.35">
      <c r="A7" s="9" t="s">
        <v>1051</v>
      </c>
      <c r="B7" s="9" t="s">
        <v>1052</v>
      </c>
      <c r="C7" s="9">
        <v>6.82</v>
      </c>
      <c r="D7" s="9">
        <v>1477757400</v>
      </c>
      <c r="E7" s="9">
        <v>3</v>
      </c>
      <c r="F7" s="9" t="s">
        <v>1133</v>
      </c>
      <c r="G7" s="9" t="s">
        <v>985</v>
      </c>
      <c r="H7" s="9">
        <v>5.92</v>
      </c>
      <c r="I7" s="9">
        <v>0</v>
      </c>
      <c r="J7" s="9">
        <v>34.799999999999997</v>
      </c>
      <c r="K7" s="9">
        <v>100</v>
      </c>
      <c r="L7" s="9">
        <v>196611</v>
      </c>
      <c r="M7" s="71">
        <v>0.41876157407407405</v>
      </c>
    </row>
    <row r="8" spans="1:13" x14ac:dyDescent="0.35">
      <c r="A8" s="9" t="s">
        <v>1058</v>
      </c>
      <c r="B8" s="9" t="s">
        <v>1059</v>
      </c>
      <c r="C8" s="9">
        <v>5.32</v>
      </c>
      <c r="D8" s="9">
        <v>3126727600</v>
      </c>
      <c r="E8" s="9">
        <v>3</v>
      </c>
      <c r="F8" s="9" t="s">
        <v>1132</v>
      </c>
      <c r="G8" s="9" t="s">
        <v>985</v>
      </c>
      <c r="H8" s="9">
        <v>6.4</v>
      </c>
      <c r="I8" s="9">
        <v>32.909999999999997</v>
      </c>
      <c r="J8" s="9">
        <v>15.85</v>
      </c>
      <c r="K8" s="9">
        <v>100</v>
      </c>
      <c r="L8" s="9">
        <v>196611</v>
      </c>
      <c r="M8" s="71">
        <v>0.40747685185185184</v>
      </c>
    </row>
    <row r="9" spans="1:13" x14ac:dyDescent="0.35">
      <c r="A9" s="9" t="s">
        <v>1082</v>
      </c>
      <c r="B9" s="9" t="s">
        <v>1083</v>
      </c>
      <c r="C9" s="9">
        <v>7.34</v>
      </c>
      <c r="D9" s="9">
        <v>7926185500</v>
      </c>
      <c r="E9" s="9">
        <v>3</v>
      </c>
      <c r="F9" s="9" t="s">
        <v>1228</v>
      </c>
      <c r="G9" s="9" t="s">
        <v>985</v>
      </c>
      <c r="H9" s="9">
        <v>25.41</v>
      </c>
      <c r="I9" s="9">
        <v>45.56</v>
      </c>
      <c r="J9" s="9">
        <v>5.37</v>
      </c>
      <c r="K9" s="9">
        <v>100</v>
      </c>
      <c r="L9" s="9">
        <v>196611</v>
      </c>
      <c r="M9" s="71">
        <v>0.39618055555555554</v>
      </c>
    </row>
    <row r="10" spans="1:13" x14ac:dyDescent="0.35">
      <c r="A10" s="9" t="s">
        <v>1190</v>
      </c>
      <c r="B10" s="9" t="s">
        <v>1191</v>
      </c>
      <c r="C10" s="9">
        <v>9.7799999999999994</v>
      </c>
      <c r="D10" s="9">
        <v>2267354000</v>
      </c>
      <c r="E10" s="9">
        <v>2</v>
      </c>
      <c r="F10" s="9" t="s">
        <v>1302</v>
      </c>
      <c r="G10" s="9" t="s">
        <v>985</v>
      </c>
      <c r="H10" s="9">
        <v>15.32</v>
      </c>
      <c r="I10" s="9">
        <v>0.5</v>
      </c>
      <c r="J10" s="9">
        <v>10.98</v>
      </c>
      <c r="K10" s="9">
        <v>92.07</v>
      </c>
      <c r="L10" s="9">
        <v>131074</v>
      </c>
      <c r="M10" s="71">
        <v>0.47782407407407407</v>
      </c>
    </row>
    <row r="11" spans="1:13" x14ac:dyDescent="0.35">
      <c r="A11" s="9" t="s">
        <v>1196</v>
      </c>
      <c r="B11" s="9" t="s">
        <v>1197</v>
      </c>
      <c r="C11" s="9">
        <v>17.29</v>
      </c>
      <c r="D11" s="9">
        <v>3999938600</v>
      </c>
      <c r="E11" s="9">
        <v>2</v>
      </c>
      <c r="F11" s="9" t="s">
        <v>1198</v>
      </c>
      <c r="G11" s="9" t="s">
        <v>985</v>
      </c>
      <c r="H11" s="9">
        <v>45.87</v>
      </c>
      <c r="I11" s="9">
        <v>53.92</v>
      </c>
      <c r="J11" s="9">
        <v>3.4</v>
      </c>
      <c r="K11" s="9">
        <v>93.96</v>
      </c>
      <c r="L11" s="9">
        <v>131074</v>
      </c>
      <c r="M11" s="71">
        <v>0.39809027777777778</v>
      </c>
    </row>
    <row r="12" spans="1:13" x14ac:dyDescent="0.35">
      <c r="A12" s="9" t="s">
        <v>1199</v>
      </c>
      <c r="B12" s="9" t="s">
        <v>1200</v>
      </c>
      <c r="C12" s="9">
        <v>5.89</v>
      </c>
      <c r="D12" s="9">
        <v>5073094400</v>
      </c>
      <c r="E12" s="9">
        <v>2</v>
      </c>
      <c r="F12" s="9" t="s">
        <v>1201</v>
      </c>
      <c r="G12" s="9" t="s">
        <v>986</v>
      </c>
      <c r="H12" s="9">
        <v>18.739999999999998</v>
      </c>
      <c r="I12" s="9">
        <v>43.08</v>
      </c>
      <c r="J12" s="9">
        <v>7.83</v>
      </c>
      <c r="K12" s="9">
        <v>99.64</v>
      </c>
      <c r="L12" s="9">
        <v>131074</v>
      </c>
      <c r="M12" s="71">
        <v>0.54379629629629633</v>
      </c>
    </row>
    <row r="13" spans="1:13" x14ac:dyDescent="0.35">
      <c r="A13" s="9" t="s">
        <v>1143</v>
      </c>
      <c r="B13" s="9" t="s">
        <v>1144</v>
      </c>
      <c r="C13" s="9">
        <v>7.65</v>
      </c>
      <c r="D13" s="9">
        <v>4639435600</v>
      </c>
      <c r="E13" s="9">
        <v>2</v>
      </c>
      <c r="F13" s="9" t="s">
        <v>1303</v>
      </c>
      <c r="G13" s="9" t="s">
        <v>985</v>
      </c>
      <c r="H13" s="9">
        <v>24.25</v>
      </c>
      <c r="I13" s="9">
        <v>25.05</v>
      </c>
      <c r="J13" s="9">
        <v>16.899999999999999</v>
      </c>
      <c r="K13" s="9">
        <v>93.28</v>
      </c>
      <c r="L13" s="9">
        <v>131074</v>
      </c>
      <c r="M13" s="71">
        <v>0.56150462962962966</v>
      </c>
    </row>
    <row r="14" spans="1:13" x14ac:dyDescent="0.35">
      <c r="A14" s="9" t="s">
        <v>1140</v>
      </c>
      <c r="B14" s="9" t="s">
        <v>1141</v>
      </c>
      <c r="C14" s="9">
        <v>4.7</v>
      </c>
      <c r="D14" s="9">
        <v>5012471900</v>
      </c>
      <c r="E14" s="9">
        <v>2</v>
      </c>
      <c r="F14" s="9" t="s">
        <v>1142</v>
      </c>
      <c r="G14" s="9" t="s">
        <v>985</v>
      </c>
      <c r="H14" s="9">
        <v>38.909999999999997</v>
      </c>
      <c r="I14" s="9">
        <v>14</v>
      </c>
      <c r="J14" s="9">
        <v>6.09</v>
      </c>
      <c r="K14" s="9">
        <v>99.92</v>
      </c>
      <c r="L14" s="9">
        <v>131074</v>
      </c>
      <c r="M14" s="71">
        <v>0.39652777777777781</v>
      </c>
    </row>
    <row r="15" spans="1:13" x14ac:dyDescent="0.35">
      <c r="A15" s="9" t="s">
        <v>706</v>
      </c>
      <c r="B15" s="9" t="s">
        <v>707</v>
      </c>
      <c r="C15" s="9">
        <v>6.4</v>
      </c>
      <c r="D15" s="9">
        <v>4559837500</v>
      </c>
      <c r="E15" s="9">
        <v>2</v>
      </c>
      <c r="F15" s="9" t="s">
        <v>708</v>
      </c>
      <c r="G15" s="9" t="s">
        <v>985</v>
      </c>
      <c r="H15" s="9">
        <v>8.89</v>
      </c>
      <c r="I15" s="9">
        <v>2.69</v>
      </c>
      <c r="J15" s="9">
        <v>14.13</v>
      </c>
      <c r="K15" s="9">
        <v>99.93</v>
      </c>
      <c r="L15" s="9">
        <v>196613</v>
      </c>
      <c r="M15" s="71">
        <v>0.55577546296296299</v>
      </c>
    </row>
    <row r="16" spans="1:13" x14ac:dyDescent="0.35">
      <c r="A16" s="9" t="s">
        <v>1137</v>
      </c>
      <c r="B16" s="9" t="s">
        <v>1138</v>
      </c>
      <c r="C16" s="9">
        <v>7.14</v>
      </c>
      <c r="D16" s="9">
        <v>2570400000</v>
      </c>
      <c r="E16" s="9">
        <v>2</v>
      </c>
      <c r="F16" s="9" t="s">
        <v>1139</v>
      </c>
      <c r="G16" s="9" t="s">
        <v>985</v>
      </c>
      <c r="H16" s="9">
        <v>37.32</v>
      </c>
      <c r="I16" s="9">
        <v>35.31</v>
      </c>
      <c r="J16" s="9">
        <v>15.53</v>
      </c>
      <c r="K16" s="9">
        <v>87.65</v>
      </c>
      <c r="L16" s="9">
        <v>131074</v>
      </c>
      <c r="M16" s="71">
        <v>0.4229282407407407</v>
      </c>
    </row>
    <row r="17" spans="1:13" x14ac:dyDescent="0.35">
      <c r="A17" s="9" t="s">
        <v>1146</v>
      </c>
      <c r="B17" s="9" t="s">
        <v>1147</v>
      </c>
      <c r="C17" s="9">
        <v>5.56</v>
      </c>
      <c r="D17" s="9">
        <v>2775489800</v>
      </c>
      <c r="E17" s="9">
        <v>2</v>
      </c>
      <c r="F17" s="9" t="s">
        <v>1148</v>
      </c>
      <c r="G17" s="9" t="s">
        <v>987</v>
      </c>
      <c r="H17" s="9">
        <v>285.31</v>
      </c>
      <c r="I17" s="9">
        <v>33.229999999999997</v>
      </c>
      <c r="J17" s="9">
        <v>1.56</v>
      </c>
      <c r="K17" s="9">
        <v>91.32</v>
      </c>
      <c r="L17" s="9">
        <v>131074</v>
      </c>
      <c r="M17" s="71">
        <v>0.39583333333333331</v>
      </c>
    </row>
    <row r="18" spans="1:13" x14ac:dyDescent="0.35">
      <c r="A18" s="9" t="s">
        <v>1154</v>
      </c>
      <c r="B18" s="9" t="s">
        <v>1155</v>
      </c>
      <c r="C18" s="9">
        <v>34.43</v>
      </c>
      <c r="D18" s="9">
        <v>11860776900</v>
      </c>
      <c r="E18" s="9">
        <v>2</v>
      </c>
      <c r="F18" s="9" t="s">
        <v>1156</v>
      </c>
      <c r="G18" s="9" t="s">
        <v>985</v>
      </c>
      <c r="H18" s="9">
        <v>6.26</v>
      </c>
      <c r="I18" s="9">
        <v>14.27</v>
      </c>
      <c r="J18" s="9">
        <v>6.66</v>
      </c>
      <c r="K18" s="9">
        <v>100</v>
      </c>
      <c r="L18" s="9">
        <v>131074</v>
      </c>
      <c r="M18" s="71">
        <v>0.46841435185185182</v>
      </c>
    </row>
    <row r="19" spans="1:13" x14ac:dyDescent="0.35">
      <c r="A19" s="9" t="s">
        <v>837</v>
      </c>
      <c r="B19" s="9" t="s">
        <v>838</v>
      </c>
      <c r="C19" s="9">
        <v>32.08</v>
      </c>
      <c r="D19" s="9">
        <v>5030144000</v>
      </c>
      <c r="E19" s="9">
        <v>2</v>
      </c>
      <c r="F19" s="9" t="s">
        <v>696</v>
      </c>
      <c r="G19" s="9" t="s">
        <v>985</v>
      </c>
      <c r="H19" s="9">
        <v>1.74</v>
      </c>
      <c r="I19" s="9">
        <v>11</v>
      </c>
      <c r="J19" s="9">
        <v>8.41</v>
      </c>
      <c r="K19" s="9">
        <v>100</v>
      </c>
      <c r="L19" s="9">
        <v>262149</v>
      </c>
      <c r="M19" s="71">
        <v>0.62010416666666668</v>
      </c>
    </row>
    <row r="20" spans="1:13" x14ac:dyDescent="0.35">
      <c r="A20" s="9" t="s">
        <v>1166</v>
      </c>
      <c r="B20" s="9" t="s">
        <v>1167</v>
      </c>
      <c r="C20" s="9">
        <v>3.18</v>
      </c>
      <c r="D20" s="9">
        <v>4294256500</v>
      </c>
      <c r="E20" s="9">
        <v>2</v>
      </c>
      <c r="F20" s="9" t="s">
        <v>1260</v>
      </c>
      <c r="G20" s="9" t="s">
        <v>985</v>
      </c>
      <c r="H20" s="9">
        <v>39.1</v>
      </c>
      <c r="I20" s="9">
        <v>68.95</v>
      </c>
      <c r="J20" s="9">
        <v>2.33</v>
      </c>
      <c r="K20" s="9">
        <v>100</v>
      </c>
      <c r="L20" s="9">
        <v>131074</v>
      </c>
      <c r="M20" s="71">
        <v>0.39600694444444445</v>
      </c>
    </row>
    <row r="21" spans="1:13" x14ac:dyDescent="0.35">
      <c r="A21" s="9" t="s">
        <v>1170</v>
      </c>
      <c r="B21" s="9" t="s">
        <v>1171</v>
      </c>
      <c r="C21" s="9">
        <v>6.39</v>
      </c>
      <c r="D21" s="9">
        <v>1514839000</v>
      </c>
      <c r="E21" s="9">
        <v>2</v>
      </c>
      <c r="F21" s="9" t="s">
        <v>1172</v>
      </c>
      <c r="G21" s="9" t="s">
        <v>985</v>
      </c>
      <c r="H21" s="9">
        <v>4.96</v>
      </c>
      <c r="I21" s="9">
        <v>30.12</v>
      </c>
      <c r="J21" s="9">
        <v>11.51</v>
      </c>
      <c r="K21" s="9">
        <v>97.62</v>
      </c>
      <c r="L21" s="9">
        <v>131074</v>
      </c>
      <c r="M21" s="71">
        <v>0.40469907407407407</v>
      </c>
    </row>
    <row r="22" spans="1:13" x14ac:dyDescent="0.35">
      <c r="A22" s="9" t="s">
        <v>1173</v>
      </c>
      <c r="B22" s="9" t="s">
        <v>1174</v>
      </c>
      <c r="C22" s="9">
        <v>3.33</v>
      </c>
      <c r="D22" s="9">
        <v>9138852000</v>
      </c>
      <c r="E22" s="9">
        <v>2</v>
      </c>
      <c r="F22" s="9" t="s">
        <v>1168</v>
      </c>
      <c r="G22" s="9" t="s">
        <v>985</v>
      </c>
      <c r="H22" s="9">
        <v>5.27</v>
      </c>
      <c r="I22" s="9">
        <v>54.65</v>
      </c>
      <c r="J22" s="9">
        <v>5.01</v>
      </c>
      <c r="K22" s="9">
        <v>100</v>
      </c>
      <c r="L22" s="9">
        <v>131074</v>
      </c>
      <c r="M22" s="71">
        <v>0.41546296296296298</v>
      </c>
    </row>
    <row r="23" spans="1:13" x14ac:dyDescent="0.35">
      <c r="A23" s="9" t="s">
        <v>1304</v>
      </c>
      <c r="B23" s="9" t="s">
        <v>1305</v>
      </c>
      <c r="C23" s="9">
        <v>39.28</v>
      </c>
      <c r="D23" s="9">
        <v>1467893600</v>
      </c>
      <c r="E23" s="9">
        <v>1</v>
      </c>
      <c r="F23" s="9" t="s">
        <v>1306</v>
      </c>
      <c r="G23" s="9" t="s">
        <v>985</v>
      </c>
      <c r="H23" s="9">
        <v>18.16</v>
      </c>
      <c r="I23" s="9">
        <v>4.25</v>
      </c>
      <c r="J23" s="9">
        <v>25.84</v>
      </c>
      <c r="K23" s="9">
        <v>99.47</v>
      </c>
      <c r="L23" s="9">
        <v>65537</v>
      </c>
      <c r="M23" s="71">
        <v>0.59057870370370369</v>
      </c>
    </row>
    <row r="24" spans="1:13" x14ac:dyDescent="0.35">
      <c r="A24" s="9" t="s">
        <v>1293</v>
      </c>
      <c r="B24" s="9" t="s">
        <v>1294</v>
      </c>
      <c r="C24" s="9">
        <v>49.67</v>
      </c>
      <c r="D24" s="9">
        <v>2320596700</v>
      </c>
      <c r="E24" s="9">
        <v>1</v>
      </c>
      <c r="F24" s="9" t="s">
        <v>1295</v>
      </c>
      <c r="G24" s="9" t="s">
        <v>985</v>
      </c>
      <c r="H24" s="9">
        <v>85.3</v>
      </c>
      <c r="I24" s="9">
        <v>48.3</v>
      </c>
      <c r="J24" s="9">
        <v>7.44</v>
      </c>
      <c r="K24" s="9">
        <v>43.19</v>
      </c>
      <c r="L24" s="9">
        <v>65537</v>
      </c>
      <c r="M24" s="71">
        <v>0.4397685185185185</v>
      </c>
    </row>
    <row r="25" spans="1:13" x14ac:dyDescent="0.35">
      <c r="A25" s="9" t="s">
        <v>1290</v>
      </c>
      <c r="B25" s="9" t="s">
        <v>1291</v>
      </c>
      <c r="C25" s="9">
        <v>30.6</v>
      </c>
      <c r="D25" s="9">
        <v>1971255100</v>
      </c>
      <c r="E25" s="9">
        <v>1</v>
      </c>
      <c r="F25" s="9" t="s">
        <v>1292</v>
      </c>
      <c r="G25" s="9" t="s">
        <v>985</v>
      </c>
      <c r="H25" s="9">
        <v>42.5</v>
      </c>
      <c r="I25" s="9">
        <v>4.2699999999999996</v>
      </c>
      <c r="J25" s="9">
        <v>15.01</v>
      </c>
      <c r="K25" s="9">
        <v>100</v>
      </c>
      <c r="L25" s="9">
        <v>65537</v>
      </c>
      <c r="M25" s="71">
        <v>0.46754629629629635</v>
      </c>
    </row>
    <row r="26" spans="1:13" x14ac:dyDescent="0.35">
      <c r="A26" s="9" t="s">
        <v>463</v>
      </c>
      <c r="B26" s="9" t="s">
        <v>272</v>
      </c>
      <c r="C26" s="9">
        <v>17.5</v>
      </c>
      <c r="D26" s="9">
        <v>1603140000</v>
      </c>
      <c r="E26" s="9">
        <v>1</v>
      </c>
      <c r="F26" s="9" t="s">
        <v>273</v>
      </c>
      <c r="G26" s="9" t="s">
        <v>985</v>
      </c>
      <c r="H26" s="9">
        <v>43.91</v>
      </c>
      <c r="I26" s="9">
        <v>57.29</v>
      </c>
      <c r="J26" s="9">
        <v>7.41</v>
      </c>
      <c r="K26" s="9">
        <v>68.66</v>
      </c>
      <c r="L26" s="9">
        <v>65537</v>
      </c>
      <c r="M26" s="71">
        <v>0.40886574074074072</v>
      </c>
    </row>
    <row r="27" spans="1:13" x14ac:dyDescent="0.35">
      <c r="A27" s="9" t="s">
        <v>1287</v>
      </c>
      <c r="B27" s="9" t="s">
        <v>1288</v>
      </c>
      <c r="C27" s="9">
        <v>14.2</v>
      </c>
      <c r="D27" s="9">
        <v>1848124800</v>
      </c>
      <c r="E27" s="9">
        <v>1</v>
      </c>
      <c r="F27" s="9" t="s">
        <v>1289</v>
      </c>
      <c r="G27" s="9" t="s">
        <v>985</v>
      </c>
      <c r="H27" s="9">
        <v>141.47</v>
      </c>
      <c r="I27" s="9">
        <v>48.26</v>
      </c>
      <c r="J27" s="9">
        <v>3.9</v>
      </c>
      <c r="K27" s="9">
        <v>98.14</v>
      </c>
      <c r="L27" s="9">
        <v>65537</v>
      </c>
      <c r="M27" s="71">
        <v>0.44914351851851847</v>
      </c>
    </row>
    <row r="28" spans="1:13" x14ac:dyDescent="0.35">
      <c r="A28" s="9" t="s">
        <v>1278</v>
      </c>
      <c r="B28" s="9" t="s">
        <v>1279</v>
      </c>
      <c r="C28" s="9">
        <v>10.52</v>
      </c>
      <c r="D28" s="9">
        <v>4535566500</v>
      </c>
      <c r="E28" s="9">
        <v>1</v>
      </c>
      <c r="F28" s="9" t="s">
        <v>1280</v>
      </c>
      <c r="G28" s="9" t="s">
        <v>985</v>
      </c>
      <c r="H28" s="9">
        <v>32.51</v>
      </c>
      <c r="I28" s="9">
        <v>0.3</v>
      </c>
      <c r="J28" s="9">
        <v>2.38</v>
      </c>
      <c r="K28" s="9">
        <v>89.89</v>
      </c>
      <c r="L28" s="9">
        <v>65537</v>
      </c>
      <c r="M28" s="71">
        <v>0.41424768518518523</v>
      </c>
    </row>
    <row r="29" spans="1:13" x14ac:dyDescent="0.35">
      <c r="A29" s="9" t="s">
        <v>1307</v>
      </c>
      <c r="B29" s="9" t="s">
        <v>1308</v>
      </c>
      <c r="C29" s="9">
        <v>18.02</v>
      </c>
      <c r="D29" s="9">
        <v>2425561000</v>
      </c>
      <c r="E29" s="9">
        <v>1</v>
      </c>
      <c r="F29" s="9" t="s">
        <v>1309</v>
      </c>
      <c r="G29" s="9" t="s">
        <v>985</v>
      </c>
      <c r="H29" s="9">
        <v>0.34</v>
      </c>
      <c r="I29" s="9">
        <v>14.2</v>
      </c>
      <c r="J29" s="9">
        <v>14.23</v>
      </c>
      <c r="K29" s="9">
        <v>94.19</v>
      </c>
      <c r="L29" s="9">
        <v>65537</v>
      </c>
      <c r="M29" s="71">
        <v>0.61216435185185192</v>
      </c>
    </row>
    <row r="30" spans="1:13" x14ac:dyDescent="0.35">
      <c r="A30" s="9" t="s">
        <v>335</v>
      </c>
      <c r="B30" s="9" t="s">
        <v>336</v>
      </c>
      <c r="C30" s="9">
        <v>58.06</v>
      </c>
      <c r="D30" s="9">
        <v>7534514700</v>
      </c>
      <c r="E30" s="9">
        <v>1</v>
      </c>
      <c r="F30" s="9" t="s">
        <v>337</v>
      </c>
      <c r="G30" s="9" t="s">
        <v>985</v>
      </c>
      <c r="H30" s="9">
        <v>4.74</v>
      </c>
      <c r="I30" s="9">
        <v>19.61</v>
      </c>
      <c r="J30" s="9">
        <v>14.36</v>
      </c>
      <c r="K30" s="9">
        <v>47.8</v>
      </c>
      <c r="L30" s="9">
        <v>65537</v>
      </c>
      <c r="M30" s="71">
        <v>0.57480324074074074</v>
      </c>
    </row>
    <row r="31" spans="1:13" x14ac:dyDescent="0.35">
      <c r="A31" s="9" t="s">
        <v>880</v>
      </c>
      <c r="B31" s="9" t="s">
        <v>881</v>
      </c>
      <c r="C31" s="9">
        <v>6.02</v>
      </c>
      <c r="D31" s="9">
        <v>4349762500</v>
      </c>
      <c r="E31" s="9">
        <v>1</v>
      </c>
      <c r="F31" s="9" t="s">
        <v>882</v>
      </c>
      <c r="G31" s="9" t="s">
        <v>985</v>
      </c>
      <c r="H31" s="9">
        <v>94.11</v>
      </c>
      <c r="I31" s="9">
        <v>64.09</v>
      </c>
      <c r="J31" s="9">
        <v>2.15</v>
      </c>
      <c r="K31" s="9">
        <v>68.489999999999995</v>
      </c>
      <c r="L31" s="9">
        <v>131076</v>
      </c>
      <c r="M31" s="71">
        <v>0.3979166666666667</v>
      </c>
    </row>
    <row r="32" spans="1:13" x14ac:dyDescent="0.35">
      <c r="A32" s="9" t="s">
        <v>1254</v>
      </c>
      <c r="B32" s="9" t="s">
        <v>1255</v>
      </c>
      <c r="C32" s="9">
        <v>8.43</v>
      </c>
      <c r="D32" s="9">
        <v>2312582600</v>
      </c>
      <c r="E32" s="9">
        <v>1</v>
      </c>
      <c r="F32" s="9" t="s">
        <v>1256</v>
      </c>
      <c r="G32" s="9" t="s">
        <v>985</v>
      </c>
      <c r="H32" s="9">
        <v>50.82</v>
      </c>
      <c r="I32" s="9">
        <v>26.87</v>
      </c>
      <c r="J32" s="9">
        <v>5.95</v>
      </c>
      <c r="K32" s="9">
        <v>94.33</v>
      </c>
      <c r="L32" s="9">
        <v>65537</v>
      </c>
      <c r="M32" s="71">
        <v>0.4079976851851852</v>
      </c>
    </row>
    <row r="33" spans="1:13" x14ac:dyDescent="0.35">
      <c r="A33" s="9" t="s">
        <v>1252</v>
      </c>
      <c r="B33" s="9" t="s">
        <v>1253</v>
      </c>
      <c r="C33" s="9">
        <v>5.01</v>
      </c>
      <c r="D33" s="9">
        <v>5691689900</v>
      </c>
      <c r="E33" s="9">
        <v>1</v>
      </c>
      <c r="F33" s="9" t="s">
        <v>1310</v>
      </c>
      <c r="G33" s="9" t="s">
        <v>985</v>
      </c>
      <c r="H33" s="9">
        <v>8.9</v>
      </c>
      <c r="I33" s="9">
        <v>47.85</v>
      </c>
      <c r="J33" s="9">
        <v>2.77</v>
      </c>
      <c r="K33" s="9">
        <v>69.38</v>
      </c>
      <c r="L33" s="9">
        <v>65537</v>
      </c>
      <c r="M33" s="71">
        <v>0.59283564814814815</v>
      </c>
    </row>
    <row r="34" spans="1:13" x14ac:dyDescent="0.35">
      <c r="A34" s="9" t="s">
        <v>1311</v>
      </c>
      <c r="B34" s="9" t="s">
        <v>1312</v>
      </c>
      <c r="C34" s="9">
        <v>45.68</v>
      </c>
      <c r="D34" s="9">
        <v>9073698200</v>
      </c>
      <c r="E34" s="9">
        <v>1</v>
      </c>
      <c r="F34" s="9" t="s">
        <v>1313</v>
      </c>
      <c r="G34" s="9" t="s">
        <v>985</v>
      </c>
      <c r="H34" s="9">
        <v>20.11</v>
      </c>
      <c r="I34" s="9">
        <v>50.89</v>
      </c>
      <c r="J34" s="9">
        <v>9.31</v>
      </c>
      <c r="K34" s="9">
        <v>99.92</v>
      </c>
      <c r="L34" s="9">
        <v>65537</v>
      </c>
      <c r="M34" s="71">
        <v>0.54171296296296301</v>
      </c>
    </row>
    <row r="35" spans="1:13" x14ac:dyDescent="0.35">
      <c r="A35" s="9" t="s">
        <v>718</v>
      </c>
      <c r="B35" s="9" t="s">
        <v>719</v>
      </c>
      <c r="C35" s="9">
        <v>4.55</v>
      </c>
      <c r="D35" s="9">
        <v>3628768400</v>
      </c>
      <c r="E35" s="9">
        <v>1</v>
      </c>
      <c r="F35" s="9" t="s">
        <v>720</v>
      </c>
      <c r="G35" s="9" t="s">
        <v>985</v>
      </c>
      <c r="H35" s="9">
        <v>21.42</v>
      </c>
      <c r="I35" s="9">
        <v>33.71</v>
      </c>
      <c r="J35" s="9">
        <v>6.01</v>
      </c>
      <c r="K35" s="9">
        <v>95.38</v>
      </c>
      <c r="L35" s="9">
        <v>65537</v>
      </c>
      <c r="M35" s="71">
        <v>0.41945601851851855</v>
      </c>
    </row>
    <row r="36" spans="1:13" x14ac:dyDescent="0.35">
      <c r="A36" s="9" t="s">
        <v>1225</v>
      </c>
      <c r="B36" s="9" t="s">
        <v>1226</v>
      </c>
      <c r="C36" s="9">
        <v>6.09</v>
      </c>
      <c r="D36" s="9">
        <v>1907333000</v>
      </c>
      <c r="E36" s="9">
        <v>1</v>
      </c>
      <c r="F36" s="9" t="s">
        <v>1227</v>
      </c>
      <c r="G36" s="9" t="s">
        <v>985</v>
      </c>
      <c r="H36" s="9">
        <v>49.47</v>
      </c>
      <c r="I36" s="9">
        <v>29.81</v>
      </c>
      <c r="J36" s="9">
        <v>3.88</v>
      </c>
      <c r="K36" s="9">
        <v>85.71</v>
      </c>
      <c r="L36" s="9">
        <v>65537</v>
      </c>
      <c r="M36" s="71">
        <v>0.40886574074074072</v>
      </c>
    </row>
    <row r="37" spans="1:13" x14ac:dyDescent="0.35">
      <c r="A37" s="9" t="s">
        <v>378</v>
      </c>
      <c r="B37" s="9" t="s">
        <v>379</v>
      </c>
      <c r="C37" s="9">
        <v>5.74</v>
      </c>
      <c r="D37" s="9">
        <v>2698989700</v>
      </c>
      <c r="E37" s="9">
        <v>1</v>
      </c>
      <c r="F37" s="9" t="s">
        <v>1201</v>
      </c>
      <c r="G37" s="9" t="s">
        <v>985</v>
      </c>
      <c r="H37" s="9">
        <v>43.19</v>
      </c>
      <c r="I37" s="9">
        <v>23.79</v>
      </c>
      <c r="J37" s="9">
        <v>3.43</v>
      </c>
      <c r="K37" s="9">
        <v>99.62</v>
      </c>
      <c r="L37" s="9">
        <v>65537</v>
      </c>
      <c r="M37" s="71">
        <v>0.39931712962962962</v>
      </c>
    </row>
    <row r="38" spans="1:13" x14ac:dyDescent="0.35">
      <c r="A38" s="9" t="s">
        <v>1314</v>
      </c>
      <c r="B38" s="9" t="s">
        <v>1315</v>
      </c>
      <c r="C38" s="9">
        <v>18.73</v>
      </c>
      <c r="D38" s="9">
        <v>16477548000</v>
      </c>
      <c r="E38" s="9">
        <v>1</v>
      </c>
      <c r="F38" s="9" t="s">
        <v>696</v>
      </c>
      <c r="G38" s="9" t="s">
        <v>985</v>
      </c>
      <c r="H38" s="9">
        <v>1.1000000000000001</v>
      </c>
      <c r="I38" s="9">
        <v>22.52</v>
      </c>
      <c r="J38" s="9">
        <v>7.64</v>
      </c>
      <c r="K38" s="9">
        <v>96.11</v>
      </c>
      <c r="L38" s="9">
        <v>65537</v>
      </c>
      <c r="M38" s="71">
        <v>0.62149305555555556</v>
      </c>
    </row>
    <row r="39" spans="1:13" x14ac:dyDescent="0.35">
      <c r="A39" s="9" t="s">
        <v>883</v>
      </c>
      <c r="B39" s="9" t="s">
        <v>884</v>
      </c>
      <c r="C39" s="9">
        <v>4.66</v>
      </c>
      <c r="D39" s="9">
        <v>5123639300</v>
      </c>
      <c r="E39" s="9">
        <v>1</v>
      </c>
      <c r="F39" s="9" t="s">
        <v>885</v>
      </c>
      <c r="G39" s="9" t="s">
        <v>985</v>
      </c>
      <c r="H39" s="9">
        <v>6.62</v>
      </c>
      <c r="I39" s="9">
        <v>2.85</v>
      </c>
      <c r="J39" s="9">
        <v>13.2</v>
      </c>
      <c r="K39" s="9">
        <v>84.3</v>
      </c>
      <c r="L39" s="9">
        <v>131076</v>
      </c>
      <c r="M39" s="71">
        <v>0.60195601851851854</v>
      </c>
    </row>
    <row r="40" spans="1:13" x14ac:dyDescent="0.35">
      <c r="A40" s="9" t="s">
        <v>1249</v>
      </c>
      <c r="B40" s="9" t="s">
        <v>1250</v>
      </c>
      <c r="C40" s="9">
        <v>18.239999999999998</v>
      </c>
      <c r="D40" s="9">
        <v>32266583000</v>
      </c>
      <c r="E40" s="9">
        <v>1</v>
      </c>
      <c r="F40" s="9" t="s">
        <v>1251</v>
      </c>
      <c r="G40" s="9" t="s">
        <v>985</v>
      </c>
      <c r="H40" s="9">
        <v>17.13</v>
      </c>
      <c r="I40" s="9">
        <v>62.87</v>
      </c>
      <c r="J40" s="9">
        <v>2.92</v>
      </c>
      <c r="K40" s="9">
        <v>96.81</v>
      </c>
      <c r="L40" s="9">
        <v>65537</v>
      </c>
      <c r="M40" s="71">
        <v>0.3989699074074074</v>
      </c>
    </row>
    <row r="41" spans="1:13" x14ac:dyDescent="0.35">
      <c r="A41" s="9" t="s">
        <v>712</v>
      </c>
      <c r="B41" s="9" t="s">
        <v>713</v>
      </c>
      <c r="C41" s="9">
        <v>3.3</v>
      </c>
      <c r="D41" s="9">
        <v>4609172000</v>
      </c>
      <c r="E41" s="9">
        <v>1</v>
      </c>
      <c r="F41" s="9" t="s">
        <v>127</v>
      </c>
      <c r="G41" s="9" t="s">
        <v>985</v>
      </c>
      <c r="H41" s="9">
        <v>32.18</v>
      </c>
      <c r="I41" s="9">
        <v>36.72</v>
      </c>
      <c r="J41" s="9">
        <v>5.64</v>
      </c>
      <c r="K41" s="9">
        <v>80.23</v>
      </c>
      <c r="L41" s="9">
        <v>196613</v>
      </c>
      <c r="M41" s="71">
        <v>0.40539351851851851</v>
      </c>
    </row>
    <row r="42" spans="1:13" x14ac:dyDescent="0.35">
      <c r="A42" s="9" t="s">
        <v>1222</v>
      </c>
      <c r="B42" s="9" t="s">
        <v>1223</v>
      </c>
      <c r="C42" s="9">
        <v>5.62</v>
      </c>
      <c r="D42" s="9">
        <v>5355733800</v>
      </c>
      <c r="E42" s="9">
        <v>1</v>
      </c>
      <c r="F42" s="9" t="s">
        <v>1224</v>
      </c>
      <c r="G42" s="9" t="s">
        <v>985</v>
      </c>
      <c r="H42" s="9">
        <v>18.399999999999999</v>
      </c>
      <c r="I42" s="9">
        <v>13.22</v>
      </c>
      <c r="J42" s="9">
        <v>2.97</v>
      </c>
      <c r="K42" s="9">
        <v>89.03</v>
      </c>
      <c r="L42" s="9">
        <v>65537</v>
      </c>
      <c r="M42" s="71">
        <v>0.4151157407407407</v>
      </c>
    </row>
    <row r="43" spans="1:13" x14ac:dyDescent="0.35">
      <c r="A43" s="9" t="s">
        <v>1316</v>
      </c>
      <c r="B43" s="9" t="s">
        <v>1317</v>
      </c>
      <c r="C43" s="9">
        <v>3.67</v>
      </c>
      <c r="D43" s="9">
        <v>4168862200</v>
      </c>
      <c r="E43" s="9">
        <v>1</v>
      </c>
      <c r="F43" s="9" t="s">
        <v>1318</v>
      </c>
      <c r="G43" s="9" t="s">
        <v>985</v>
      </c>
      <c r="H43" s="9">
        <v>62.6</v>
      </c>
      <c r="I43" s="9">
        <v>29.93</v>
      </c>
      <c r="J43" s="9">
        <v>3.07</v>
      </c>
      <c r="K43" s="9">
        <v>96.91</v>
      </c>
      <c r="L43" s="9">
        <v>65537</v>
      </c>
      <c r="M43" s="71">
        <v>0.60195601851851854</v>
      </c>
    </row>
    <row r="44" spans="1:13" x14ac:dyDescent="0.35">
      <c r="A44" s="9" t="s">
        <v>1319</v>
      </c>
      <c r="B44" s="9" t="s">
        <v>1320</v>
      </c>
      <c r="C44" s="9">
        <v>6.86</v>
      </c>
      <c r="D44" s="9">
        <v>3995900100</v>
      </c>
      <c r="E44" s="9">
        <v>1</v>
      </c>
      <c r="F44" s="9" t="s">
        <v>1321</v>
      </c>
      <c r="G44" s="9" t="s">
        <v>985</v>
      </c>
      <c r="H44" s="9">
        <v>17.809999999999999</v>
      </c>
      <c r="I44" s="9">
        <v>14.41</v>
      </c>
      <c r="J44" s="9">
        <v>6.6</v>
      </c>
      <c r="K44" s="9">
        <v>74.489999999999995</v>
      </c>
      <c r="L44" s="9">
        <v>65537</v>
      </c>
      <c r="M44" s="71">
        <v>0.5916203703703703</v>
      </c>
    </row>
    <row r="45" spans="1:13" x14ac:dyDescent="0.35">
      <c r="A45" s="9" t="s">
        <v>900</v>
      </c>
      <c r="B45" s="9" t="s">
        <v>901</v>
      </c>
      <c r="C45" s="9">
        <v>7.44</v>
      </c>
      <c r="D45" s="9">
        <v>3582317300</v>
      </c>
      <c r="E45" s="9">
        <v>1</v>
      </c>
      <c r="F45" s="9" t="s">
        <v>988</v>
      </c>
      <c r="G45" s="9" t="s">
        <v>985</v>
      </c>
      <c r="H45" s="9">
        <v>3.49</v>
      </c>
      <c r="I45" s="9">
        <v>18.899999999999999</v>
      </c>
      <c r="J45" s="9">
        <v>21.95</v>
      </c>
      <c r="K45" s="9">
        <v>96.92</v>
      </c>
      <c r="L45" s="9">
        <v>196612</v>
      </c>
      <c r="M45" s="71">
        <v>0.59986111111111107</v>
      </c>
    </row>
    <row r="46" spans="1:13" x14ac:dyDescent="0.35">
      <c r="A46" s="9" t="s">
        <v>1246</v>
      </c>
      <c r="B46" s="9" t="s">
        <v>1247</v>
      </c>
      <c r="C46" s="9">
        <v>4.41</v>
      </c>
      <c r="D46" s="9">
        <v>9351365100</v>
      </c>
      <c r="E46" s="9">
        <v>1</v>
      </c>
      <c r="F46" s="9" t="s">
        <v>1248</v>
      </c>
      <c r="G46" s="9" t="s">
        <v>985</v>
      </c>
      <c r="H46" s="9">
        <v>18.670000000000002</v>
      </c>
      <c r="I46" s="9">
        <v>51.74</v>
      </c>
      <c r="J46" s="9">
        <v>5.28</v>
      </c>
      <c r="K46" s="9">
        <v>94.41</v>
      </c>
      <c r="L46" s="9">
        <v>65537</v>
      </c>
      <c r="M46" s="71">
        <v>0.45799768518518519</v>
      </c>
    </row>
    <row r="47" spans="1:13" x14ac:dyDescent="0.35">
      <c r="A47" s="9" t="s">
        <v>503</v>
      </c>
      <c r="B47" s="9" t="s">
        <v>504</v>
      </c>
      <c r="C47" s="9">
        <v>4.3600000000000003</v>
      </c>
      <c r="D47" s="9">
        <v>3908789800</v>
      </c>
      <c r="E47" s="9">
        <v>1</v>
      </c>
      <c r="F47" s="9" t="s">
        <v>1221</v>
      </c>
      <c r="G47" s="9" t="s">
        <v>985</v>
      </c>
      <c r="H47" s="9">
        <v>36.799999999999997</v>
      </c>
      <c r="I47" s="9">
        <v>38.229999999999997</v>
      </c>
      <c r="J47" s="9">
        <v>3.57</v>
      </c>
      <c r="K47" s="9">
        <v>66.72</v>
      </c>
      <c r="L47" s="9">
        <v>65537</v>
      </c>
      <c r="M47" s="71">
        <v>0.41112268518518519</v>
      </c>
    </row>
    <row r="48" spans="1:13" x14ac:dyDescent="0.35">
      <c r="A48" s="9" t="s">
        <v>1243</v>
      </c>
      <c r="B48" s="9" t="s">
        <v>1244</v>
      </c>
      <c r="C48" s="9">
        <v>9.5</v>
      </c>
      <c r="D48" s="9">
        <v>6623786700</v>
      </c>
      <c r="E48" s="9">
        <v>1</v>
      </c>
      <c r="F48" s="9" t="s">
        <v>1245</v>
      </c>
      <c r="G48" s="9" t="s">
        <v>985</v>
      </c>
      <c r="H48" s="9">
        <v>11.12</v>
      </c>
      <c r="I48" s="9">
        <v>47.01</v>
      </c>
      <c r="J48" s="9">
        <v>5.1100000000000003</v>
      </c>
      <c r="K48" s="9">
        <v>82.04</v>
      </c>
      <c r="L48" s="9">
        <v>65537</v>
      </c>
      <c r="M48" s="71">
        <v>0.44237268518518519</v>
      </c>
    </row>
    <row r="49" spans="1:13" x14ac:dyDescent="0.35">
      <c r="A49" s="9" t="s">
        <v>1241</v>
      </c>
      <c r="B49" s="9" t="s">
        <v>1242</v>
      </c>
      <c r="C49" s="9">
        <v>6.34</v>
      </c>
      <c r="D49" s="9">
        <v>3048907400</v>
      </c>
      <c r="E49" s="9">
        <v>1</v>
      </c>
      <c r="F49" s="9" t="s">
        <v>1322</v>
      </c>
      <c r="G49" s="9" t="s">
        <v>985</v>
      </c>
      <c r="H49" s="9">
        <v>25.51</v>
      </c>
      <c r="I49" s="9">
        <v>32.409999999999997</v>
      </c>
      <c r="J49" s="9">
        <v>5.59</v>
      </c>
      <c r="K49" s="9">
        <v>94.64</v>
      </c>
      <c r="L49" s="9">
        <v>65537</v>
      </c>
      <c r="M49" s="71">
        <v>0.46893518518518523</v>
      </c>
    </row>
    <row r="50" spans="1:13" x14ac:dyDescent="0.35">
      <c r="A50" s="9" t="s">
        <v>1236</v>
      </c>
      <c r="B50" s="9" t="s">
        <v>1237</v>
      </c>
      <c r="C50" s="9">
        <v>10.8</v>
      </c>
      <c r="D50" s="9">
        <v>2655177500</v>
      </c>
      <c r="E50" s="9">
        <v>1</v>
      </c>
      <c r="F50" s="9" t="s">
        <v>1238</v>
      </c>
      <c r="G50" s="9" t="s">
        <v>985</v>
      </c>
      <c r="H50" s="9">
        <v>10.07</v>
      </c>
      <c r="I50" s="9">
        <v>39.049999999999997</v>
      </c>
      <c r="J50" s="9">
        <v>7.78</v>
      </c>
      <c r="K50" s="9">
        <v>78.61</v>
      </c>
      <c r="L50" s="9">
        <v>65537</v>
      </c>
      <c r="M50" s="71">
        <v>0.56584490740740734</v>
      </c>
    </row>
    <row r="51" spans="1:13" x14ac:dyDescent="0.35">
      <c r="A51" s="9" t="s">
        <v>1323</v>
      </c>
      <c r="B51" s="9" t="s">
        <v>1324</v>
      </c>
      <c r="C51" s="9">
        <v>18.25</v>
      </c>
      <c r="D51" s="9">
        <v>10826809400</v>
      </c>
      <c r="E51" s="9">
        <v>1</v>
      </c>
      <c r="F51" s="9" t="s">
        <v>1325</v>
      </c>
      <c r="G51" s="9" t="s">
        <v>985</v>
      </c>
      <c r="H51" s="9">
        <v>0.95</v>
      </c>
      <c r="I51" s="9">
        <v>38.24</v>
      </c>
      <c r="J51" s="9">
        <v>16.12</v>
      </c>
      <c r="K51" s="9">
        <v>99.35</v>
      </c>
      <c r="L51" s="9">
        <v>65537</v>
      </c>
      <c r="M51" s="71">
        <v>0.60160879629629627</v>
      </c>
    </row>
    <row r="52" spans="1:13" x14ac:dyDescent="0.35">
      <c r="A52" s="9" t="s">
        <v>1215</v>
      </c>
      <c r="B52" s="9" t="s">
        <v>1216</v>
      </c>
      <c r="C52" s="9">
        <v>4.4000000000000004</v>
      </c>
      <c r="D52" s="9">
        <v>3052585200</v>
      </c>
      <c r="E52" s="9">
        <v>1</v>
      </c>
      <c r="F52" s="9" t="s">
        <v>1217</v>
      </c>
      <c r="G52" s="9" t="s">
        <v>985</v>
      </c>
      <c r="H52" s="9">
        <v>2.21</v>
      </c>
      <c r="I52" s="9">
        <v>9.36</v>
      </c>
      <c r="J52" s="9">
        <v>10.17</v>
      </c>
      <c r="K52" s="9">
        <v>76.81</v>
      </c>
      <c r="L52" s="9">
        <v>65537</v>
      </c>
      <c r="M52" s="71">
        <v>0.4458449074074074</v>
      </c>
    </row>
    <row r="53" spans="1:13" x14ac:dyDescent="0.35">
      <c r="A53" s="9" t="s">
        <v>1218</v>
      </c>
      <c r="B53" s="9" t="s">
        <v>1219</v>
      </c>
      <c r="C53" s="9">
        <v>9.48</v>
      </c>
      <c r="D53" s="9">
        <v>1884651400</v>
      </c>
      <c r="E53" s="9">
        <v>1</v>
      </c>
      <c r="F53" s="9" t="s">
        <v>1220</v>
      </c>
      <c r="G53" s="9" t="s">
        <v>985</v>
      </c>
      <c r="H53" s="9">
        <v>1.1299999999999999</v>
      </c>
      <c r="I53" s="9">
        <v>27.69</v>
      </c>
      <c r="J53" s="9">
        <v>22.37</v>
      </c>
      <c r="K53" s="9">
        <v>100</v>
      </c>
      <c r="L53" s="9">
        <v>65537</v>
      </c>
      <c r="M53" s="71">
        <v>0.5960185185185185</v>
      </c>
    </row>
    <row r="54" spans="1:13" x14ac:dyDescent="0.35">
      <c r="A54" s="9" t="s">
        <v>969</v>
      </c>
      <c r="B54" s="9" t="s">
        <v>968</v>
      </c>
      <c r="C54" s="9">
        <v>13.08</v>
      </c>
      <c r="D54" s="9">
        <v>3021480000</v>
      </c>
      <c r="E54" s="9">
        <v>1</v>
      </c>
      <c r="F54" s="9" t="s">
        <v>1211</v>
      </c>
      <c r="G54" s="9" t="s">
        <v>985</v>
      </c>
      <c r="H54" s="9">
        <v>65.650000000000006</v>
      </c>
      <c r="I54" s="9">
        <v>42.79</v>
      </c>
      <c r="J54" s="9">
        <v>5.24</v>
      </c>
      <c r="K54" s="9">
        <v>78.989999999999995</v>
      </c>
      <c r="L54" s="9">
        <v>131076</v>
      </c>
      <c r="M54" s="71">
        <v>0.40556712962962965</v>
      </c>
    </row>
    <row r="55" spans="1:13" x14ac:dyDescent="0.35">
      <c r="A55" s="9" t="s">
        <v>1233</v>
      </c>
      <c r="B55" s="9" t="s">
        <v>1234</v>
      </c>
      <c r="C55" s="9">
        <v>11.3</v>
      </c>
      <c r="D55" s="9">
        <v>8431921900</v>
      </c>
      <c r="E55" s="9">
        <v>1</v>
      </c>
      <c r="F55" s="9" t="s">
        <v>1235</v>
      </c>
      <c r="G55" s="9" t="s">
        <v>987</v>
      </c>
      <c r="H55" s="9">
        <v>66.2</v>
      </c>
      <c r="I55" s="9">
        <v>41.17</v>
      </c>
      <c r="J55" s="9">
        <v>1.73</v>
      </c>
      <c r="K55" s="9">
        <v>94.89</v>
      </c>
      <c r="L55" s="9">
        <v>65537</v>
      </c>
      <c r="M55" s="71">
        <v>0.39583333333333331</v>
      </c>
    </row>
    <row r="56" spans="1:13" x14ac:dyDescent="0.35">
      <c r="A56" s="9" t="s">
        <v>957</v>
      </c>
      <c r="B56" s="9" t="s">
        <v>956</v>
      </c>
      <c r="C56" s="9">
        <v>4.3</v>
      </c>
      <c r="D56" s="9">
        <v>5742995300</v>
      </c>
      <c r="E56" s="9">
        <v>1</v>
      </c>
      <c r="F56" s="9" t="s">
        <v>955</v>
      </c>
      <c r="G56" s="9" t="s">
        <v>985</v>
      </c>
      <c r="H56" s="9">
        <v>13.54</v>
      </c>
      <c r="I56" s="9">
        <v>33.869999999999997</v>
      </c>
      <c r="J56" s="9">
        <v>6.57</v>
      </c>
      <c r="K56" s="9">
        <v>99.77</v>
      </c>
      <c r="L56" s="9">
        <v>131076</v>
      </c>
      <c r="M56" s="71">
        <v>0.44966435185185188</v>
      </c>
    </row>
    <row r="57" spans="1:13" x14ac:dyDescent="0.35">
      <c r="A57" s="9" t="s">
        <v>1212</v>
      </c>
      <c r="B57" s="9" t="s">
        <v>1213</v>
      </c>
      <c r="C57" s="9">
        <v>6.71</v>
      </c>
      <c r="D57" s="9">
        <v>4608734200</v>
      </c>
      <c r="E57" s="9">
        <v>1</v>
      </c>
      <c r="F57" s="9" t="s">
        <v>1214</v>
      </c>
      <c r="G57" s="9" t="s">
        <v>985</v>
      </c>
      <c r="H57" s="9">
        <v>33.71</v>
      </c>
      <c r="I57" s="9">
        <v>0.44</v>
      </c>
      <c r="J57" s="9">
        <v>1.88</v>
      </c>
      <c r="K57" s="9">
        <v>63.86</v>
      </c>
      <c r="L57" s="9">
        <v>65537</v>
      </c>
      <c r="M57" s="71">
        <v>0.40452546296296293</v>
      </c>
    </row>
    <row r="58" spans="1:13" x14ac:dyDescent="0.35">
      <c r="A58" s="9" t="s">
        <v>1326</v>
      </c>
      <c r="B58" s="9" t="s">
        <v>1327</v>
      </c>
      <c r="C58" s="9">
        <v>12.85</v>
      </c>
      <c r="D58" s="9">
        <v>11772851700</v>
      </c>
      <c r="E58" s="9">
        <v>1</v>
      </c>
      <c r="F58" s="9" t="s">
        <v>1328</v>
      </c>
      <c r="G58" s="9" t="s">
        <v>985</v>
      </c>
      <c r="H58" s="9">
        <v>9.7899999999999991</v>
      </c>
      <c r="I58" s="9">
        <v>53.33</v>
      </c>
      <c r="J58" s="9">
        <v>4.25</v>
      </c>
      <c r="K58" s="9">
        <v>81.42</v>
      </c>
      <c r="L58" s="9">
        <v>65537</v>
      </c>
      <c r="M58" s="71">
        <v>0.57863425925925926</v>
      </c>
    </row>
    <row r="59" spans="1:13" x14ac:dyDescent="0.35">
      <c r="A59" s="9" t="s">
        <v>1296</v>
      </c>
      <c r="B59" s="9" t="s">
        <v>1297</v>
      </c>
      <c r="C59" s="9">
        <v>39.78</v>
      </c>
      <c r="D59" s="9">
        <v>1172356380</v>
      </c>
      <c r="E59" s="9">
        <v>1</v>
      </c>
      <c r="F59" s="9" t="s">
        <v>1298</v>
      </c>
      <c r="G59" s="9" t="s">
        <v>985</v>
      </c>
      <c r="H59" s="9">
        <v>35.28</v>
      </c>
      <c r="I59" s="9">
        <v>0.49</v>
      </c>
      <c r="J59" s="9">
        <v>15.04</v>
      </c>
      <c r="K59" s="9">
        <v>71.510000000000005</v>
      </c>
      <c r="L59" s="9">
        <v>65537</v>
      </c>
      <c r="M59" s="71">
        <v>0.39983796296296298</v>
      </c>
    </row>
    <row r="60" spans="1:13" x14ac:dyDescent="0.35">
      <c r="A60" s="9" t="s">
        <v>733</v>
      </c>
      <c r="B60" s="9" t="s">
        <v>734</v>
      </c>
      <c r="C60" s="9">
        <v>9.7799999999999994</v>
      </c>
      <c r="D60" s="9">
        <v>5720219300</v>
      </c>
      <c r="E60" s="9">
        <v>1</v>
      </c>
      <c r="F60" s="9" t="s">
        <v>1232</v>
      </c>
      <c r="G60" s="9" t="s">
        <v>985</v>
      </c>
      <c r="H60" s="9">
        <v>8.42</v>
      </c>
      <c r="I60" s="9">
        <v>45.4</v>
      </c>
      <c r="J60" s="9">
        <v>6.1</v>
      </c>
      <c r="K60" s="9">
        <v>92.61</v>
      </c>
      <c r="L60" s="9">
        <v>65537</v>
      </c>
      <c r="M60" s="71">
        <v>0.46806712962962965</v>
      </c>
    </row>
    <row r="61" spans="1:13" x14ac:dyDescent="0.35">
      <c r="A61" s="9" t="s">
        <v>1329</v>
      </c>
      <c r="B61" s="9" t="s">
        <v>1330</v>
      </c>
      <c r="C61" s="9">
        <v>4.54</v>
      </c>
      <c r="D61" s="9">
        <v>13221580800</v>
      </c>
      <c r="E61" s="9">
        <v>1</v>
      </c>
      <c r="F61" s="9" t="s">
        <v>1331</v>
      </c>
      <c r="G61" s="9" t="s">
        <v>985</v>
      </c>
      <c r="H61" s="9">
        <v>24.93</v>
      </c>
      <c r="I61" s="9">
        <v>62.32</v>
      </c>
      <c r="J61" s="9">
        <v>4.2699999999999996</v>
      </c>
      <c r="K61" s="9">
        <v>100</v>
      </c>
      <c r="L61" s="9">
        <v>65537</v>
      </c>
      <c r="M61" s="71">
        <v>0.59653935185185192</v>
      </c>
    </row>
    <row r="62" spans="1:13" x14ac:dyDescent="0.35">
      <c r="A62" s="9" t="s">
        <v>1208</v>
      </c>
      <c r="B62" s="9" t="s">
        <v>1209</v>
      </c>
      <c r="C62" s="9">
        <v>4.29</v>
      </c>
      <c r="D62" s="9">
        <v>4253453800</v>
      </c>
      <c r="E62" s="9">
        <v>1</v>
      </c>
      <c r="F62" s="9" t="s">
        <v>1210</v>
      </c>
      <c r="G62" s="9" t="s">
        <v>985</v>
      </c>
      <c r="H62" s="9">
        <v>18.38</v>
      </c>
      <c r="I62" s="9">
        <v>42.65</v>
      </c>
      <c r="J62" s="9">
        <v>5.6</v>
      </c>
      <c r="K62" s="9">
        <v>89.62</v>
      </c>
      <c r="L62" s="9">
        <v>65537</v>
      </c>
      <c r="M62" s="71">
        <v>0.424837962962963</v>
      </c>
    </row>
    <row r="63" spans="1:13" x14ac:dyDescent="0.35">
      <c r="A63" s="9" t="s">
        <v>1229</v>
      </c>
      <c r="B63" s="9" t="s">
        <v>1230</v>
      </c>
      <c r="C63" s="9">
        <v>4.1399999999999997</v>
      </c>
      <c r="D63" s="9">
        <v>10070629400</v>
      </c>
      <c r="E63" s="9">
        <v>1</v>
      </c>
      <c r="F63" s="9" t="s">
        <v>1231</v>
      </c>
      <c r="G63" s="9" t="s">
        <v>985</v>
      </c>
      <c r="H63" s="9">
        <v>20.170000000000002</v>
      </c>
      <c r="I63" s="9">
        <v>68.599999999999994</v>
      </c>
      <c r="J63" s="9">
        <v>1.94</v>
      </c>
      <c r="K63" s="9">
        <v>100</v>
      </c>
      <c r="L63" s="9">
        <v>65537</v>
      </c>
      <c r="M63" s="71">
        <v>0.40608796296296296</v>
      </c>
    </row>
    <row r="64" spans="1:13" x14ac:dyDescent="0.35">
      <c r="A64" s="9" t="s">
        <v>997</v>
      </c>
      <c r="B64" s="9" t="s">
        <v>998</v>
      </c>
      <c r="C64" s="9">
        <v>5.48</v>
      </c>
      <c r="D64" s="9">
        <v>6236480900</v>
      </c>
      <c r="E64" s="9">
        <v>1</v>
      </c>
      <c r="F64" s="9" t="s">
        <v>696</v>
      </c>
      <c r="G64" s="9" t="s">
        <v>985</v>
      </c>
      <c r="H64" s="9">
        <v>7.71</v>
      </c>
      <c r="I64" s="9">
        <v>66.260000000000005</v>
      </c>
      <c r="J64" s="9">
        <v>8.7100000000000009</v>
      </c>
      <c r="K64" s="9">
        <v>80.569999999999993</v>
      </c>
      <c r="L64" s="9">
        <v>65537</v>
      </c>
      <c r="M64" s="71">
        <v>0.6193981481481482</v>
      </c>
    </row>
    <row r="65" spans="1:13" x14ac:dyDescent="0.35">
      <c r="A65" s="9" t="s">
        <v>689</v>
      </c>
      <c r="B65" s="9" t="s">
        <v>690</v>
      </c>
      <c r="C65" s="9">
        <v>5.05</v>
      </c>
      <c r="D65" s="9">
        <v>3420937600</v>
      </c>
      <c r="E65" s="9">
        <v>1</v>
      </c>
      <c r="F65" s="9" t="s">
        <v>691</v>
      </c>
      <c r="G65" s="9" t="s">
        <v>985</v>
      </c>
      <c r="H65" s="9">
        <v>51.86</v>
      </c>
      <c r="I65" s="9">
        <v>19.96</v>
      </c>
      <c r="J65" s="9">
        <v>7.25</v>
      </c>
      <c r="K65" s="9">
        <v>91.77</v>
      </c>
      <c r="L65" s="9">
        <v>65537</v>
      </c>
      <c r="M65" s="71">
        <v>0.42310185185185184</v>
      </c>
    </row>
    <row r="66" spans="1:13" x14ac:dyDescent="0.35">
      <c r="A66" s="9" t="s">
        <v>1299</v>
      </c>
      <c r="B66" s="9" t="s">
        <v>1300</v>
      </c>
      <c r="C66" s="9">
        <v>19.25</v>
      </c>
      <c r="D66" s="9">
        <v>831474240</v>
      </c>
      <c r="E66" s="9">
        <v>1</v>
      </c>
      <c r="F66" s="9" t="s">
        <v>1301</v>
      </c>
      <c r="G66" s="9" t="s">
        <v>985</v>
      </c>
      <c r="H66" s="9">
        <v>14.87</v>
      </c>
      <c r="I66" s="9">
        <v>0.36</v>
      </c>
      <c r="J66" s="9">
        <v>24.72</v>
      </c>
      <c r="K66" s="9">
        <v>96.74</v>
      </c>
      <c r="L66" s="9">
        <v>65537</v>
      </c>
      <c r="M66" s="71">
        <v>0.44150462962962966</v>
      </c>
    </row>
    <row r="67" spans="1:13" x14ac:dyDescent="0.35">
      <c r="A67" s="9" t="s">
        <v>1275</v>
      </c>
      <c r="B67" s="9" t="s">
        <v>1276</v>
      </c>
      <c r="C67" s="9">
        <v>11.4</v>
      </c>
      <c r="D67" s="9">
        <v>1613918900</v>
      </c>
      <c r="E67" s="9">
        <v>1</v>
      </c>
      <c r="F67" s="9" t="s">
        <v>1277</v>
      </c>
      <c r="G67" s="9" t="s">
        <v>985</v>
      </c>
      <c r="H67" s="9">
        <v>152.94999999999999</v>
      </c>
      <c r="I67" s="9">
        <v>5.97</v>
      </c>
      <c r="J67" s="9">
        <v>1.87</v>
      </c>
      <c r="K67" s="9">
        <v>49.51</v>
      </c>
      <c r="L67" s="9">
        <v>65537</v>
      </c>
      <c r="M67" s="71">
        <v>0.42935185185185182</v>
      </c>
    </row>
    <row r="68" spans="1:13" x14ac:dyDescent="0.35">
      <c r="A68" s="9" t="s">
        <v>1281</v>
      </c>
      <c r="B68" s="9" t="s">
        <v>1282</v>
      </c>
      <c r="C68" s="9">
        <v>10.59</v>
      </c>
      <c r="D68" s="9">
        <v>4537306700</v>
      </c>
      <c r="E68" s="9">
        <v>1</v>
      </c>
      <c r="F68" s="9" t="s">
        <v>1283</v>
      </c>
      <c r="G68" s="9" t="s">
        <v>987</v>
      </c>
      <c r="H68" s="9">
        <v>859.15</v>
      </c>
      <c r="I68" s="9">
        <v>57.58</v>
      </c>
      <c r="J68" s="9">
        <v>0.36</v>
      </c>
      <c r="K68" s="9">
        <v>88.74</v>
      </c>
      <c r="L68" s="9">
        <v>65537</v>
      </c>
      <c r="M68" s="71">
        <v>0.39583333333333331</v>
      </c>
    </row>
    <row r="69" spans="1:13" x14ac:dyDescent="0.35">
      <c r="A69" s="9" t="s">
        <v>945</v>
      </c>
      <c r="B69" s="9" t="s">
        <v>944</v>
      </c>
      <c r="C69" s="9">
        <v>14.77</v>
      </c>
      <c r="D69" s="9">
        <v>2226453400</v>
      </c>
      <c r="E69" s="9">
        <v>1</v>
      </c>
      <c r="F69" s="9" t="s">
        <v>943</v>
      </c>
      <c r="G69" s="9" t="s">
        <v>985</v>
      </c>
      <c r="H69" s="9">
        <v>32.89</v>
      </c>
      <c r="I69" s="9">
        <v>5.22</v>
      </c>
      <c r="J69" s="9">
        <v>5.37</v>
      </c>
      <c r="K69" s="9">
        <v>81.53</v>
      </c>
      <c r="L69" s="9">
        <v>131076</v>
      </c>
      <c r="M69" s="71">
        <v>0.40938657407407408</v>
      </c>
    </row>
    <row r="70" spans="1:13" x14ac:dyDescent="0.35">
      <c r="A70" s="9" t="s">
        <v>1273</v>
      </c>
      <c r="B70" s="9" t="s">
        <v>1274</v>
      </c>
      <c r="C70" s="9">
        <v>13.64</v>
      </c>
      <c r="D70" s="9">
        <v>3734632000</v>
      </c>
      <c r="E70" s="9">
        <v>1</v>
      </c>
      <c r="F70" s="9" t="s">
        <v>740</v>
      </c>
      <c r="G70" s="9" t="s">
        <v>985</v>
      </c>
      <c r="H70" s="9">
        <v>55.12</v>
      </c>
      <c r="I70" s="9">
        <v>22.47</v>
      </c>
      <c r="J70" s="9">
        <v>2.25</v>
      </c>
      <c r="K70" s="9">
        <v>92.45</v>
      </c>
      <c r="L70" s="9">
        <v>65537</v>
      </c>
      <c r="M70" s="71">
        <v>0.41650462962962959</v>
      </c>
    </row>
    <row r="71" spans="1:13" x14ac:dyDescent="0.35">
      <c r="A71" s="9" t="s">
        <v>1284</v>
      </c>
      <c r="B71" s="9" t="s">
        <v>1285</v>
      </c>
      <c r="C71" s="9">
        <v>36.44</v>
      </c>
      <c r="D71" s="9">
        <v>4554777700</v>
      </c>
      <c r="E71" s="9">
        <v>1</v>
      </c>
      <c r="F71" s="9" t="s">
        <v>1286</v>
      </c>
      <c r="G71" s="9" t="s">
        <v>985</v>
      </c>
      <c r="H71" s="9">
        <v>16.02</v>
      </c>
      <c r="I71" s="9">
        <v>20.63</v>
      </c>
      <c r="J71" s="9">
        <v>7.24</v>
      </c>
      <c r="K71" s="9">
        <v>100</v>
      </c>
      <c r="L71" s="9">
        <v>65537</v>
      </c>
      <c r="M71" s="71">
        <v>0.44983796296296297</v>
      </c>
    </row>
    <row r="72" spans="1:13" x14ac:dyDescent="0.35">
      <c r="A72" s="9" t="s">
        <v>1332</v>
      </c>
      <c r="B72" s="9" t="s">
        <v>1333</v>
      </c>
      <c r="C72" s="9">
        <v>24.04</v>
      </c>
      <c r="D72" s="9">
        <v>2401115200</v>
      </c>
      <c r="E72" s="9">
        <v>1</v>
      </c>
      <c r="F72" s="9" t="s">
        <v>1334</v>
      </c>
      <c r="G72" s="9" t="s">
        <v>985</v>
      </c>
      <c r="H72" s="9">
        <v>10.15</v>
      </c>
      <c r="I72" s="9">
        <v>57.39</v>
      </c>
      <c r="J72" s="9">
        <v>5.72</v>
      </c>
      <c r="K72" s="9">
        <v>100</v>
      </c>
      <c r="L72" s="9">
        <v>65537</v>
      </c>
      <c r="M72" s="71">
        <v>0.60317129629629629</v>
      </c>
    </row>
    <row r="73" spans="1:13" x14ac:dyDescent="0.35">
      <c r="A73" s="9" t="s">
        <v>396</v>
      </c>
      <c r="B73" s="9" t="s">
        <v>397</v>
      </c>
      <c r="C73" s="9">
        <v>15.68</v>
      </c>
      <c r="D73" s="9">
        <v>2543454400</v>
      </c>
      <c r="E73" s="9">
        <v>1</v>
      </c>
      <c r="F73" s="9" t="s">
        <v>1220</v>
      </c>
      <c r="G73" s="9" t="s">
        <v>985</v>
      </c>
      <c r="H73" s="9">
        <v>40.6</v>
      </c>
      <c r="I73" s="9">
        <v>2.6</v>
      </c>
      <c r="J73" s="9">
        <v>5.36</v>
      </c>
      <c r="K73" s="9">
        <v>88.07</v>
      </c>
      <c r="L73" s="9">
        <v>65537</v>
      </c>
      <c r="M73" s="71">
        <v>0.46181712962962962</v>
      </c>
    </row>
    <row r="74" spans="1:13" x14ac:dyDescent="0.35">
      <c r="A74" s="9" t="s">
        <v>1261</v>
      </c>
      <c r="B74" s="9" t="s">
        <v>1262</v>
      </c>
      <c r="C74" s="9">
        <v>3.39</v>
      </c>
      <c r="D74" s="9">
        <v>1966436700</v>
      </c>
      <c r="E74" s="9">
        <v>1</v>
      </c>
      <c r="F74" s="9" t="s">
        <v>1263</v>
      </c>
      <c r="G74" s="9" t="s">
        <v>985</v>
      </c>
      <c r="H74" s="9">
        <v>3.64</v>
      </c>
      <c r="I74" s="9">
        <v>10.84</v>
      </c>
      <c r="J74" s="9">
        <v>11.13</v>
      </c>
      <c r="K74" s="9">
        <v>83.81</v>
      </c>
      <c r="L74" s="9">
        <v>65537</v>
      </c>
      <c r="M74" s="71">
        <v>0.6063425925925926</v>
      </c>
    </row>
    <row r="75" spans="1:13" x14ac:dyDescent="0.35">
      <c r="A75" s="9" t="s">
        <v>1271</v>
      </c>
      <c r="B75" s="9" t="s">
        <v>1272</v>
      </c>
      <c r="C75" s="9">
        <v>7.89</v>
      </c>
      <c r="D75" s="9">
        <v>7569666000</v>
      </c>
      <c r="E75" s="9">
        <v>1</v>
      </c>
      <c r="F75" s="9" t="s">
        <v>1335</v>
      </c>
      <c r="G75" s="9" t="s">
        <v>985</v>
      </c>
      <c r="H75" s="9">
        <v>8.7899999999999991</v>
      </c>
      <c r="I75" s="9">
        <v>8.89</v>
      </c>
      <c r="J75" s="9">
        <v>6.35</v>
      </c>
      <c r="K75" s="9">
        <v>85.99</v>
      </c>
      <c r="L75" s="9">
        <v>65537</v>
      </c>
      <c r="M75" s="71">
        <v>0.59266203703703701</v>
      </c>
    </row>
    <row r="76" spans="1:13" x14ac:dyDescent="0.35">
      <c r="A76" s="9" t="s">
        <v>1257</v>
      </c>
      <c r="B76" s="9" t="s">
        <v>1258</v>
      </c>
      <c r="C76" s="9">
        <v>5.64</v>
      </c>
      <c r="D76" s="9">
        <v>5500755100</v>
      </c>
      <c r="E76" s="9">
        <v>1</v>
      </c>
      <c r="F76" s="9" t="s">
        <v>1259</v>
      </c>
      <c r="G76" s="9" t="s">
        <v>985</v>
      </c>
      <c r="H76" s="9">
        <v>12.47</v>
      </c>
      <c r="I76" s="9">
        <v>0</v>
      </c>
      <c r="J76" s="9">
        <v>6.71</v>
      </c>
      <c r="K76" s="9">
        <v>99.86</v>
      </c>
      <c r="L76" s="9">
        <v>65537</v>
      </c>
      <c r="M76" s="71">
        <v>0.41650462962962959</v>
      </c>
    </row>
    <row r="77" spans="1:13" x14ac:dyDescent="0.35">
      <c r="A77" s="9" t="s">
        <v>547</v>
      </c>
      <c r="B77" s="9" t="s">
        <v>548</v>
      </c>
      <c r="C77" s="9">
        <v>13.88</v>
      </c>
      <c r="D77" s="9">
        <v>3401849200</v>
      </c>
      <c r="E77" s="9">
        <v>1</v>
      </c>
      <c r="F77" s="9" t="s">
        <v>1270</v>
      </c>
      <c r="G77" s="9" t="s">
        <v>987</v>
      </c>
      <c r="H77" s="9">
        <v>259.39</v>
      </c>
      <c r="I77" s="9">
        <v>24.07</v>
      </c>
      <c r="J77" s="9">
        <v>1.62</v>
      </c>
      <c r="K77" s="9">
        <v>89.73</v>
      </c>
      <c r="L77" s="9">
        <v>65537</v>
      </c>
      <c r="M77" s="71">
        <v>0.39583333333333331</v>
      </c>
    </row>
    <row r="78" spans="1:13" x14ac:dyDescent="0.35">
      <c r="A78" s="9" t="s">
        <v>1267</v>
      </c>
      <c r="B78" s="9" t="s">
        <v>1268</v>
      </c>
      <c r="C78" s="9">
        <v>5.53</v>
      </c>
      <c r="D78" s="9">
        <v>6366649800</v>
      </c>
      <c r="E78" s="9">
        <v>1</v>
      </c>
      <c r="F78" s="9" t="s">
        <v>1269</v>
      </c>
      <c r="G78" s="9" t="s">
        <v>985</v>
      </c>
      <c r="H78" s="9">
        <v>14.45</v>
      </c>
      <c r="I78" s="9">
        <v>51.38</v>
      </c>
      <c r="J78" s="9">
        <v>5.12</v>
      </c>
      <c r="K78" s="9">
        <v>64.87</v>
      </c>
      <c r="L78" s="9">
        <v>65537</v>
      </c>
      <c r="M78" s="71">
        <v>0.43108796296296298</v>
      </c>
    </row>
    <row r="79" spans="1:13" x14ac:dyDescent="0.35">
      <c r="A79" s="9" t="s">
        <v>1336</v>
      </c>
      <c r="B79" s="9" t="s">
        <v>1337</v>
      </c>
      <c r="C79" s="9">
        <v>16.399999999999999</v>
      </c>
      <c r="D79" s="9">
        <v>22436588000</v>
      </c>
      <c r="E79" s="9">
        <v>1</v>
      </c>
      <c r="F79" s="9" t="s">
        <v>1338</v>
      </c>
      <c r="G79" s="9" t="s">
        <v>985</v>
      </c>
      <c r="H79" s="9">
        <v>6.46</v>
      </c>
      <c r="I79" s="9">
        <v>44.56</v>
      </c>
      <c r="J79" s="9">
        <v>7.13</v>
      </c>
      <c r="K79" s="9">
        <v>89.39</v>
      </c>
      <c r="L79" s="9">
        <v>65537</v>
      </c>
      <c r="M79" s="71">
        <v>0.5524768518518518</v>
      </c>
    </row>
    <row r="80" spans="1:13" x14ac:dyDescent="0.35">
      <c r="A80" s="9" t="s">
        <v>1264</v>
      </c>
      <c r="B80" s="9" t="s">
        <v>1265</v>
      </c>
      <c r="C80" s="9">
        <v>10.53</v>
      </c>
      <c r="D80" s="9">
        <v>8453464500</v>
      </c>
      <c r="E80" s="9">
        <v>1</v>
      </c>
      <c r="F80" s="9" t="s">
        <v>1266</v>
      </c>
      <c r="G80" s="9" t="s">
        <v>985</v>
      </c>
      <c r="H80" s="9">
        <v>5.82</v>
      </c>
      <c r="I80" s="9">
        <v>54.64</v>
      </c>
      <c r="J80" s="9">
        <v>5.4</v>
      </c>
      <c r="K80" s="9">
        <v>71.42</v>
      </c>
      <c r="L80" s="9">
        <v>65537</v>
      </c>
      <c r="M80" s="71">
        <v>0.55456018518518524</v>
      </c>
    </row>
    <row r="81" spans="1:13" x14ac:dyDescent="0.35">
      <c r="A81" s="9" t="s">
        <v>1339</v>
      </c>
      <c r="B81" s="9" t="s">
        <v>1340</v>
      </c>
      <c r="C81" s="9">
        <v>23.34</v>
      </c>
      <c r="D81" s="9">
        <v>6796608000</v>
      </c>
      <c r="E81" s="9">
        <v>1</v>
      </c>
      <c r="F81" s="9" t="s">
        <v>1341</v>
      </c>
      <c r="G81" s="9" t="s">
        <v>985</v>
      </c>
      <c r="H81" s="9">
        <v>5.48</v>
      </c>
      <c r="I81" s="9">
        <v>40.74</v>
      </c>
      <c r="J81" s="9">
        <v>13.53</v>
      </c>
      <c r="K81" s="9">
        <v>75.239999999999995</v>
      </c>
      <c r="L81" s="9">
        <v>65537</v>
      </c>
      <c r="M81" s="71">
        <v>0.55959490740740747</v>
      </c>
    </row>
    <row r="82" spans="1:13" x14ac:dyDescent="0.35">
      <c r="A82" s="9" t="s">
        <v>1239</v>
      </c>
      <c r="B82" s="9" t="s">
        <v>1240</v>
      </c>
      <c r="C82" s="9">
        <v>2.94</v>
      </c>
      <c r="D82" s="9">
        <v>7538027700</v>
      </c>
      <c r="E82" s="9">
        <v>1</v>
      </c>
      <c r="F82" s="9" t="s">
        <v>1342</v>
      </c>
      <c r="G82" s="9" t="s">
        <v>985</v>
      </c>
      <c r="H82" s="9">
        <v>16.809999999999999</v>
      </c>
      <c r="I82" s="9">
        <v>36.83</v>
      </c>
      <c r="J82" s="9">
        <v>4.38</v>
      </c>
      <c r="K82" s="9">
        <v>100</v>
      </c>
      <c r="L82" s="9">
        <v>65537</v>
      </c>
      <c r="M82" s="71">
        <v>0.47834490740740737</v>
      </c>
    </row>
    <row r="83" spans="1:13" x14ac:dyDescent="0.35">
      <c r="A83" s="9" t="s">
        <v>1343</v>
      </c>
      <c r="B83" s="9" t="s">
        <v>1344</v>
      </c>
      <c r="C83" s="9">
        <v>17.5</v>
      </c>
      <c r="D83" s="9">
        <v>9453751700</v>
      </c>
      <c r="E83" s="9">
        <v>1</v>
      </c>
      <c r="F83" s="9" t="s">
        <v>1345</v>
      </c>
      <c r="G83" s="9" t="s">
        <v>985</v>
      </c>
      <c r="H83" s="9">
        <v>3.41</v>
      </c>
      <c r="I83" s="9">
        <v>44.07</v>
      </c>
      <c r="J83" s="9">
        <v>7.45</v>
      </c>
      <c r="K83" s="9">
        <v>89.7</v>
      </c>
      <c r="L83" s="9">
        <v>65537</v>
      </c>
      <c r="M83" s="71">
        <v>0.5916203703703703</v>
      </c>
    </row>
    <row r="84" spans="1:13" x14ac:dyDescent="0.35">
      <c r="A84" s="9" t="s">
        <v>1346</v>
      </c>
      <c r="B84" s="9" t="s">
        <v>1347</v>
      </c>
      <c r="C84" s="9">
        <v>3.76</v>
      </c>
      <c r="D84" s="9">
        <v>6054035800</v>
      </c>
      <c r="E84" s="9">
        <v>1</v>
      </c>
      <c r="F84" s="9" t="s">
        <v>623</v>
      </c>
      <c r="G84" s="9" t="s">
        <v>985</v>
      </c>
      <c r="H84" s="9">
        <v>0.78</v>
      </c>
      <c r="I84" s="9">
        <v>55.94</v>
      </c>
      <c r="J84" s="9">
        <v>9.42</v>
      </c>
      <c r="K84" s="9">
        <v>100</v>
      </c>
      <c r="L84" s="9">
        <v>65537</v>
      </c>
      <c r="M84" s="71">
        <v>0.60317129629629629</v>
      </c>
    </row>
    <row r="85" spans="1:13" x14ac:dyDescent="0.35">
      <c r="A85" s="9" t="s">
        <v>1348</v>
      </c>
      <c r="B85" s="9" t="s">
        <v>1349</v>
      </c>
      <c r="C85" s="9">
        <v>21.68</v>
      </c>
      <c r="D85" s="9">
        <v>776452200</v>
      </c>
      <c r="E85" s="9">
        <v>0</v>
      </c>
      <c r="F85" s="9" t="s">
        <v>1350</v>
      </c>
      <c r="G85" s="9" t="s">
        <v>985</v>
      </c>
      <c r="H85" s="9">
        <v>1.1000000000000001</v>
      </c>
      <c r="I85" s="9">
        <v>3.63</v>
      </c>
      <c r="J85" s="9">
        <v>33.31</v>
      </c>
      <c r="K85" s="9">
        <v>100</v>
      </c>
      <c r="L85" s="9">
        <v>65537</v>
      </c>
      <c r="M85" s="71">
        <v>0.62201388888888887</v>
      </c>
    </row>
    <row r="86" spans="1:13" x14ac:dyDescent="0.35">
      <c r="A86" s="9" t="s">
        <v>777</v>
      </c>
      <c r="B86" s="9" t="s">
        <v>778</v>
      </c>
      <c r="C86" s="9">
        <v>8.64</v>
      </c>
      <c r="D86" s="9">
        <v>3693549000</v>
      </c>
      <c r="E86" s="9">
        <v>0</v>
      </c>
      <c r="F86" s="9" t="s">
        <v>696</v>
      </c>
      <c r="G86" s="9" t="s">
        <v>985</v>
      </c>
      <c r="H86" s="9">
        <v>0.25</v>
      </c>
      <c r="I86" s="9">
        <v>60.2</v>
      </c>
      <c r="J86" s="9">
        <v>21.53</v>
      </c>
      <c r="K86" s="9">
        <v>100</v>
      </c>
      <c r="L86" s="9">
        <v>327685</v>
      </c>
      <c r="M86" s="71">
        <v>0.6225694444444444</v>
      </c>
    </row>
    <row r="87" spans="1:13" x14ac:dyDescent="0.35">
      <c r="A87" s="9" t="s">
        <v>1351</v>
      </c>
      <c r="B87" s="9" t="s">
        <v>1352</v>
      </c>
      <c r="C87" s="9">
        <v>10.46</v>
      </c>
      <c r="D87" s="9">
        <v>6716138500</v>
      </c>
      <c r="E87" s="9">
        <v>0</v>
      </c>
      <c r="F87" s="9" t="s">
        <v>696</v>
      </c>
      <c r="G87" s="9" t="s">
        <v>985</v>
      </c>
      <c r="H87" s="9">
        <v>4.78</v>
      </c>
      <c r="I87" s="9">
        <v>69.94</v>
      </c>
      <c r="J87" s="9">
        <v>5.63</v>
      </c>
      <c r="K87" s="9">
        <v>80.05</v>
      </c>
      <c r="L87" s="9">
        <v>65537</v>
      </c>
      <c r="M87" s="71">
        <v>0.6216666666666667</v>
      </c>
    </row>
    <row r="88" spans="1:13" x14ac:dyDescent="0.35">
      <c r="A88" s="9" t="s">
        <v>1353</v>
      </c>
      <c r="B88" s="9" t="s">
        <v>1354</v>
      </c>
      <c r="C88" s="9">
        <v>11.12</v>
      </c>
      <c r="D88" s="9">
        <v>9794696600</v>
      </c>
      <c r="E88" s="9">
        <v>0</v>
      </c>
      <c r="F88" s="9" t="s">
        <v>696</v>
      </c>
      <c r="G88" s="9" t="s">
        <v>985</v>
      </c>
      <c r="H88" s="9">
        <v>1.82</v>
      </c>
      <c r="I88" s="9">
        <v>66.66</v>
      </c>
      <c r="J88" s="9">
        <v>5.49</v>
      </c>
      <c r="K88" s="9">
        <v>60.26</v>
      </c>
      <c r="L88" s="9">
        <v>65537</v>
      </c>
      <c r="M88" s="71">
        <v>0.6216666666666667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C6E39-8ACC-4D61-B8B4-66227D6C8708}">
  <dimension ref="A1:M44"/>
  <sheetViews>
    <sheetView workbookViewId="0">
      <selection activeCell="E3" sqref="E3"/>
    </sheetView>
  </sheetViews>
  <sheetFormatPr defaultRowHeight="14.15" x14ac:dyDescent="0.35"/>
  <cols>
    <col min="1" max="4" width="9.140625" style="9"/>
    <col min="5" max="5" width="5.7109375" style="9" customWidth="1"/>
    <col min="6" max="16384" width="9.140625" style="9"/>
  </cols>
  <sheetData>
    <row r="1" spans="1:13" x14ac:dyDescent="0.35">
      <c r="A1" s="9" t="s">
        <v>292</v>
      </c>
      <c r="B1" s="9" t="s">
        <v>59</v>
      </c>
      <c r="C1" s="9" t="s">
        <v>1019</v>
      </c>
      <c r="D1" s="9" t="s">
        <v>293</v>
      </c>
      <c r="E1" s="9" t="s">
        <v>1125</v>
      </c>
      <c r="F1" s="9" t="s">
        <v>1126</v>
      </c>
      <c r="G1" s="9" t="s">
        <v>982</v>
      </c>
      <c r="H1" s="9" t="s">
        <v>1127</v>
      </c>
      <c r="I1" s="9" t="s">
        <v>1017</v>
      </c>
      <c r="J1" s="9" t="s">
        <v>1128</v>
      </c>
      <c r="K1" s="9" t="s">
        <v>1129</v>
      </c>
      <c r="L1" s="9" t="s">
        <v>1022</v>
      </c>
      <c r="M1" s="9" t="s">
        <v>1130</v>
      </c>
    </row>
    <row r="2" spans="1:13" x14ac:dyDescent="0.35">
      <c r="A2" s="9" t="s">
        <v>129</v>
      </c>
      <c r="B2" s="9" t="s">
        <v>130</v>
      </c>
      <c r="C2" s="9">
        <v>7.67</v>
      </c>
      <c r="D2" s="9">
        <v>14813608000</v>
      </c>
      <c r="E2" s="9">
        <v>1</v>
      </c>
      <c r="F2" s="9" t="s">
        <v>281</v>
      </c>
      <c r="G2" s="9" t="s">
        <v>985</v>
      </c>
      <c r="H2" s="9">
        <v>1.1200000000000001</v>
      </c>
      <c r="I2" s="9">
        <v>66.819999999999993</v>
      </c>
      <c r="J2" s="9">
        <v>20.81</v>
      </c>
      <c r="K2" s="9">
        <v>92.68</v>
      </c>
      <c r="L2" s="9">
        <v>458760</v>
      </c>
      <c r="M2" s="71">
        <v>0.61028935185185185</v>
      </c>
    </row>
    <row r="3" spans="1:13" x14ac:dyDescent="0.35">
      <c r="A3" s="9" t="s">
        <v>311</v>
      </c>
      <c r="B3" s="9" t="s">
        <v>312</v>
      </c>
      <c r="C3" s="9">
        <v>17.350000000000001</v>
      </c>
      <c r="D3" s="9">
        <v>6929537700</v>
      </c>
      <c r="E3" s="9">
        <v>7</v>
      </c>
      <c r="F3" s="9" t="s">
        <v>1586</v>
      </c>
      <c r="G3" s="9" t="s">
        <v>985</v>
      </c>
      <c r="H3" s="9">
        <v>4.01</v>
      </c>
      <c r="I3" s="9">
        <v>37.69</v>
      </c>
      <c r="J3" s="9">
        <v>37.82</v>
      </c>
      <c r="K3" s="9">
        <v>100</v>
      </c>
      <c r="L3" s="9">
        <v>458759</v>
      </c>
      <c r="M3" s="71">
        <v>0.60282407407407412</v>
      </c>
    </row>
    <row r="4" spans="1:13" x14ac:dyDescent="0.35">
      <c r="A4" s="9" t="s">
        <v>301</v>
      </c>
      <c r="B4" s="9" t="s">
        <v>286</v>
      </c>
      <c r="C4" s="9">
        <v>6.5</v>
      </c>
      <c r="D4" s="9">
        <v>55831304000</v>
      </c>
      <c r="E4" s="9">
        <v>1</v>
      </c>
      <c r="F4" s="9" t="s">
        <v>287</v>
      </c>
      <c r="G4" s="9" t="s">
        <v>985</v>
      </c>
      <c r="H4" s="9">
        <v>4.92</v>
      </c>
      <c r="I4" s="9">
        <v>64.3</v>
      </c>
      <c r="J4" s="9">
        <v>7.22</v>
      </c>
      <c r="K4" s="9">
        <v>100</v>
      </c>
      <c r="L4" s="9">
        <v>393224</v>
      </c>
      <c r="M4" s="71">
        <v>0.54552083333333334</v>
      </c>
    </row>
    <row r="5" spans="1:13" x14ac:dyDescent="0.35">
      <c r="A5" s="9" t="s">
        <v>601</v>
      </c>
      <c r="B5" s="9" t="s">
        <v>602</v>
      </c>
      <c r="C5" s="9">
        <v>6.27</v>
      </c>
      <c r="D5" s="9">
        <v>7191418800</v>
      </c>
      <c r="E5" s="9">
        <v>5</v>
      </c>
      <c r="F5" s="9" t="s">
        <v>603</v>
      </c>
      <c r="G5" s="9" t="s">
        <v>986</v>
      </c>
      <c r="H5" s="9">
        <v>2.58</v>
      </c>
      <c r="I5" s="9">
        <v>14.11</v>
      </c>
      <c r="J5" s="9">
        <v>41.76</v>
      </c>
      <c r="K5" s="9">
        <v>100</v>
      </c>
      <c r="L5" s="9">
        <v>327685</v>
      </c>
      <c r="M5" s="71">
        <v>0.5958796296296297</v>
      </c>
    </row>
    <row r="6" spans="1:13" x14ac:dyDescent="0.35">
      <c r="A6" s="9" t="s">
        <v>621</v>
      </c>
      <c r="B6" s="9" t="s">
        <v>622</v>
      </c>
      <c r="C6" s="9">
        <v>6.56</v>
      </c>
      <c r="D6" s="9">
        <v>4001888100</v>
      </c>
      <c r="E6" s="9">
        <v>5</v>
      </c>
      <c r="F6" s="9" t="s">
        <v>1131</v>
      </c>
      <c r="G6" s="9" t="s">
        <v>987</v>
      </c>
      <c r="H6" s="9">
        <v>1384.73</v>
      </c>
      <c r="I6" s="9">
        <v>35.42</v>
      </c>
      <c r="J6" s="9">
        <v>0.5</v>
      </c>
      <c r="K6" s="9">
        <v>100</v>
      </c>
      <c r="L6" s="9">
        <v>327685</v>
      </c>
      <c r="M6" s="71">
        <v>0.39583333333333331</v>
      </c>
    </row>
    <row r="7" spans="1:13" x14ac:dyDescent="0.35">
      <c r="A7" s="9" t="s">
        <v>710</v>
      </c>
      <c r="B7" s="9" t="s">
        <v>711</v>
      </c>
      <c r="C7" s="9">
        <v>11.83</v>
      </c>
      <c r="D7" s="9">
        <v>6554225300</v>
      </c>
      <c r="E7" s="9">
        <v>4</v>
      </c>
      <c r="F7" s="9" t="s">
        <v>855</v>
      </c>
      <c r="G7" s="9" t="s">
        <v>985</v>
      </c>
      <c r="H7" s="9">
        <v>8.0500000000000007</v>
      </c>
      <c r="I7" s="9">
        <v>24.38</v>
      </c>
      <c r="J7" s="9">
        <v>28.16</v>
      </c>
      <c r="K7" s="9">
        <v>100</v>
      </c>
      <c r="L7" s="9">
        <v>262148</v>
      </c>
      <c r="M7" s="71">
        <v>0.58336805555555549</v>
      </c>
    </row>
    <row r="8" spans="1:13" x14ac:dyDescent="0.35">
      <c r="A8" s="9" t="s">
        <v>777</v>
      </c>
      <c r="B8" s="9" t="s">
        <v>778</v>
      </c>
      <c r="C8" s="9">
        <v>7.85</v>
      </c>
      <c r="D8" s="9">
        <v>3355828700</v>
      </c>
      <c r="E8" s="9">
        <v>4</v>
      </c>
      <c r="F8" s="9" t="s">
        <v>696</v>
      </c>
      <c r="G8" s="9" t="s">
        <v>985</v>
      </c>
      <c r="H8" s="9">
        <v>1.1399999999999999</v>
      </c>
      <c r="I8" s="9">
        <v>60.2</v>
      </c>
      <c r="J8" s="9">
        <v>19.72</v>
      </c>
      <c r="K8" s="9">
        <v>100</v>
      </c>
      <c r="L8" s="9">
        <v>262148</v>
      </c>
      <c r="M8" s="71">
        <v>0.61775462962962957</v>
      </c>
    </row>
    <row r="9" spans="1:13" x14ac:dyDescent="0.35">
      <c r="A9" s="9" t="s">
        <v>837</v>
      </c>
      <c r="B9" s="9" t="s">
        <v>838</v>
      </c>
      <c r="C9" s="9">
        <v>29.16</v>
      </c>
      <c r="D9" s="9">
        <v>4572288000</v>
      </c>
      <c r="E9" s="9">
        <v>1</v>
      </c>
      <c r="F9" s="9" t="s">
        <v>640</v>
      </c>
      <c r="G9" s="9" t="s">
        <v>985</v>
      </c>
      <c r="H9" s="9">
        <v>10.47</v>
      </c>
      <c r="I9" s="9">
        <v>11</v>
      </c>
      <c r="J9" s="9">
        <v>9.32</v>
      </c>
      <c r="K9" s="9">
        <v>97.28</v>
      </c>
      <c r="L9" s="9">
        <v>196612</v>
      </c>
      <c r="M9" s="71">
        <v>0.6036921296296297</v>
      </c>
    </row>
    <row r="10" spans="1:13" x14ac:dyDescent="0.35">
      <c r="A10" s="9" t="s">
        <v>942</v>
      </c>
      <c r="B10" s="9" t="s">
        <v>941</v>
      </c>
      <c r="C10" s="9">
        <v>6.93</v>
      </c>
      <c r="D10" s="9">
        <v>3061313600</v>
      </c>
      <c r="E10" s="9">
        <v>3</v>
      </c>
      <c r="F10" s="9" t="s">
        <v>1034</v>
      </c>
      <c r="G10" s="9" t="s">
        <v>985</v>
      </c>
      <c r="H10" s="9">
        <v>27.54</v>
      </c>
      <c r="I10" s="9">
        <v>39.020000000000003</v>
      </c>
      <c r="J10" s="9">
        <v>8.31</v>
      </c>
      <c r="K10" s="9">
        <v>99.62</v>
      </c>
      <c r="L10" s="9">
        <v>196611</v>
      </c>
      <c r="M10" s="71">
        <v>0.40348379629629627</v>
      </c>
    </row>
    <row r="11" spans="1:13" x14ac:dyDescent="0.35">
      <c r="A11" s="9" t="s">
        <v>963</v>
      </c>
      <c r="B11" s="9" t="s">
        <v>962</v>
      </c>
      <c r="C11" s="9">
        <v>18.72</v>
      </c>
      <c r="D11" s="9">
        <v>8689043000</v>
      </c>
      <c r="E11" s="9">
        <v>3</v>
      </c>
      <c r="F11" s="9" t="s">
        <v>961</v>
      </c>
      <c r="G11" s="9" t="s">
        <v>985</v>
      </c>
      <c r="H11" s="9">
        <v>20.57</v>
      </c>
      <c r="I11" s="9">
        <v>57.52</v>
      </c>
      <c r="J11" s="9">
        <v>14.66</v>
      </c>
      <c r="K11" s="9">
        <v>98.49</v>
      </c>
      <c r="L11" s="9">
        <v>196611</v>
      </c>
      <c r="M11" s="71">
        <v>0.40643518518518523</v>
      </c>
    </row>
    <row r="12" spans="1:13" x14ac:dyDescent="0.35">
      <c r="A12" s="9" t="s">
        <v>981</v>
      </c>
      <c r="B12" s="9" t="s">
        <v>980</v>
      </c>
      <c r="C12" s="9">
        <v>7.48</v>
      </c>
      <c r="D12" s="9">
        <v>5204335500</v>
      </c>
      <c r="E12" s="9">
        <v>3</v>
      </c>
      <c r="F12" s="9" t="s">
        <v>979</v>
      </c>
      <c r="G12" s="9" t="s">
        <v>985</v>
      </c>
      <c r="H12" s="9">
        <v>4.8499999999999996</v>
      </c>
      <c r="I12" s="9">
        <v>36.58</v>
      </c>
      <c r="J12" s="9">
        <v>32.69</v>
      </c>
      <c r="K12" s="9">
        <v>100</v>
      </c>
      <c r="L12" s="9">
        <v>196611</v>
      </c>
      <c r="M12" s="71">
        <v>0.57503472222222218</v>
      </c>
    </row>
    <row r="13" spans="1:13" x14ac:dyDescent="0.35">
      <c r="A13" s="9" t="s">
        <v>706</v>
      </c>
      <c r="B13" s="9" t="s">
        <v>707</v>
      </c>
      <c r="C13" s="9">
        <v>5.82</v>
      </c>
      <c r="D13" s="9">
        <v>4146602200</v>
      </c>
      <c r="E13" s="9">
        <v>1</v>
      </c>
      <c r="F13" s="9" t="s">
        <v>708</v>
      </c>
      <c r="G13" s="9" t="s">
        <v>985</v>
      </c>
      <c r="H13" s="9">
        <v>19.32</v>
      </c>
      <c r="I13" s="9">
        <v>2.69</v>
      </c>
      <c r="J13" s="9">
        <v>8.66</v>
      </c>
      <c r="K13" s="9">
        <v>95.35</v>
      </c>
      <c r="L13" s="9">
        <v>131076</v>
      </c>
      <c r="M13" s="71">
        <v>0.61376157407407406</v>
      </c>
    </row>
    <row r="14" spans="1:13" x14ac:dyDescent="0.35">
      <c r="A14" s="9" t="s">
        <v>524</v>
      </c>
      <c r="B14" s="9" t="s">
        <v>525</v>
      </c>
      <c r="C14" s="9">
        <v>2.99</v>
      </c>
      <c r="D14" s="9">
        <v>31744509000</v>
      </c>
      <c r="E14" s="9">
        <v>2</v>
      </c>
      <c r="F14" s="9" t="s">
        <v>526</v>
      </c>
      <c r="G14" s="9" t="s">
        <v>985</v>
      </c>
      <c r="H14" s="9">
        <v>20.59</v>
      </c>
      <c r="I14" s="9">
        <v>67.62</v>
      </c>
      <c r="J14" s="9">
        <v>2.62</v>
      </c>
      <c r="K14" s="9">
        <v>100</v>
      </c>
      <c r="L14" s="9">
        <v>131074</v>
      </c>
      <c r="M14" s="71">
        <v>0.40035879629629628</v>
      </c>
    </row>
    <row r="15" spans="1:13" x14ac:dyDescent="0.35">
      <c r="A15" s="9" t="s">
        <v>1082</v>
      </c>
      <c r="B15" s="9" t="s">
        <v>1083</v>
      </c>
      <c r="C15" s="9">
        <v>6.67</v>
      </c>
      <c r="D15" s="9">
        <v>7202678100</v>
      </c>
      <c r="E15" s="9">
        <v>2</v>
      </c>
      <c r="F15" s="9" t="s">
        <v>1084</v>
      </c>
      <c r="G15" s="9" t="s">
        <v>985</v>
      </c>
      <c r="H15" s="9">
        <v>12.81</v>
      </c>
      <c r="I15" s="9">
        <v>45.56</v>
      </c>
      <c r="J15" s="9">
        <v>7.84</v>
      </c>
      <c r="K15" s="9">
        <v>100</v>
      </c>
      <c r="L15" s="9">
        <v>131074</v>
      </c>
      <c r="M15" s="71">
        <v>0.40174768518518517</v>
      </c>
    </row>
    <row r="16" spans="1:13" x14ac:dyDescent="0.35">
      <c r="A16" s="9" t="s">
        <v>1097</v>
      </c>
      <c r="B16" s="9" t="s">
        <v>1098</v>
      </c>
      <c r="C16" s="9">
        <v>13.77</v>
      </c>
      <c r="D16" s="9">
        <v>1836918000</v>
      </c>
      <c r="E16" s="9">
        <v>2</v>
      </c>
      <c r="F16" s="9" t="s">
        <v>1099</v>
      </c>
      <c r="G16" s="9" t="s">
        <v>986</v>
      </c>
      <c r="H16" s="9">
        <v>9.17</v>
      </c>
      <c r="I16" s="9">
        <v>2.94</v>
      </c>
      <c r="J16" s="9">
        <v>17.43</v>
      </c>
      <c r="K16" s="9">
        <v>92.69</v>
      </c>
      <c r="L16" s="9">
        <v>131074</v>
      </c>
      <c r="M16" s="71">
        <v>0.56548611111111113</v>
      </c>
    </row>
    <row r="17" spans="1:13" x14ac:dyDescent="0.35">
      <c r="A17" s="9" t="s">
        <v>1058</v>
      </c>
      <c r="B17" s="9" t="s">
        <v>1059</v>
      </c>
      <c r="C17" s="9">
        <v>4.84</v>
      </c>
      <c r="D17" s="9">
        <v>2844616800</v>
      </c>
      <c r="E17" s="9">
        <v>2</v>
      </c>
      <c r="F17" s="9" t="s">
        <v>1132</v>
      </c>
      <c r="G17" s="9" t="s">
        <v>987</v>
      </c>
      <c r="H17" s="9">
        <v>49.69</v>
      </c>
      <c r="I17" s="9">
        <v>32.909999999999997</v>
      </c>
      <c r="J17" s="9">
        <v>2.94</v>
      </c>
      <c r="K17" s="9">
        <v>95.98</v>
      </c>
      <c r="L17" s="9">
        <v>131074</v>
      </c>
      <c r="M17" s="71">
        <v>0.39600694444444445</v>
      </c>
    </row>
    <row r="18" spans="1:13" x14ac:dyDescent="0.35">
      <c r="A18" s="9" t="s">
        <v>1051</v>
      </c>
      <c r="B18" s="9" t="s">
        <v>1052</v>
      </c>
      <c r="C18" s="9">
        <v>6.2</v>
      </c>
      <c r="D18" s="9">
        <v>1343415800</v>
      </c>
      <c r="E18" s="9">
        <v>2</v>
      </c>
      <c r="F18" s="9" t="s">
        <v>1133</v>
      </c>
      <c r="G18" s="9" t="s">
        <v>985</v>
      </c>
      <c r="H18" s="9">
        <v>9.1199999999999992</v>
      </c>
      <c r="I18" s="9">
        <v>0</v>
      </c>
      <c r="J18" s="9">
        <v>32.28</v>
      </c>
      <c r="K18" s="9">
        <v>100</v>
      </c>
      <c r="L18" s="9">
        <v>131074</v>
      </c>
      <c r="M18" s="71">
        <v>0.44063657407407408</v>
      </c>
    </row>
    <row r="19" spans="1:13" x14ac:dyDescent="0.35">
      <c r="A19" s="9" t="s">
        <v>1056</v>
      </c>
      <c r="B19" s="9" t="s">
        <v>1057</v>
      </c>
      <c r="C19" s="9">
        <v>8.42</v>
      </c>
      <c r="D19" s="9">
        <v>5311667700</v>
      </c>
      <c r="E19" s="9">
        <v>2</v>
      </c>
      <c r="F19" s="9" t="s">
        <v>427</v>
      </c>
      <c r="G19" s="9" t="s">
        <v>985</v>
      </c>
      <c r="H19" s="9">
        <v>84.66</v>
      </c>
      <c r="I19" s="9">
        <v>45.82</v>
      </c>
      <c r="J19" s="9">
        <v>2.12</v>
      </c>
      <c r="K19" s="9">
        <v>100</v>
      </c>
      <c r="L19" s="9">
        <v>131074</v>
      </c>
      <c r="M19" s="71">
        <v>0.39600694444444445</v>
      </c>
    </row>
    <row r="20" spans="1:13" x14ac:dyDescent="0.35">
      <c r="A20" s="9" t="s">
        <v>1134</v>
      </c>
      <c r="B20" s="9" t="s">
        <v>1135</v>
      </c>
      <c r="C20" s="9">
        <v>7.17</v>
      </c>
      <c r="D20" s="9">
        <v>13311299100</v>
      </c>
      <c r="E20" s="9">
        <v>1</v>
      </c>
      <c r="F20" s="9" t="s">
        <v>1136</v>
      </c>
      <c r="G20" s="9" t="s">
        <v>985</v>
      </c>
      <c r="H20" s="9">
        <v>3.12</v>
      </c>
      <c r="I20" s="9">
        <v>63.92</v>
      </c>
      <c r="J20" s="9">
        <v>13.11</v>
      </c>
      <c r="K20" s="9">
        <v>93.75</v>
      </c>
      <c r="L20" s="9">
        <v>65537</v>
      </c>
      <c r="M20" s="71">
        <v>0.55524305555555553</v>
      </c>
    </row>
    <row r="21" spans="1:13" x14ac:dyDescent="0.35">
      <c r="A21" s="9" t="s">
        <v>1137</v>
      </c>
      <c r="B21" s="9" t="s">
        <v>1138</v>
      </c>
      <c r="C21" s="9">
        <v>6.49</v>
      </c>
      <c r="D21" s="9">
        <v>2336400000</v>
      </c>
      <c r="E21" s="9">
        <v>1</v>
      </c>
      <c r="F21" s="9" t="s">
        <v>1139</v>
      </c>
      <c r="G21" s="9" t="s">
        <v>985</v>
      </c>
      <c r="H21" s="9">
        <v>48.77</v>
      </c>
      <c r="I21" s="9">
        <v>35.31</v>
      </c>
      <c r="J21" s="9">
        <v>8.6199999999999992</v>
      </c>
      <c r="K21" s="9">
        <v>64.61</v>
      </c>
      <c r="L21" s="9">
        <v>65537</v>
      </c>
      <c r="M21" s="71">
        <v>0.60334490740740743</v>
      </c>
    </row>
    <row r="22" spans="1:13" x14ac:dyDescent="0.35">
      <c r="A22" s="9" t="s">
        <v>1140</v>
      </c>
      <c r="B22" s="9" t="s">
        <v>1141</v>
      </c>
      <c r="C22" s="9">
        <v>4.2699999999999996</v>
      </c>
      <c r="D22" s="9">
        <v>4553884100</v>
      </c>
      <c r="E22" s="9">
        <v>1</v>
      </c>
      <c r="F22" s="9" t="s">
        <v>1142</v>
      </c>
      <c r="G22" s="9" t="s">
        <v>985</v>
      </c>
      <c r="H22" s="9">
        <v>10.94</v>
      </c>
      <c r="I22" s="9">
        <v>14</v>
      </c>
      <c r="J22" s="9">
        <v>8.36</v>
      </c>
      <c r="K22" s="9">
        <v>81.150000000000006</v>
      </c>
      <c r="L22" s="9">
        <v>65537</v>
      </c>
      <c r="M22" s="71">
        <v>0.54361111111111116</v>
      </c>
    </row>
    <row r="23" spans="1:13" x14ac:dyDescent="0.35">
      <c r="A23" s="9" t="s">
        <v>1143</v>
      </c>
      <c r="B23" s="9" t="s">
        <v>1144</v>
      </c>
      <c r="C23" s="9">
        <v>6.95</v>
      </c>
      <c r="D23" s="9">
        <v>4214912000</v>
      </c>
      <c r="E23" s="9">
        <v>1</v>
      </c>
      <c r="F23" s="9" t="s">
        <v>1145</v>
      </c>
      <c r="G23" s="9" t="s">
        <v>985</v>
      </c>
      <c r="H23" s="9">
        <v>139.28</v>
      </c>
      <c r="I23" s="9">
        <v>25.05</v>
      </c>
      <c r="J23" s="9">
        <v>3.82</v>
      </c>
      <c r="K23" s="9">
        <v>86.84</v>
      </c>
      <c r="L23" s="9">
        <v>65537</v>
      </c>
      <c r="M23" s="71">
        <v>0.41476851851851854</v>
      </c>
    </row>
    <row r="24" spans="1:13" x14ac:dyDescent="0.35">
      <c r="A24" s="9" t="s">
        <v>1146</v>
      </c>
      <c r="B24" s="9" t="s">
        <v>1147</v>
      </c>
      <c r="C24" s="9">
        <v>5.07</v>
      </c>
      <c r="D24" s="9">
        <v>2530887300</v>
      </c>
      <c r="E24" s="9">
        <v>1</v>
      </c>
      <c r="F24" s="9" t="s">
        <v>1148</v>
      </c>
      <c r="G24" s="9" t="s">
        <v>985</v>
      </c>
      <c r="H24" s="9">
        <v>26.17</v>
      </c>
      <c r="I24" s="9">
        <v>33.229999999999997</v>
      </c>
      <c r="J24" s="9">
        <v>8.09</v>
      </c>
      <c r="K24" s="9">
        <v>84.38</v>
      </c>
      <c r="L24" s="9">
        <v>65537</v>
      </c>
      <c r="M24" s="71">
        <v>0.39826388888888892</v>
      </c>
    </row>
    <row r="25" spans="1:13" x14ac:dyDescent="0.35">
      <c r="A25" s="9" t="s">
        <v>1149</v>
      </c>
      <c r="B25" s="9" t="s">
        <v>1150</v>
      </c>
      <c r="C25" s="9">
        <v>7.73</v>
      </c>
      <c r="D25" s="9">
        <v>3959269700</v>
      </c>
      <c r="E25" s="9">
        <v>1</v>
      </c>
      <c r="F25" s="9" t="s">
        <v>1151</v>
      </c>
      <c r="G25" s="9" t="s">
        <v>985</v>
      </c>
      <c r="H25" s="9">
        <v>6.95</v>
      </c>
      <c r="I25" s="9">
        <v>11.73</v>
      </c>
      <c r="J25" s="9">
        <v>16.18</v>
      </c>
      <c r="K25" s="9">
        <v>100</v>
      </c>
      <c r="L25" s="9">
        <v>65537</v>
      </c>
      <c r="M25" s="71">
        <v>0.54552083333333334</v>
      </c>
    </row>
    <row r="26" spans="1:13" x14ac:dyDescent="0.35">
      <c r="A26" s="9" t="s">
        <v>1152</v>
      </c>
      <c r="B26" s="9" t="s">
        <v>1153</v>
      </c>
      <c r="C26" s="9">
        <v>5.14</v>
      </c>
      <c r="D26" s="9">
        <v>2991184600</v>
      </c>
      <c r="E26" s="9">
        <v>1</v>
      </c>
      <c r="F26" s="9" t="s">
        <v>1093</v>
      </c>
      <c r="G26" s="9" t="s">
        <v>985</v>
      </c>
      <c r="H26" s="9">
        <v>1.94</v>
      </c>
      <c r="I26" s="9">
        <v>11.69</v>
      </c>
      <c r="J26" s="9">
        <v>17.27</v>
      </c>
      <c r="K26" s="9">
        <v>85.89</v>
      </c>
      <c r="L26" s="9">
        <v>65537</v>
      </c>
      <c r="M26" s="71">
        <v>0.54760416666666667</v>
      </c>
    </row>
    <row r="27" spans="1:13" x14ac:dyDescent="0.35">
      <c r="A27" s="9" t="s">
        <v>1154</v>
      </c>
      <c r="B27" s="9" t="s">
        <v>1155</v>
      </c>
      <c r="C27" s="9">
        <v>31.3</v>
      </c>
      <c r="D27" s="9">
        <v>10782524500</v>
      </c>
      <c r="E27" s="9">
        <v>1</v>
      </c>
      <c r="F27" s="9" t="s">
        <v>1156</v>
      </c>
      <c r="G27" s="9" t="s">
        <v>985</v>
      </c>
      <c r="H27" s="9">
        <v>1.66</v>
      </c>
      <c r="I27" s="9">
        <v>14.27</v>
      </c>
      <c r="J27" s="9">
        <v>7.46</v>
      </c>
      <c r="K27" s="9">
        <v>100</v>
      </c>
      <c r="L27" s="9">
        <v>65537</v>
      </c>
      <c r="M27" s="71">
        <v>0.54430555555555549</v>
      </c>
    </row>
    <row r="28" spans="1:13" x14ac:dyDescent="0.35">
      <c r="A28" s="9" t="s">
        <v>1157</v>
      </c>
      <c r="B28" s="9" t="s">
        <v>1158</v>
      </c>
      <c r="C28" s="9">
        <v>8.57</v>
      </c>
      <c r="D28" s="9">
        <v>3610511400</v>
      </c>
      <c r="E28" s="9">
        <v>1</v>
      </c>
      <c r="F28" s="9" t="s">
        <v>1159</v>
      </c>
      <c r="G28" s="9" t="s">
        <v>985</v>
      </c>
      <c r="H28" s="9">
        <v>50.86</v>
      </c>
      <c r="I28" s="9">
        <v>1.69</v>
      </c>
      <c r="J28" s="9">
        <v>2.88</v>
      </c>
      <c r="K28" s="9">
        <v>66.150000000000006</v>
      </c>
      <c r="L28" s="9">
        <v>65537</v>
      </c>
      <c r="M28" s="71">
        <v>0.4427314814814815</v>
      </c>
    </row>
    <row r="29" spans="1:13" x14ac:dyDescent="0.35">
      <c r="A29" s="9" t="s">
        <v>1160</v>
      </c>
      <c r="B29" s="9" t="s">
        <v>1161</v>
      </c>
      <c r="C29" s="9">
        <v>15.25</v>
      </c>
      <c r="D29" s="9">
        <v>2157875000</v>
      </c>
      <c r="E29" s="9">
        <v>1</v>
      </c>
      <c r="F29" s="9" t="s">
        <v>1162</v>
      </c>
      <c r="G29" s="9" t="s">
        <v>985</v>
      </c>
      <c r="H29" s="9">
        <v>18.41</v>
      </c>
      <c r="I29" s="9">
        <v>0</v>
      </c>
      <c r="J29" s="9">
        <v>9.8699999999999992</v>
      </c>
      <c r="K29" s="9">
        <v>95.47</v>
      </c>
      <c r="L29" s="9">
        <v>65537</v>
      </c>
      <c r="M29" s="71">
        <v>0.5741666666666666</v>
      </c>
    </row>
    <row r="30" spans="1:13" x14ac:dyDescent="0.35">
      <c r="A30" s="9" t="s">
        <v>1163</v>
      </c>
      <c r="B30" s="9" t="s">
        <v>1164</v>
      </c>
      <c r="C30" s="9">
        <v>21.9</v>
      </c>
      <c r="D30" s="9">
        <v>1314000000</v>
      </c>
      <c r="E30" s="9">
        <v>1</v>
      </c>
      <c r="F30" s="9" t="s">
        <v>1165</v>
      </c>
      <c r="G30" s="9" t="s">
        <v>985</v>
      </c>
      <c r="H30" s="9">
        <v>16.579999999999998</v>
      </c>
      <c r="I30" s="9">
        <v>0.02</v>
      </c>
      <c r="J30" s="9">
        <v>23.78</v>
      </c>
      <c r="K30" s="9">
        <v>81.569999999999993</v>
      </c>
      <c r="L30" s="9">
        <v>65537</v>
      </c>
      <c r="M30" s="71">
        <v>0.46755787037037039</v>
      </c>
    </row>
    <row r="31" spans="1:13" x14ac:dyDescent="0.35">
      <c r="A31" s="9" t="s">
        <v>395</v>
      </c>
      <c r="B31" s="9" t="s">
        <v>290</v>
      </c>
      <c r="C31" s="9">
        <v>9.65</v>
      </c>
      <c r="D31" s="9">
        <v>23300918000</v>
      </c>
      <c r="E31" s="9">
        <v>1</v>
      </c>
      <c r="F31" s="9" t="s">
        <v>291</v>
      </c>
      <c r="G31" s="9" t="s">
        <v>696</v>
      </c>
      <c r="H31" s="9">
        <v>24.75</v>
      </c>
      <c r="I31" s="9">
        <v>31.55</v>
      </c>
      <c r="J31" s="9">
        <v>2.69</v>
      </c>
      <c r="K31" s="9">
        <v>65.09</v>
      </c>
      <c r="L31" s="9" t="s">
        <v>696</v>
      </c>
      <c r="M31" s="71">
        <v>0.3979166666666667</v>
      </c>
    </row>
    <row r="32" spans="1:13" x14ac:dyDescent="0.35">
      <c r="A32" s="9" t="s">
        <v>1166</v>
      </c>
      <c r="B32" s="9" t="s">
        <v>1167</v>
      </c>
      <c r="C32" s="9">
        <v>2.89</v>
      </c>
      <c r="D32" s="9">
        <v>3902641900</v>
      </c>
      <c r="E32" s="9">
        <v>1</v>
      </c>
      <c r="F32" s="9" t="s">
        <v>1168</v>
      </c>
      <c r="G32" s="9" t="s">
        <v>696</v>
      </c>
      <c r="H32" s="9">
        <v>4.0199999999999996</v>
      </c>
      <c r="I32" s="9">
        <v>68.95</v>
      </c>
      <c r="J32" s="9">
        <v>4.03</v>
      </c>
      <c r="K32" s="9">
        <v>89.27</v>
      </c>
      <c r="L32" s="9" t="s">
        <v>696</v>
      </c>
      <c r="M32" s="71">
        <v>0.45366898148148144</v>
      </c>
    </row>
    <row r="33" spans="1:13" x14ac:dyDescent="0.35">
      <c r="A33" s="9" t="s">
        <v>559</v>
      </c>
      <c r="B33" s="9" t="s">
        <v>560</v>
      </c>
      <c r="C33" s="9">
        <v>8.1</v>
      </c>
      <c r="D33" s="9">
        <v>5464063300</v>
      </c>
      <c r="E33" s="9">
        <v>1</v>
      </c>
      <c r="F33" s="9" t="s">
        <v>1169</v>
      </c>
      <c r="G33" s="9" t="s">
        <v>696</v>
      </c>
      <c r="H33" s="9">
        <v>6.47</v>
      </c>
      <c r="I33" s="9">
        <v>52.73</v>
      </c>
      <c r="J33" s="9">
        <v>9.64</v>
      </c>
      <c r="K33" s="9">
        <v>99.21</v>
      </c>
      <c r="L33" s="9" t="s">
        <v>696</v>
      </c>
      <c r="M33" s="71">
        <v>0.4644328703703704</v>
      </c>
    </row>
    <row r="34" spans="1:13" x14ac:dyDescent="0.35">
      <c r="A34" s="9" t="s">
        <v>1170</v>
      </c>
      <c r="B34" s="9" t="s">
        <v>1171</v>
      </c>
      <c r="C34" s="9">
        <v>5.81</v>
      </c>
      <c r="D34" s="9">
        <v>1377341800</v>
      </c>
      <c r="E34" s="9">
        <v>1</v>
      </c>
      <c r="F34" s="9" t="s">
        <v>1172</v>
      </c>
      <c r="G34" s="9" t="s">
        <v>696</v>
      </c>
      <c r="H34" s="9">
        <v>6.61</v>
      </c>
      <c r="I34" s="9">
        <v>30.12</v>
      </c>
      <c r="J34" s="9">
        <v>8.4700000000000006</v>
      </c>
      <c r="K34" s="9">
        <v>75.67</v>
      </c>
      <c r="L34" s="9" t="s">
        <v>696</v>
      </c>
      <c r="M34" s="71">
        <v>0.43508101851851855</v>
      </c>
    </row>
    <row r="35" spans="1:13" x14ac:dyDescent="0.35">
      <c r="A35" s="9" t="s">
        <v>1173</v>
      </c>
      <c r="B35" s="9" t="s">
        <v>1174</v>
      </c>
      <c r="C35" s="9">
        <v>3.03</v>
      </c>
      <c r="D35" s="9">
        <v>8315532000</v>
      </c>
      <c r="E35" s="9">
        <v>1</v>
      </c>
      <c r="F35" s="9" t="s">
        <v>1168</v>
      </c>
      <c r="G35" s="9" t="s">
        <v>696</v>
      </c>
      <c r="H35" s="9">
        <v>2.31</v>
      </c>
      <c r="I35" s="9">
        <v>54.65</v>
      </c>
      <c r="J35" s="9">
        <v>4.62</v>
      </c>
      <c r="K35" s="9">
        <v>100</v>
      </c>
      <c r="L35" s="9" t="s">
        <v>696</v>
      </c>
      <c r="M35" s="71">
        <v>0.59483796296296299</v>
      </c>
    </row>
    <row r="36" spans="1:13" x14ac:dyDescent="0.35">
      <c r="A36" s="9" t="s">
        <v>1175</v>
      </c>
      <c r="B36" s="9" t="s">
        <v>1176</v>
      </c>
      <c r="C36" s="9">
        <v>12.24</v>
      </c>
      <c r="D36" s="9">
        <v>1114104180</v>
      </c>
      <c r="E36" s="9">
        <v>1</v>
      </c>
      <c r="F36" s="9" t="s">
        <v>1177</v>
      </c>
      <c r="G36" s="9" t="s">
        <v>696</v>
      </c>
      <c r="H36" s="9">
        <v>33.71</v>
      </c>
      <c r="I36" s="9">
        <v>15.81</v>
      </c>
      <c r="J36" s="9">
        <v>12.47</v>
      </c>
      <c r="K36" s="9">
        <v>59.09</v>
      </c>
      <c r="L36" s="9" t="s">
        <v>696</v>
      </c>
      <c r="M36" s="71">
        <v>0.44464120370370369</v>
      </c>
    </row>
    <row r="37" spans="1:13" x14ac:dyDescent="0.35">
      <c r="A37" s="9" t="s">
        <v>1178</v>
      </c>
      <c r="B37" s="9" t="s">
        <v>1179</v>
      </c>
      <c r="C37" s="9">
        <v>11.54</v>
      </c>
      <c r="D37" s="9">
        <v>688014800</v>
      </c>
      <c r="E37" s="9">
        <v>1</v>
      </c>
      <c r="F37" s="9" t="s">
        <v>1180</v>
      </c>
      <c r="G37" s="9" t="s">
        <v>696</v>
      </c>
      <c r="H37" s="9">
        <v>92.26</v>
      </c>
      <c r="I37" s="9">
        <v>0</v>
      </c>
      <c r="J37" s="9">
        <v>3.01</v>
      </c>
      <c r="K37" s="9">
        <v>83.36</v>
      </c>
      <c r="L37" s="9" t="s">
        <v>696</v>
      </c>
      <c r="M37" s="71">
        <v>0.39583333333333331</v>
      </c>
    </row>
    <row r="38" spans="1:13" x14ac:dyDescent="0.35">
      <c r="A38" s="9" t="s">
        <v>1181</v>
      </c>
      <c r="B38" s="9" t="s">
        <v>1182</v>
      </c>
      <c r="C38" s="9">
        <v>14.63</v>
      </c>
      <c r="D38" s="9">
        <v>2408985100</v>
      </c>
      <c r="E38" s="9">
        <v>1</v>
      </c>
      <c r="F38" s="9" t="s">
        <v>1183</v>
      </c>
      <c r="G38" s="9" t="s">
        <v>696</v>
      </c>
      <c r="H38" s="9">
        <v>51.85</v>
      </c>
      <c r="I38" s="9">
        <v>41.55</v>
      </c>
      <c r="J38" s="9">
        <v>4.46</v>
      </c>
      <c r="K38" s="9">
        <v>39.01</v>
      </c>
      <c r="L38" s="9" t="s">
        <v>696</v>
      </c>
      <c r="M38" s="71">
        <v>0.39583333333333331</v>
      </c>
    </row>
    <row r="39" spans="1:13" x14ac:dyDescent="0.35">
      <c r="A39" s="9" t="s">
        <v>1184</v>
      </c>
      <c r="B39" s="9" t="s">
        <v>1185</v>
      </c>
      <c r="C39" s="9">
        <v>16.98</v>
      </c>
      <c r="D39" s="9">
        <v>980708460</v>
      </c>
      <c r="E39" s="9">
        <v>1</v>
      </c>
      <c r="F39" s="9" t="s">
        <v>1186</v>
      </c>
      <c r="G39" s="9" t="s">
        <v>696</v>
      </c>
      <c r="H39" s="9">
        <v>12.77</v>
      </c>
      <c r="I39" s="9">
        <v>18.64</v>
      </c>
      <c r="J39" s="9">
        <v>12.91</v>
      </c>
      <c r="K39" s="9">
        <v>74.17</v>
      </c>
      <c r="L39" s="9" t="s">
        <v>696</v>
      </c>
      <c r="M39" s="71">
        <v>0.45418981481481485</v>
      </c>
    </row>
    <row r="40" spans="1:13" x14ac:dyDescent="0.35">
      <c r="A40" s="9" t="s">
        <v>1187</v>
      </c>
      <c r="B40" s="9" t="s">
        <v>1188</v>
      </c>
      <c r="C40" s="9">
        <v>104.5</v>
      </c>
      <c r="D40" s="9">
        <v>14436493000</v>
      </c>
      <c r="E40" s="9">
        <v>1</v>
      </c>
      <c r="F40" s="9" t="s">
        <v>1189</v>
      </c>
      <c r="G40" s="9" t="s">
        <v>696</v>
      </c>
      <c r="H40" s="9">
        <v>2.0699999999999998</v>
      </c>
      <c r="I40" s="9">
        <v>49.98</v>
      </c>
      <c r="J40" s="9">
        <v>3.79</v>
      </c>
      <c r="K40" s="9">
        <v>85.48</v>
      </c>
      <c r="L40" s="9" t="s">
        <v>696</v>
      </c>
      <c r="M40" s="71">
        <v>0.57815972222222223</v>
      </c>
    </row>
    <row r="41" spans="1:13" x14ac:dyDescent="0.35">
      <c r="A41" s="9" t="s">
        <v>1190</v>
      </c>
      <c r="B41" s="9" t="s">
        <v>1191</v>
      </c>
      <c r="C41" s="9">
        <v>8.89</v>
      </c>
      <c r="D41" s="9">
        <v>2061020100</v>
      </c>
      <c r="E41" s="9">
        <v>1</v>
      </c>
      <c r="F41" s="9" t="s">
        <v>1192</v>
      </c>
      <c r="G41" s="9" t="s">
        <v>696</v>
      </c>
      <c r="H41" s="9">
        <v>24.86</v>
      </c>
      <c r="I41" s="9">
        <v>0.5</v>
      </c>
      <c r="J41" s="9">
        <v>3</v>
      </c>
      <c r="K41" s="9">
        <v>66.61</v>
      </c>
      <c r="L41" s="9" t="s">
        <v>696</v>
      </c>
      <c r="M41" s="71">
        <v>0.3991319444444445</v>
      </c>
    </row>
    <row r="42" spans="1:13" x14ac:dyDescent="0.35">
      <c r="A42" s="9" t="s">
        <v>1193</v>
      </c>
      <c r="B42" s="9" t="s">
        <v>1194</v>
      </c>
      <c r="C42" s="9">
        <v>32.340000000000003</v>
      </c>
      <c r="D42" s="9">
        <v>15930566000</v>
      </c>
      <c r="E42" s="9">
        <v>1</v>
      </c>
      <c r="F42" s="9" t="s">
        <v>1195</v>
      </c>
      <c r="G42" s="9" t="s">
        <v>696</v>
      </c>
      <c r="H42" s="9">
        <v>8.6</v>
      </c>
      <c r="I42" s="9">
        <v>30.04</v>
      </c>
      <c r="J42" s="9">
        <v>15.04</v>
      </c>
      <c r="K42" s="9">
        <v>81.64</v>
      </c>
      <c r="L42" s="9" t="s">
        <v>696</v>
      </c>
      <c r="M42" s="71">
        <v>0.56027777777777776</v>
      </c>
    </row>
    <row r="43" spans="1:13" x14ac:dyDescent="0.35">
      <c r="A43" s="9" t="s">
        <v>1196</v>
      </c>
      <c r="B43" s="9" t="s">
        <v>1197</v>
      </c>
      <c r="C43" s="9">
        <v>15.72</v>
      </c>
      <c r="D43" s="9">
        <v>3636728400</v>
      </c>
      <c r="E43" s="9">
        <v>1</v>
      </c>
      <c r="F43" s="9" t="s">
        <v>1198</v>
      </c>
      <c r="G43" s="9" t="s">
        <v>696</v>
      </c>
      <c r="H43" s="9">
        <v>120.51</v>
      </c>
      <c r="I43" s="9">
        <v>53.92</v>
      </c>
      <c r="J43" s="9">
        <v>2.14</v>
      </c>
      <c r="K43" s="9">
        <v>72.44</v>
      </c>
      <c r="L43" s="9" t="s">
        <v>696</v>
      </c>
      <c r="M43" s="71">
        <v>0.40435185185185185</v>
      </c>
    </row>
    <row r="44" spans="1:13" x14ac:dyDescent="0.35">
      <c r="A44" s="9" t="s">
        <v>1199</v>
      </c>
      <c r="B44" s="9" t="s">
        <v>1200</v>
      </c>
      <c r="C44" s="9">
        <v>5.35</v>
      </c>
      <c r="D44" s="9">
        <v>4607989000</v>
      </c>
      <c r="E44" s="9">
        <v>1</v>
      </c>
      <c r="F44" s="9" t="s">
        <v>1201</v>
      </c>
      <c r="G44" s="9" t="s">
        <v>696</v>
      </c>
      <c r="H44" s="9">
        <v>18.27</v>
      </c>
      <c r="I44" s="9">
        <v>43.08</v>
      </c>
      <c r="J44" s="9">
        <v>5.72</v>
      </c>
      <c r="K44" s="9">
        <v>68.41</v>
      </c>
      <c r="L44" s="9" t="s">
        <v>696</v>
      </c>
      <c r="M44" s="71">
        <v>0.42640046296296297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02A86-1DDE-49E7-B911-A5F28EFEEE73}">
  <dimension ref="A1:M57"/>
  <sheetViews>
    <sheetView workbookViewId="0">
      <selection activeCell="I20" sqref="I20"/>
    </sheetView>
  </sheetViews>
  <sheetFormatPr defaultRowHeight="14.15" x14ac:dyDescent="0.35"/>
  <cols>
    <col min="1" max="16384" width="9.140625" style="9"/>
  </cols>
  <sheetData>
    <row r="1" spans="1:13" x14ac:dyDescent="0.35">
      <c r="A1" s="9" t="s">
        <v>292</v>
      </c>
      <c r="B1" s="9" t="s">
        <v>59</v>
      </c>
      <c r="C1" s="9" t="s">
        <v>1019</v>
      </c>
      <c r="D1" s="9" t="s">
        <v>293</v>
      </c>
      <c r="E1" s="9" t="s">
        <v>1024</v>
      </c>
      <c r="F1" s="9" t="s">
        <v>1025</v>
      </c>
      <c r="G1" s="9" t="s">
        <v>982</v>
      </c>
      <c r="H1" s="9" t="s">
        <v>1026</v>
      </c>
      <c r="I1" s="9" t="s">
        <v>1017</v>
      </c>
      <c r="J1" s="9" t="s">
        <v>1027</v>
      </c>
      <c r="K1" s="9" t="s">
        <v>1028</v>
      </c>
      <c r="L1" s="9" t="s">
        <v>1022</v>
      </c>
      <c r="M1" s="9" t="s">
        <v>1029</v>
      </c>
    </row>
    <row r="2" spans="1:13" x14ac:dyDescent="0.35">
      <c r="A2" s="9" t="s">
        <v>311</v>
      </c>
      <c r="B2" s="9" t="s">
        <v>312</v>
      </c>
      <c r="C2" s="9">
        <v>15.77</v>
      </c>
      <c r="D2" s="9">
        <v>6298490500</v>
      </c>
      <c r="E2" s="9">
        <v>6</v>
      </c>
      <c r="F2" s="9" t="s">
        <v>1030</v>
      </c>
      <c r="G2" s="9" t="s">
        <v>985</v>
      </c>
      <c r="H2" s="9">
        <v>7.43</v>
      </c>
      <c r="I2" s="9">
        <v>37.69</v>
      </c>
      <c r="J2" s="9">
        <v>35.26</v>
      </c>
      <c r="K2" s="9">
        <v>100</v>
      </c>
      <c r="L2" s="9">
        <v>393222</v>
      </c>
      <c r="M2" s="71">
        <v>0.60472222222222227</v>
      </c>
    </row>
    <row r="3" spans="1:13" x14ac:dyDescent="0.35">
      <c r="A3" s="9" t="s">
        <v>588</v>
      </c>
      <c r="B3" s="9" t="s">
        <v>589</v>
      </c>
      <c r="C3" s="9">
        <v>23.21</v>
      </c>
      <c r="D3" s="9">
        <v>1830322800</v>
      </c>
      <c r="E3" s="9">
        <v>4</v>
      </c>
      <c r="F3" s="9" t="s">
        <v>590</v>
      </c>
      <c r="G3" s="9" t="s">
        <v>985</v>
      </c>
      <c r="H3" s="9">
        <v>0.88</v>
      </c>
      <c r="I3" s="9">
        <v>8.6</v>
      </c>
      <c r="J3" s="9">
        <v>44.34</v>
      </c>
      <c r="K3" s="9">
        <v>100</v>
      </c>
      <c r="L3" s="9">
        <v>262148</v>
      </c>
      <c r="M3" s="71">
        <v>0.60385416666666669</v>
      </c>
    </row>
    <row r="4" spans="1:13" x14ac:dyDescent="0.35">
      <c r="A4" s="9" t="s">
        <v>601</v>
      </c>
      <c r="B4" s="9" t="s">
        <v>602</v>
      </c>
      <c r="C4" s="9">
        <v>5.7</v>
      </c>
      <c r="D4" s="9">
        <v>6537653500</v>
      </c>
      <c r="E4" s="9">
        <v>4</v>
      </c>
      <c r="F4" s="9" t="s">
        <v>603</v>
      </c>
      <c r="G4" s="9" t="s">
        <v>986</v>
      </c>
      <c r="H4" s="9">
        <v>53.3</v>
      </c>
      <c r="I4" s="9">
        <v>14.11</v>
      </c>
      <c r="J4" s="9">
        <v>8.27</v>
      </c>
      <c r="K4" s="9">
        <v>100</v>
      </c>
      <c r="L4" s="9">
        <v>262148</v>
      </c>
      <c r="M4" s="71">
        <v>0.39704861111111112</v>
      </c>
    </row>
    <row r="5" spans="1:13" x14ac:dyDescent="0.35">
      <c r="A5" s="9" t="s">
        <v>621</v>
      </c>
      <c r="B5" s="9" t="s">
        <v>622</v>
      </c>
      <c r="C5" s="9">
        <v>5.96</v>
      </c>
      <c r="D5" s="9">
        <v>3635861800</v>
      </c>
      <c r="E5" s="9">
        <v>4</v>
      </c>
      <c r="F5" s="9" t="s">
        <v>1031</v>
      </c>
      <c r="G5" s="9" t="s">
        <v>987</v>
      </c>
      <c r="H5" s="9">
        <v>520.47</v>
      </c>
      <c r="I5" s="9">
        <v>35.42</v>
      </c>
      <c r="J5" s="9">
        <v>1.1200000000000001</v>
      </c>
      <c r="K5" s="9">
        <v>100</v>
      </c>
      <c r="L5" s="9">
        <v>262148</v>
      </c>
      <c r="M5" s="71">
        <v>0.39583333333333331</v>
      </c>
    </row>
    <row r="6" spans="1:13" x14ac:dyDescent="0.35">
      <c r="A6" s="9" t="s">
        <v>710</v>
      </c>
      <c r="B6" s="9" t="s">
        <v>711</v>
      </c>
      <c r="C6" s="9">
        <v>10.75</v>
      </c>
      <c r="D6" s="9">
        <v>5955868300</v>
      </c>
      <c r="E6" s="9">
        <v>3</v>
      </c>
      <c r="F6" s="9" t="s">
        <v>855</v>
      </c>
      <c r="G6" s="9" t="s">
        <v>985</v>
      </c>
      <c r="H6" s="9">
        <v>5.91</v>
      </c>
      <c r="I6" s="9">
        <v>24.38</v>
      </c>
      <c r="J6" s="9">
        <v>16.989999999999998</v>
      </c>
      <c r="K6" s="9">
        <v>100</v>
      </c>
      <c r="L6" s="9">
        <v>196611</v>
      </c>
      <c r="M6" s="71">
        <v>0.40486111111111112</v>
      </c>
    </row>
    <row r="7" spans="1:13" x14ac:dyDescent="0.35">
      <c r="A7" s="9" t="s">
        <v>777</v>
      </c>
      <c r="B7" s="9" t="s">
        <v>778</v>
      </c>
      <c r="C7" s="9">
        <v>7.14</v>
      </c>
      <c r="D7" s="9">
        <v>3052307900</v>
      </c>
      <c r="E7" s="9">
        <v>3</v>
      </c>
      <c r="F7" s="9" t="s">
        <v>696</v>
      </c>
      <c r="G7" s="9" t="s">
        <v>985</v>
      </c>
      <c r="H7" s="9">
        <v>2.82</v>
      </c>
      <c r="I7" s="9">
        <v>60.2</v>
      </c>
      <c r="J7" s="9">
        <v>19.399999999999999</v>
      </c>
      <c r="K7" s="9">
        <v>100</v>
      </c>
      <c r="L7" s="9">
        <v>196611</v>
      </c>
      <c r="M7" s="71">
        <v>0.62034722222222227</v>
      </c>
    </row>
    <row r="8" spans="1:13" x14ac:dyDescent="0.35">
      <c r="A8" s="9" t="s">
        <v>334</v>
      </c>
      <c r="B8" s="9" t="s">
        <v>288</v>
      </c>
      <c r="C8" s="9">
        <v>6.41</v>
      </c>
      <c r="D8" s="9">
        <v>6987182800</v>
      </c>
      <c r="E8" s="9">
        <v>3</v>
      </c>
      <c r="F8" s="9" t="s">
        <v>289</v>
      </c>
      <c r="G8" s="9" t="s">
        <v>985</v>
      </c>
      <c r="H8" s="9">
        <v>21.67</v>
      </c>
      <c r="I8" s="9">
        <v>49.54</v>
      </c>
      <c r="J8" s="9">
        <v>9.43</v>
      </c>
      <c r="K8" s="9">
        <v>100</v>
      </c>
      <c r="L8" s="9">
        <v>327687</v>
      </c>
      <c r="M8" s="71">
        <v>0.3989583333333333</v>
      </c>
    </row>
    <row r="9" spans="1:13" x14ac:dyDescent="0.35">
      <c r="A9" s="9" t="s">
        <v>869</v>
      </c>
      <c r="B9" s="9" t="s">
        <v>870</v>
      </c>
      <c r="C9" s="9">
        <v>15.13</v>
      </c>
      <c r="D9" s="9">
        <v>1137653840</v>
      </c>
      <c r="E9" s="9">
        <v>2</v>
      </c>
      <c r="F9" s="9" t="s">
        <v>1032</v>
      </c>
      <c r="G9" s="9" t="s">
        <v>985</v>
      </c>
      <c r="H9" s="9">
        <v>18.77</v>
      </c>
      <c r="I9" s="9">
        <v>8.3699999999999992</v>
      </c>
      <c r="J9" s="9">
        <v>16.61</v>
      </c>
      <c r="K9" s="9">
        <v>100</v>
      </c>
      <c r="L9" s="9">
        <v>131074</v>
      </c>
      <c r="M9" s="71">
        <v>0.4067708333333333</v>
      </c>
    </row>
    <row r="10" spans="1:13" x14ac:dyDescent="0.35">
      <c r="A10" s="9" t="s">
        <v>891</v>
      </c>
      <c r="B10" s="9" t="s">
        <v>892</v>
      </c>
      <c r="C10" s="9">
        <v>2.98</v>
      </c>
      <c r="D10" s="9">
        <v>5247502500</v>
      </c>
      <c r="E10" s="9">
        <v>2</v>
      </c>
      <c r="F10" s="9" t="s">
        <v>1033</v>
      </c>
      <c r="G10" s="9" t="s">
        <v>986</v>
      </c>
      <c r="H10" s="9">
        <v>15</v>
      </c>
      <c r="I10" s="9">
        <v>0.33</v>
      </c>
      <c r="J10" s="9">
        <v>11.29</v>
      </c>
      <c r="K10" s="9">
        <v>100</v>
      </c>
      <c r="L10" s="9">
        <v>131074</v>
      </c>
      <c r="M10" s="71">
        <v>0.39999999999999997</v>
      </c>
    </row>
    <row r="11" spans="1:13" x14ac:dyDescent="0.35">
      <c r="A11" s="9" t="s">
        <v>900</v>
      </c>
      <c r="B11" s="9" t="s">
        <v>901</v>
      </c>
      <c r="C11" s="9">
        <v>6.81</v>
      </c>
      <c r="D11" s="9">
        <v>3278975900</v>
      </c>
      <c r="E11" s="9">
        <v>2</v>
      </c>
      <c r="F11" s="9" t="s">
        <v>988</v>
      </c>
      <c r="G11" s="9" t="s">
        <v>985</v>
      </c>
      <c r="H11" s="9">
        <v>19.059999999999999</v>
      </c>
      <c r="I11" s="9">
        <v>18.899999999999999</v>
      </c>
      <c r="J11" s="9">
        <v>18.510000000000002</v>
      </c>
      <c r="K11" s="9">
        <v>87.46</v>
      </c>
      <c r="L11" s="9">
        <v>131074</v>
      </c>
      <c r="M11" s="71">
        <v>0.4201388888888889</v>
      </c>
    </row>
    <row r="12" spans="1:13" x14ac:dyDescent="0.35">
      <c r="A12" s="9" t="s">
        <v>963</v>
      </c>
      <c r="B12" s="9" t="s">
        <v>962</v>
      </c>
      <c r="C12" s="9">
        <v>17.02</v>
      </c>
      <c r="D12" s="9">
        <v>7899974000</v>
      </c>
      <c r="E12" s="9">
        <v>2</v>
      </c>
      <c r="F12" s="9" t="s">
        <v>961</v>
      </c>
      <c r="G12" s="9" t="s">
        <v>985</v>
      </c>
      <c r="H12" s="9">
        <v>14.11</v>
      </c>
      <c r="I12" s="9">
        <v>57.52</v>
      </c>
      <c r="J12" s="9">
        <v>14.14</v>
      </c>
      <c r="K12" s="9">
        <v>97.26</v>
      </c>
      <c r="L12" s="9">
        <v>131074</v>
      </c>
      <c r="M12" s="71">
        <v>0.40156249999999999</v>
      </c>
    </row>
    <row r="13" spans="1:13" x14ac:dyDescent="0.35">
      <c r="A13" s="9" t="s">
        <v>981</v>
      </c>
      <c r="B13" s="9" t="s">
        <v>980</v>
      </c>
      <c r="C13" s="9">
        <v>6.8</v>
      </c>
      <c r="D13" s="9">
        <v>4731214000</v>
      </c>
      <c r="E13" s="9">
        <v>2</v>
      </c>
      <c r="F13" s="9" t="s">
        <v>979</v>
      </c>
      <c r="G13" s="9" t="s">
        <v>985</v>
      </c>
      <c r="H13" s="9">
        <v>19.48</v>
      </c>
      <c r="I13" s="9">
        <v>36.58</v>
      </c>
      <c r="J13" s="9">
        <v>8.5500000000000007</v>
      </c>
      <c r="K13" s="9">
        <v>100</v>
      </c>
      <c r="L13" s="9">
        <v>131074</v>
      </c>
      <c r="M13" s="71">
        <v>0.39756944444444442</v>
      </c>
    </row>
    <row r="14" spans="1:13" x14ac:dyDescent="0.35">
      <c r="A14" s="9" t="s">
        <v>919</v>
      </c>
      <c r="B14" s="9" t="s">
        <v>918</v>
      </c>
      <c r="C14" s="9">
        <v>18.850000000000001</v>
      </c>
      <c r="D14" s="9">
        <v>2914661700</v>
      </c>
      <c r="E14" s="9">
        <v>2</v>
      </c>
      <c r="F14" s="9" t="s">
        <v>917</v>
      </c>
      <c r="G14" s="9" t="s">
        <v>986</v>
      </c>
      <c r="H14" s="9">
        <v>29.34</v>
      </c>
      <c r="I14" s="9">
        <v>52</v>
      </c>
      <c r="J14" s="9">
        <v>7.8</v>
      </c>
      <c r="K14" s="9">
        <v>99.91</v>
      </c>
      <c r="L14" s="9">
        <v>131074</v>
      </c>
      <c r="M14" s="71">
        <v>0.39635416666666662</v>
      </c>
    </row>
    <row r="15" spans="1:13" x14ac:dyDescent="0.35">
      <c r="A15" s="9" t="s">
        <v>942</v>
      </c>
      <c r="B15" s="9" t="s">
        <v>941</v>
      </c>
      <c r="C15" s="9">
        <v>6.3</v>
      </c>
      <c r="D15" s="9">
        <v>2783012400</v>
      </c>
      <c r="E15" s="9">
        <v>2</v>
      </c>
      <c r="F15" s="9" t="s">
        <v>1034</v>
      </c>
      <c r="G15" s="9" t="s">
        <v>985</v>
      </c>
      <c r="H15" s="9">
        <v>7.12</v>
      </c>
      <c r="I15" s="9">
        <v>39.020000000000003</v>
      </c>
      <c r="J15" s="9">
        <v>13.18</v>
      </c>
      <c r="K15" s="9">
        <v>97.32</v>
      </c>
      <c r="L15" s="9">
        <v>131074</v>
      </c>
      <c r="M15" s="71">
        <v>0.421875</v>
      </c>
    </row>
    <row r="16" spans="1:13" x14ac:dyDescent="0.35">
      <c r="A16" s="9" t="s">
        <v>1035</v>
      </c>
      <c r="B16" s="9" t="s">
        <v>1036</v>
      </c>
      <c r="C16" s="9">
        <v>4.8499999999999996</v>
      </c>
      <c r="D16" s="9">
        <v>3938940900</v>
      </c>
      <c r="E16" s="9">
        <v>1</v>
      </c>
      <c r="F16" s="9" t="s">
        <v>1037</v>
      </c>
      <c r="G16" s="9" t="s">
        <v>985</v>
      </c>
      <c r="H16" s="9">
        <v>15.67</v>
      </c>
      <c r="I16" s="9">
        <v>5.61</v>
      </c>
      <c r="J16" s="9">
        <v>12.25</v>
      </c>
      <c r="K16" s="9">
        <v>68.040000000000006</v>
      </c>
      <c r="L16" s="9">
        <v>65537</v>
      </c>
      <c r="M16" s="71">
        <v>0.55437499999999995</v>
      </c>
    </row>
    <row r="17" spans="1:13" x14ac:dyDescent="0.35">
      <c r="A17" s="9" t="s">
        <v>1038</v>
      </c>
      <c r="B17" s="9" t="s">
        <v>1039</v>
      </c>
      <c r="C17" s="9">
        <v>22</v>
      </c>
      <c r="D17" s="9">
        <v>2517900000</v>
      </c>
      <c r="E17" s="9">
        <v>1</v>
      </c>
      <c r="F17" s="9" t="s">
        <v>1040</v>
      </c>
      <c r="G17" s="9" t="s">
        <v>985</v>
      </c>
      <c r="H17" s="9">
        <v>6.42</v>
      </c>
      <c r="I17" s="9">
        <v>39.74</v>
      </c>
      <c r="J17" s="9">
        <v>27.85</v>
      </c>
      <c r="K17" s="9">
        <v>100</v>
      </c>
      <c r="L17" s="9">
        <v>65537</v>
      </c>
      <c r="M17" s="71">
        <v>0.59517361111111111</v>
      </c>
    </row>
    <row r="18" spans="1:13" x14ac:dyDescent="0.35">
      <c r="A18" s="9" t="s">
        <v>1041</v>
      </c>
      <c r="B18" s="9" t="s">
        <v>1042</v>
      </c>
      <c r="C18" s="9">
        <v>42.2</v>
      </c>
      <c r="D18" s="9">
        <v>2333654200</v>
      </c>
      <c r="E18" s="9">
        <v>1</v>
      </c>
      <c r="F18" s="9" t="s">
        <v>683</v>
      </c>
      <c r="G18" s="9" t="s">
        <v>985</v>
      </c>
      <c r="H18" s="9">
        <v>30.27</v>
      </c>
      <c r="I18" s="9">
        <v>0.45</v>
      </c>
      <c r="J18" s="9">
        <v>18.39</v>
      </c>
      <c r="K18" s="9">
        <v>96.71</v>
      </c>
      <c r="L18" s="9">
        <v>65537</v>
      </c>
      <c r="M18" s="71">
        <v>0.45193287037037039</v>
      </c>
    </row>
    <row r="19" spans="1:13" x14ac:dyDescent="0.35">
      <c r="A19" s="9" t="s">
        <v>1043</v>
      </c>
      <c r="B19" s="9" t="s">
        <v>1044</v>
      </c>
      <c r="C19" s="9">
        <v>12.23</v>
      </c>
      <c r="D19" s="9">
        <v>1529472900</v>
      </c>
      <c r="E19" s="9">
        <v>1</v>
      </c>
      <c r="F19" s="9" t="s">
        <v>1045</v>
      </c>
      <c r="G19" s="9" t="s">
        <v>985</v>
      </c>
      <c r="H19" s="9">
        <v>81.349999999999994</v>
      </c>
      <c r="I19" s="9">
        <v>0</v>
      </c>
      <c r="J19" s="9">
        <v>4.72</v>
      </c>
      <c r="K19" s="9">
        <v>76.739999999999995</v>
      </c>
      <c r="L19" s="9">
        <v>65537</v>
      </c>
      <c r="M19" s="71">
        <v>0.41319444444444442</v>
      </c>
    </row>
    <row r="20" spans="1:13" x14ac:dyDescent="0.35">
      <c r="A20" s="9" t="s">
        <v>1046</v>
      </c>
      <c r="B20" s="9" t="s">
        <v>1047</v>
      </c>
      <c r="C20" s="9">
        <v>15.29</v>
      </c>
      <c r="D20" s="9">
        <v>940449930</v>
      </c>
      <c r="E20" s="9">
        <v>1</v>
      </c>
      <c r="F20" s="9" t="s">
        <v>1048</v>
      </c>
      <c r="G20" s="9" t="s">
        <v>985</v>
      </c>
      <c r="H20" s="9">
        <v>60.98</v>
      </c>
      <c r="I20" s="9">
        <v>0</v>
      </c>
      <c r="J20" s="9">
        <v>6.71</v>
      </c>
      <c r="K20" s="9">
        <v>99.69</v>
      </c>
      <c r="L20" s="9">
        <v>65537</v>
      </c>
      <c r="M20" s="71">
        <v>0.40225694444444443</v>
      </c>
    </row>
    <row r="21" spans="1:13" x14ac:dyDescent="0.35">
      <c r="A21" s="9" t="s">
        <v>1049</v>
      </c>
      <c r="B21" s="9" t="s">
        <v>1050</v>
      </c>
      <c r="C21" s="9">
        <v>4.42</v>
      </c>
      <c r="D21" s="9">
        <v>4598901600</v>
      </c>
      <c r="E21" s="9">
        <v>1</v>
      </c>
      <c r="F21" s="9" t="s">
        <v>127</v>
      </c>
      <c r="G21" s="9" t="s">
        <v>985</v>
      </c>
      <c r="H21" s="9">
        <v>6.22</v>
      </c>
      <c r="I21" s="9">
        <v>56.05</v>
      </c>
      <c r="J21" s="9">
        <v>13.1</v>
      </c>
      <c r="K21" s="9">
        <v>71.19</v>
      </c>
      <c r="L21" s="9">
        <v>65537</v>
      </c>
      <c r="M21" s="71">
        <v>0.59847222222222218</v>
      </c>
    </row>
    <row r="22" spans="1:13" x14ac:dyDescent="0.35">
      <c r="A22" s="9" t="s">
        <v>1051</v>
      </c>
      <c r="B22" s="9" t="s">
        <v>1052</v>
      </c>
      <c r="C22" s="9">
        <v>5.64</v>
      </c>
      <c r="D22" s="9">
        <v>1222075040</v>
      </c>
      <c r="E22" s="9">
        <v>1</v>
      </c>
      <c r="F22" s="9" t="s">
        <v>1053</v>
      </c>
      <c r="G22" s="9" t="s">
        <v>985</v>
      </c>
      <c r="H22" s="9">
        <v>25.34</v>
      </c>
      <c r="I22" s="9">
        <v>0</v>
      </c>
      <c r="J22" s="9">
        <v>20.16</v>
      </c>
      <c r="K22" s="9">
        <v>98.8</v>
      </c>
      <c r="L22" s="9">
        <v>65537</v>
      </c>
      <c r="M22" s="71">
        <v>0.54274305555555558</v>
      </c>
    </row>
    <row r="23" spans="1:13" x14ac:dyDescent="0.35">
      <c r="A23" s="9" t="s">
        <v>1054</v>
      </c>
      <c r="B23" s="9" t="s">
        <v>1055</v>
      </c>
      <c r="C23" s="9">
        <v>14.73</v>
      </c>
      <c r="D23" s="9">
        <v>2421836700</v>
      </c>
      <c r="E23" s="9">
        <v>1</v>
      </c>
      <c r="F23" s="9" t="s">
        <v>696</v>
      </c>
      <c r="G23" s="9" t="s">
        <v>985</v>
      </c>
      <c r="H23" s="9">
        <v>7.42</v>
      </c>
      <c r="I23" s="9">
        <v>31.23</v>
      </c>
      <c r="J23" s="9">
        <v>15.31</v>
      </c>
      <c r="K23" s="9">
        <v>92.77</v>
      </c>
      <c r="L23" s="9">
        <v>65537</v>
      </c>
      <c r="M23" s="71">
        <v>0.61600694444444437</v>
      </c>
    </row>
    <row r="24" spans="1:13" x14ac:dyDescent="0.35">
      <c r="A24" s="9" t="s">
        <v>1056</v>
      </c>
      <c r="B24" s="9" t="s">
        <v>1057</v>
      </c>
      <c r="C24" s="9">
        <v>7.65</v>
      </c>
      <c r="D24" s="9">
        <v>4825921400</v>
      </c>
      <c r="E24" s="9">
        <v>1</v>
      </c>
      <c r="F24" s="9" t="s">
        <v>427</v>
      </c>
      <c r="G24" s="9" t="s">
        <v>985</v>
      </c>
      <c r="H24" s="9">
        <v>38</v>
      </c>
      <c r="I24" s="9">
        <v>45.82</v>
      </c>
      <c r="J24" s="9">
        <v>2.72</v>
      </c>
      <c r="K24" s="9">
        <v>100</v>
      </c>
      <c r="L24" s="9">
        <v>65537</v>
      </c>
      <c r="M24" s="71">
        <v>0.46982638888888889</v>
      </c>
    </row>
    <row r="25" spans="1:13" x14ac:dyDescent="0.35">
      <c r="A25" s="9" t="s">
        <v>1058</v>
      </c>
      <c r="B25" s="9" t="s">
        <v>1059</v>
      </c>
      <c r="C25" s="9">
        <v>4.4000000000000004</v>
      </c>
      <c r="D25" s="9">
        <v>2586015300</v>
      </c>
      <c r="E25" s="9">
        <v>1</v>
      </c>
      <c r="F25" s="9" t="s">
        <v>1060</v>
      </c>
      <c r="G25" s="9" t="s">
        <v>987</v>
      </c>
      <c r="H25" s="9">
        <v>93.37</v>
      </c>
      <c r="I25" s="9">
        <v>32.909999999999997</v>
      </c>
      <c r="J25" s="9">
        <v>2.02</v>
      </c>
      <c r="K25" s="9">
        <v>82.25</v>
      </c>
      <c r="L25" s="9">
        <v>65537</v>
      </c>
      <c r="M25" s="71">
        <v>0.39583333333333331</v>
      </c>
    </row>
    <row r="26" spans="1:13" x14ac:dyDescent="0.35">
      <c r="A26" s="9" t="s">
        <v>1061</v>
      </c>
      <c r="B26" s="9" t="s">
        <v>1062</v>
      </c>
      <c r="C26" s="9">
        <v>16.489999999999998</v>
      </c>
      <c r="D26" s="9">
        <v>11661982000</v>
      </c>
      <c r="E26" s="9">
        <v>1</v>
      </c>
      <c r="F26" s="9" t="s">
        <v>1063</v>
      </c>
      <c r="G26" s="9" t="s">
        <v>985</v>
      </c>
      <c r="H26" s="9">
        <v>3.92</v>
      </c>
      <c r="I26" s="9">
        <v>8.83</v>
      </c>
      <c r="J26" s="9">
        <v>10</v>
      </c>
      <c r="K26" s="9">
        <v>89.14</v>
      </c>
      <c r="L26" s="9">
        <v>65537</v>
      </c>
      <c r="M26" s="71">
        <v>0.5580208333333333</v>
      </c>
    </row>
    <row r="27" spans="1:13" x14ac:dyDescent="0.35">
      <c r="A27" s="9" t="s">
        <v>1064</v>
      </c>
      <c r="B27" s="9" t="s">
        <v>1065</v>
      </c>
      <c r="C27" s="9">
        <v>4.66</v>
      </c>
      <c r="D27" s="9">
        <v>3838007300</v>
      </c>
      <c r="E27" s="9">
        <v>1</v>
      </c>
      <c r="F27" s="9" t="s">
        <v>1066</v>
      </c>
      <c r="G27" s="9" t="s">
        <v>985</v>
      </c>
      <c r="H27" s="9">
        <v>2.4700000000000002</v>
      </c>
      <c r="I27" s="9">
        <v>6.79</v>
      </c>
      <c r="J27" s="9">
        <v>10.199999999999999</v>
      </c>
      <c r="K27" s="9">
        <v>100</v>
      </c>
      <c r="L27" s="9">
        <v>65537</v>
      </c>
      <c r="M27" s="71">
        <v>0.54881944444444442</v>
      </c>
    </row>
    <row r="28" spans="1:13" x14ac:dyDescent="0.35">
      <c r="A28" s="9" t="s">
        <v>1067</v>
      </c>
      <c r="B28" s="9" t="s">
        <v>1068</v>
      </c>
      <c r="C28" s="9">
        <v>2.88</v>
      </c>
      <c r="D28" s="9">
        <v>3688354900</v>
      </c>
      <c r="E28" s="9">
        <v>1</v>
      </c>
      <c r="F28" s="9" t="s">
        <v>1069</v>
      </c>
      <c r="G28" s="9" t="s">
        <v>985</v>
      </c>
      <c r="H28" s="9">
        <v>1.7</v>
      </c>
      <c r="I28" s="9">
        <v>23.7</v>
      </c>
      <c r="J28" s="9">
        <v>5.86</v>
      </c>
      <c r="K28" s="9">
        <v>35.97</v>
      </c>
      <c r="L28" s="9">
        <v>65537</v>
      </c>
      <c r="M28" s="71">
        <v>0.60576388888888888</v>
      </c>
    </row>
    <row r="29" spans="1:13" x14ac:dyDescent="0.35">
      <c r="A29" s="9" t="s">
        <v>1070</v>
      </c>
      <c r="B29" s="9" t="s">
        <v>1071</v>
      </c>
      <c r="C29" s="9">
        <v>4.22</v>
      </c>
      <c r="D29" s="9">
        <v>2788211600</v>
      </c>
      <c r="E29" s="9">
        <v>1</v>
      </c>
      <c r="F29" s="9" t="s">
        <v>1072</v>
      </c>
      <c r="G29" s="9" t="s">
        <v>985</v>
      </c>
      <c r="H29" s="9">
        <v>27.72</v>
      </c>
      <c r="I29" s="9">
        <v>49.25</v>
      </c>
      <c r="J29" s="9">
        <v>4.3899999999999997</v>
      </c>
      <c r="K29" s="9">
        <v>63.44</v>
      </c>
      <c r="L29" s="9">
        <v>65537</v>
      </c>
      <c r="M29" s="71">
        <v>0.5663541666666666</v>
      </c>
    </row>
    <row r="30" spans="1:13" x14ac:dyDescent="0.35">
      <c r="A30" s="9" t="s">
        <v>1073</v>
      </c>
      <c r="B30" s="9" t="s">
        <v>1074</v>
      </c>
      <c r="C30" s="9">
        <v>32.07</v>
      </c>
      <c r="D30" s="9">
        <v>1771346400</v>
      </c>
      <c r="E30" s="9">
        <v>1</v>
      </c>
      <c r="F30" s="9" t="s">
        <v>1075</v>
      </c>
      <c r="G30" s="9" t="s">
        <v>986</v>
      </c>
      <c r="H30" s="9">
        <v>32.119999999999997</v>
      </c>
      <c r="I30" s="9">
        <v>0.42</v>
      </c>
      <c r="J30" s="9">
        <v>10.97</v>
      </c>
      <c r="K30" s="9">
        <v>100</v>
      </c>
      <c r="L30" s="9">
        <v>65537</v>
      </c>
      <c r="M30" s="71">
        <v>0.39704861111111112</v>
      </c>
    </row>
    <row r="31" spans="1:13" x14ac:dyDescent="0.35">
      <c r="A31" s="9" t="s">
        <v>1076</v>
      </c>
      <c r="B31" s="9" t="s">
        <v>1077</v>
      </c>
      <c r="C31" s="9">
        <v>5.89</v>
      </c>
      <c r="D31" s="9">
        <v>10179007900</v>
      </c>
      <c r="E31" s="9">
        <v>1</v>
      </c>
      <c r="F31" s="9" t="s">
        <v>1078</v>
      </c>
      <c r="G31" s="9" t="s">
        <v>985</v>
      </c>
      <c r="H31" s="9">
        <v>22.33</v>
      </c>
      <c r="I31" s="9">
        <v>74.77</v>
      </c>
      <c r="J31" s="9">
        <v>2.96</v>
      </c>
      <c r="K31" s="9">
        <v>77.47</v>
      </c>
      <c r="L31" s="9">
        <v>65537</v>
      </c>
      <c r="M31" s="71">
        <v>0.4001736111111111</v>
      </c>
    </row>
    <row r="32" spans="1:13" x14ac:dyDescent="0.35">
      <c r="A32" s="9" t="s">
        <v>1079</v>
      </c>
      <c r="B32" s="9" t="s">
        <v>1080</v>
      </c>
      <c r="C32" s="9">
        <v>9.83</v>
      </c>
      <c r="D32" s="9">
        <v>2231410000</v>
      </c>
      <c r="E32" s="9">
        <v>1</v>
      </c>
      <c r="F32" s="9" t="s">
        <v>1081</v>
      </c>
      <c r="G32" s="9" t="s">
        <v>985</v>
      </c>
      <c r="H32" s="9">
        <v>13.74</v>
      </c>
      <c r="I32" s="9">
        <v>30.77</v>
      </c>
      <c r="J32" s="9">
        <v>14.21</v>
      </c>
      <c r="K32" s="9">
        <v>99.75</v>
      </c>
      <c r="L32" s="9">
        <v>65537</v>
      </c>
      <c r="M32" s="71">
        <v>0.59222222222222221</v>
      </c>
    </row>
    <row r="33" spans="1:13" x14ac:dyDescent="0.35">
      <c r="A33" s="9" t="s">
        <v>524</v>
      </c>
      <c r="B33" s="9" t="s">
        <v>525</v>
      </c>
      <c r="C33" s="9">
        <v>2.72</v>
      </c>
      <c r="D33" s="9">
        <v>28877948000</v>
      </c>
      <c r="E33" s="9">
        <v>1</v>
      </c>
      <c r="F33" s="9" t="s">
        <v>526</v>
      </c>
      <c r="G33" s="9" t="s">
        <v>985</v>
      </c>
      <c r="H33" s="9">
        <v>24.37</v>
      </c>
      <c r="I33" s="9">
        <v>67.62</v>
      </c>
      <c r="J33" s="9">
        <v>1.81</v>
      </c>
      <c r="K33" s="9">
        <v>97.47</v>
      </c>
      <c r="L33" s="9">
        <v>65537</v>
      </c>
      <c r="M33" s="71">
        <v>0.40434027777777781</v>
      </c>
    </row>
    <row r="34" spans="1:13" x14ac:dyDescent="0.35">
      <c r="A34" s="9" t="s">
        <v>1082</v>
      </c>
      <c r="B34" s="9" t="s">
        <v>1083</v>
      </c>
      <c r="C34" s="9">
        <v>6.06</v>
      </c>
      <c r="D34" s="9">
        <v>6543962400</v>
      </c>
      <c r="E34" s="9">
        <v>1</v>
      </c>
      <c r="F34" s="9" t="s">
        <v>1084</v>
      </c>
      <c r="G34" s="9" t="s">
        <v>985</v>
      </c>
      <c r="H34" s="9">
        <v>9.51</v>
      </c>
      <c r="I34" s="9">
        <v>45.56</v>
      </c>
      <c r="J34" s="9">
        <v>5.49</v>
      </c>
      <c r="K34" s="9">
        <v>96.82</v>
      </c>
      <c r="L34" s="9">
        <v>65537</v>
      </c>
      <c r="M34" s="71">
        <v>0.41631944444444446</v>
      </c>
    </row>
    <row r="35" spans="1:13" x14ac:dyDescent="0.35">
      <c r="A35" s="9" t="s">
        <v>527</v>
      </c>
      <c r="B35" s="9" t="s">
        <v>528</v>
      </c>
      <c r="C35" s="9">
        <v>4.96</v>
      </c>
      <c r="D35" s="9">
        <v>4887599400</v>
      </c>
      <c r="E35" s="9">
        <v>1</v>
      </c>
      <c r="F35" s="9" t="s">
        <v>529</v>
      </c>
      <c r="G35" s="9" t="s">
        <v>985</v>
      </c>
      <c r="H35" s="9">
        <v>31.76</v>
      </c>
      <c r="I35" s="9">
        <v>35.71</v>
      </c>
      <c r="J35" s="9">
        <v>9.85</v>
      </c>
      <c r="K35" s="9">
        <v>79.78</v>
      </c>
      <c r="L35" s="9">
        <v>65537</v>
      </c>
      <c r="M35" s="71">
        <v>0.41440972222222222</v>
      </c>
    </row>
    <row r="36" spans="1:13" x14ac:dyDescent="0.35">
      <c r="A36" s="9" t="s">
        <v>647</v>
      </c>
      <c r="B36" s="9" t="s">
        <v>648</v>
      </c>
      <c r="C36" s="9">
        <v>5.08</v>
      </c>
      <c r="D36" s="9">
        <v>4272280000</v>
      </c>
      <c r="E36" s="9">
        <v>1</v>
      </c>
      <c r="F36" s="9" t="s">
        <v>649</v>
      </c>
      <c r="G36" s="9" t="s">
        <v>985</v>
      </c>
      <c r="H36" s="9">
        <v>17.63</v>
      </c>
      <c r="I36" s="9">
        <v>8.15</v>
      </c>
      <c r="J36" s="9">
        <v>6.95</v>
      </c>
      <c r="K36" s="9">
        <v>77.44</v>
      </c>
      <c r="L36" s="9">
        <v>131076</v>
      </c>
      <c r="M36" s="71">
        <v>0.41319444444444442</v>
      </c>
    </row>
    <row r="37" spans="1:13" x14ac:dyDescent="0.35">
      <c r="A37" s="9" t="s">
        <v>80</v>
      </c>
      <c r="B37" s="9" t="s">
        <v>81</v>
      </c>
      <c r="C37" s="9">
        <v>19.04</v>
      </c>
      <c r="D37" s="9">
        <v>4183088000</v>
      </c>
      <c r="E37" s="9">
        <v>1</v>
      </c>
      <c r="F37" s="9" t="s">
        <v>83</v>
      </c>
      <c r="G37" s="9" t="s">
        <v>985</v>
      </c>
      <c r="H37" s="9">
        <v>12.37</v>
      </c>
      <c r="I37" s="9">
        <v>32.4</v>
      </c>
      <c r="J37" s="9">
        <v>9.9499999999999993</v>
      </c>
      <c r="K37" s="9">
        <v>100</v>
      </c>
      <c r="L37" s="9">
        <v>65537</v>
      </c>
      <c r="M37" s="71">
        <v>0.43472222222222223</v>
      </c>
    </row>
    <row r="38" spans="1:13" x14ac:dyDescent="0.35">
      <c r="A38" s="9" t="s">
        <v>1085</v>
      </c>
      <c r="B38" s="9" t="s">
        <v>1086</v>
      </c>
      <c r="C38" s="9">
        <v>7.06</v>
      </c>
      <c r="D38" s="9">
        <v>5091867800</v>
      </c>
      <c r="E38" s="9">
        <v>1</v>
      </c>
      <c r="F38" s="9" t="s">
        <v>1087</v>
      </c>
      <c r="G38" s="9" t="s">
        <v>985</v>
      </c>
      <c r="H38" s="9">
        <v>53.46</v>
      </c>
      <c r="I38" s="9">
        <v>54.19</v>
      </c>
      <c r="J38" s="9">
        <v>1.24</v>
      </c>
      <c r="K38" s="9">
        <v>61.58</v>
      </c>
      <c r="L38" s="9">
        <v>65537</v>
      </c>
      <c r="M38" s="71">
        <v>0.40104166666666669</v>
      </c>
    </row>
    <row r="39" spans="1:13" x14ac:dyDescent="0.35">
      <c r="A39" s="9" t="s">
        <v>1088</v>
      </c>
      <c r="B39" s="9" t="s">
        <v>1089</v>
      </c>
      <c r="C39" s="9">
        <v>46.48</v>
      </c>
      <c r="D39" s="9">
        <v>8405266200</v>
      </c>
      <c r="E39" s="9">
        <v>1</v>
      </c>
      <c r="F39" s="9" t="s">
        <v>1090</v>
      </c>
      <c r="G39" s="9" t="s">
        <v>985</v>
      </c>
      <c r="H39" s="9">
        <v>2.38</v>
      </c>
      <c r="I39" s="9">
        <v>10.02</v>
      </c>
      <c r="J39" s="9">
        <v>6.82</v>
      </c>
      <c r="K39" s="9">
        <v>100</v>
      </c>
      <c r="L39" s="9">
        <v>65537</v>
      </c>
      <c r="M39" s="71">
        <v>0.6210416666666666</v>
      </c>
    </row>
    <row r="40" spans="1:13" x14ac:dyDescent="0.35">
      <c r="A40" s="9" t="s">
        <v>446</v>
      </c>
      <c r="B40" s="9" t="s">
        <v>447</v>
      </c>
      <c r="C40" s="9">
        <v>35.65</v>
      </c>
      <c r="D40" s="9">
        <v>17173650000</v>
      </c>
      <c r="E40" s="9">
        <v>1</v>
      </c>
      <c r="F40" s="9" t="s">
        <v>448</v>
      </c>
      <c r="G40" s="9" t="s">
        <v>985</v>
      </c>
      <c r="H40" s="9">
        <v>1.9</v>
      </c>
      <c r="I40" s="9">
        <v>61.68</v>
      </c>
      <c r="J40" s="9">
        <v>5.38</v>
      </c>
      <c r="K40" s="9">
        <v>100</v>
      </c>
      <c r="L40" s="9">
        <v>65537</v>
      </c>
      <c r="M40" s="71">
        <v>0.62138888888888888</v>
      </c>
    </row>
    <row r="41" spans="1:13" x14ac:dyDescent="0.35">
      <c r="A41" s="9" t="s">
        <v>1091</v>
      </c>
      <c r="B41" s="9" t="s">
        <v>1092</v>
      </c>
      <c r="C41" s="9">
        <v>14.87</v>
      </c>
      <c r="D41" s="9">
        <v>7751731000</v>
      </c>
      <c r="E41" s="9">
        <v>1</v>
      </c>
      <c r="F41" s="9" t="s">
        <v>1093</v>
      </c>
      <c r="G41" s="9" t="s">
        <v>985</v>
      </c>
      <c r="H41" s="9">
        <v>70.44</v>
      </c>
      <c r="I41" s="9">
        <v>43.52</v>
      </c>
      <c r="J41" s="9">
        <v>1.1399999999999999</v>
      </c>
      <c r="K41" s="9">
        <v>100</v>
      </c>
      <c r="L41" s="9">
        <v>65537</v>
      </c>
      <c r="M41" s="71">
        <v>0.40295138888888887</v>
      </c>
    </row>
    <row r="42" spans="1:13" x14ac:dyDescent="0.35">
      <c r="A42" s="9" t="s">
        <v>1094</v>
      </c>
      <c r="B42" s="9" t="s">
        <v>1095</v>
      </c>
      <c r="C42" s="9">
        <v>10.38</v>
      </c>
      <c r="D42" s="9">
        <v>6837306000</v>
      </c>
      <c r="E42" s="9">
        <v>1</v>
      </c>
      <c r="F42" s="9" t="s">
        <v>1096</v>
      </c>
      <c r="G42" s="9" t="s">
        <v>985</v>
      </c>
      <c r="H42" s="9">
        <v>8.92</v>
      </c>
      <c r="I42" s="9">
        <v>44.72</v>
      </c>
      <c r="J42" s="9">
        <v>8.58</v>
      </c>
      <c r="K42" s="9">
        <v>100</v>
      </c>
      <c r="L42" s="9">
        <v>65537</v>
      </c>
      <c r="M42" s="71">
        <v>0.58006944444444442</v>
      </c>
    </row>
    <row r="43" spans="1:13" x14ac:dyDescent="0.35">
      <c r="A43" s="9" t="s">
        <v>1097</v>
      </c>
      <c r="B43" s="9" t="s">
        <v>1098</v>
      </c>
      <c r="C43" s="9">
        <v>12.52</v>
      </c>
      <c r="D43" s="9">
        <v>1670168000</v>
      </c>
      <c r="E43" s="9">
        <v>1</v>
      </c>
      <c r="F43" s="9" t="s">
        <v>1099</v>
      </c>
      <c r="G43" s="9" t="s">
        <v>987</v>
      </c>
      <c r="H43" s="9">
        <v>616.47</v>
      </c>
      <c r="I43" s="9">
        <v>2.94</v>
      </c>
      <c r="J43" s="9">
        <v>0.59</v>
      </c>
      <c r="K43" s="9">
        <v>77.42</v>
      </c>
      <c r="L43" s="9">
        <v>65537</v>
      </c>
      <c r="M43" s="71">
        <v>0.39583333333333331</v>
      </c>
    </row>
    <row r="44" spans="1:13" x14ac:dyDescent="0.35">
      <c r="A44" s="9" t="s">
        <v>479</v>
      </c>
      <c r="B44" s="9" t="s">
        <v>480</v>
      </c>
      <c r="C44" s="9">
        <v>14.39</v>
      </c>
      <c r="D44" s="9">
        <v>1431994900</v>
      </c>
      <c r="E44" s="9">
        <v>1</v>
      </c>
      <c r="F44" s="9" t="s">
        <v>481</v>
      </c>
      <c r="G44" s="9" t="s">
        <v>985</v>
      </c>
      <c r="H44" s="9">
        <v>26.88</v>
      </c>
      <c r="I44" s="9">
        <v>1.39</v>
      </c>
      <c r="J44" s="9">
        <v>16.920000000000002</v>
      </c>
      <c r="K44" s="9">
        <v>98.3</v>
      </c>
      <c r="L44" s="9">
        <v>65537</v>
      </c>
      <c r="M44" s="71">
        <v>0.40329861111111115</v>
      </c>
    </row>
    <row r="45" spans="1:13" x14ac:dyDescent="0.35">
      <c r="A45" s="9" t="s">
        <v>1100</v>
      </c>
      <c r="B45" s="9" t="s">
        <v>1101</v>
      </c>
      <c r="C45" s="9">
        <v>3.27</v>
      </c>
      <c r="D45" s="9">
        <v>6206946200</v>
      </c>
      <c r="E45" s="9">
        <v>1</v>
      </c>
      <c r="F45" s="9" t="s">
        <v>1102</v>
      </c>
      <c r="G45" s="9" t="s">
        <v>985</v>
      </c>
      <c r="H45" s="9">
        <v>5.57</v>
      </c>
      <c r="I45" s="9">
        <v>7.63</v>
      </c>
      <c r="J45" s="9">
        <v>10.9</v>
      </c>
      <c r="K45" s="9">
        <v>98.03</v>
      </c>
      <c r="L45" s="9">
        <v>65537</v>
      </c>
      <c r="M45" s="71">
        <v>0.46357638888888886</v>
      </c>
    </row>
    <row r="46" spans="1:13" x14ac:dyDescent="0.35">
      <c r="A46" s="9" t="s">
        <v>1103</v>
      </c>
      <c r="B46" s="9" t="s">
        <v>1104</v>
      </c>
      <c r="C46" s="9">
        <v>11.55</v>
      </c>
      <c r="D46" s="9">
        <v>2576647300</v>
      </c>
      <c r="E46" s="9">
        <v>1</v>
      </c>
      <c r="F46" s="9" t="s">
        <v>1105</v>
      </c>
      <c r="G46" s="9" t="s">
        <v>985</v>
      </c>
      <c r="H46" s="9">
        <v>23.96</v>
      </c>
      <c r="I46" s="9">
        <v>51.42</v>
      </c>
      <c r="J46" s="9">
        <v>8.1999999999999993</v>
      </c>
      <c r="K46" s="9">
        <v>92.37</v>
      </c>
      <c r="L46" s="9">
        <v>65537</v>
      </c>
      <c r="M46" s="71">
        <v>0.4045138888888889</v>
      </c>
    </row>
    <row r="47" spans="1:13" x14ac:dyDescent="0.35">
      <c r="A47" s="9" t="s">
        <v>1106</v>
      </c>
      <c r="B47" s="9" t="s">
        <v>1107</v>
      </c>
      <c r="C47" s="9">
        <v>7.19</v>
      </c>
      <c r="D47" s="9">
        <v>4923079400</v>
      </c>
      <c r="E47" s="9">
        <v>1</v>
      </c>
      <c r="F47" s="9" t="s">
        <v>1108</v>
      </c>
      <c r="G47" s="9" t="s">
        <v>985</v>
      </c>
      <c r="H47" s="9">
        <v>26.18</v>
      </c>
      <c r="I47" s="9">
        <v>32.96</v>
      </c>
      <c r="J47" s="9">
        <v>5.21</v>
      </c>
      <c r="K47" s="9">
        <v>76.849999999999994</v>
      </c>
      <c r="L47" s="9">
        <v>65537</v>
      </c>
      <c r="M47" s="71">
        <v>0.41597222222222219</v>
      </c>
    </row>
    <row r="48" spans="1:13" x14ac:dyDescent="0.35">
      <c r="A48" s="9" t="s">
        <v>1109</v>
      </c>
      <c r="B48" s="9" t="s">
        <v>1110</v>
      </c>
      <c r="C48" s="9">
        <v>13.74</v>
      </c>
      <c r="D48" s="9">
        <v>8066214600</v>
      </c>
      <c r="E48" s="9">
        <v>1</v>
      </c>
      <c r="F48" s="9" t="s">
        <v>1111</v>
      </c>
      <c r="G48" s="9" t="s">
        <v>985</v>
      </c>
      <c r="H48" s="9">
        <v>8.27</v>
      </c>
      <c r="I48" s="9">
        <v>40.700000000000003</v>
      </c>
      <c r="J48" s="9">
        <v>6.46</v>
      </c>
      <c r="K48" s="9">
        <v>45.92</v>
      </c>
      <c r="L48" s="9">
        <v>65537</v>
      </c>
      <c r="M48" s="71">
        <v>0.59152777777777776</v>
      </c>
    </row>
    <row r="49" spans="1:13" x14ac:dyDescent="0.35">
      <c r="A49" s="9" t="s">
        <v>1112</v>
      </c>
      <c r="B49" s="9" t="s">
        <v>1113</v>
      </c>
      <c r="C49" s="9">
        <v>7.14</v>
      </c>
      <c r="D49" s="9">
        <v>5647146400</v>
      </c>
      <c r="E49" s="9">
        <v>1</v>
      </c>
      <c r="F49" s="9" t="s">
        <v>1114</v>
      </c>
      <c r="G49" s="9" t="s">
        <v>985</v>
      </c>
      <c r="H49" s="9">
        <v>7.54</v>
      </c>
      <c r="I49" s="9">
        <v>44.16</v>
      </c>
      <c r="J49" s="9">
        <v>8.86</v>
      </c>
      <c r="K49" s="9">
        <v>63.03</v>
      </c>
      <c r="L49" s="9">
        <v>65537</v>
      </c>
      <c r="M49" s="71">
        <v>0.45958333333333329</v>
      </c>
    </row>
    <row r="50" spans="1:13" x14ac:dyDescent="0.35">
      <c r="A50" s="9" t="s">
        <v>1115</v>
      </c>
      <c r="B50" s="9" t="s">
        <v>1116</v>
      </c>
      <c r="C50" s="9">
        <v>10.67</v>
      </c>
      <c r="D50" s="9">
        <v>1707200000</v>
      </c>
      <c r="E50" s="9">
        <v>1</v>
      </c>
      <c r="F50" s="9" t="s">
        <v>401</v>
      </c>
      <c r="G50" s="9" t="s">
        <v>985</v>
      </c>
      <c r="H50" s="9">
        <v>17.3</v>
      </c>
      <c r="I50" s="9">
        <v>44.94</v>
      </c>
      <c r="J50" s="9">
        <v>13.22</v>
      </c>
      <c r="K50" s="9">
        <v>97.95</v>
      </c>
      <c r="L50" s="9">
        <v>65537</v>
      </c>
      <c r="M50" s="71">
        <v>0.55576388888888884</v>
      </c>
    </row>
    <row r="51" spans="1:13" x14ac:dyDescent="0.35">
      <c r="A51" s="9" t="s">
        <v>1117</v>
      </c>
      <c r="B51" s="9" t="s">
        <v>1118</v>
      </c>
      <c r="C51" s="9">
        <v>57.29</v>
      </c>
      <c r="D51" s="9">
        <v>17290253000</v>
      </c>
      <c r="E51" s="9">
        <v>1</v>
      </c>
      <c r="F51" s="9" t="s">
        <v>1119</v>
      </c>
      <c r="G51" s="9" t="s">
        <v>986</v>
      </c>
      <c r="H51" s="9">
        <v>20.29</v>
      </c>
      <c r="I51" s="9">
        <v>45.67</v>
      </c>
      <c r="J51" s="9">
        <v>5.17</v>
      </c>
      <c r="K51" s="9">
        <v>99.96</v>
      </c>
      <c r="L51" s="9">
        <v>65537</v>
      </c>
      <c r="M51" s="71">
        <v>0.40190972222222227</v>
      </c>
    </row>
    <row r="52" spans="1:13" x14ac:dyDescent="0.35">
      <c r="A52" s="9" t="s">
        <v>1120</v>
      </c>
      <c r="B52" s="9" t="s">
        <v>1121</v>
      </c>
      <c r="C52" s="9">
        <v>6.97</v>
      </c>
      <c r="D52" s="9">
        <v>3419808300</v>
      </c>
      <c r="E52" s="9">
        <v>1</v>
      </c>
      <c r="F52" s="9" t="s">
        <v>696</v>
      </c>
      <c r="G52" s="9" t="s">
        <v>985</v>
      </c>
      <c r="H52" s="9">
        <v>5.94</v>
      </c>
      <c r="I52" s="9">
        <v>32.159999999999997</v>
      </c>
      <c r="J52" s="9">
        <v>11.18</v>
      </c>
      <c r="K52" s="9">
        <v>92.74</v>
      </c>
      <c r="L52" s="9">
        <v>65537</v>
      </c>
      <c r="M52" s="71">
        <v>0.61722222222222223</v>
      </c>
    </row>
    <row r="53" spans="1:13" x14ac:dyDescent="0.35">
      <c r="A53" s="9" t="s">
        <v>1122</v>
      </c>
      <c r="B53" s="9" t="s">
        <v>1123</v>
      </c>
      <c r="C53" s="9">
        <v>11.09</v>
      </c>
      <c r="D53" s="9">
        <v>4673688300</v>
      </c>
      <c r="E53" s="9">
        <v>1</v>
      </c>
      <c r="F53" s="9" t="s">
        <v>1124</v>
      </c>
      <c r="G53" s="9" t="s">
        <v>985</v>
      </c>
      <c r="H53" s="9">
        <v>18.02</v>
      </c>
      <c r="I53" s="9">
        <v>31.98</v>
      </c>
      <c r="J53" s="9">
        <v>8.09</v>
      </c>
      <c r="K53" s="9">
        <v>98.28</v>
      </c>
      <c r="L53" s="9">
        <v>65537</v>
      </c>
      <c r="M53" s="71">
        <v>0.40364583333333331</v>
      </c>
    </row>
    <row r="54" spans="1:13" x14ac:dyDescent="0.35">
      <c r="A54" s="9" t="s">
        <v>991</v>
      </c>
      <c r="B54" s="9" t="s">
        <v>992</v>
      </c>
      <c r="C54" s="9">
        <v>16.12</v>
      </c>
      <c r="D54" s="9">
        <v>24105066000</v>
      </c>
      <c r="E54" s="9">
        <v>1</v>
      </c>
      <c r="F54" s="9" t="s">
        <v>1063</v>
      </c>
      <c r="G54" s="9" t="s">
        <v>985</v>
      </c>
      <c r="H54" s="9">
        <v>12.27</v>
      </c>
      <c r="I54" s="9">
        <v>56.03</v>
      </c>
      <c r="J54" s="9">
        <v>8.3800000000000008</v>
      </c>
      <c r="K54" s="9">
        <v>93.77</v>
      </c>
      <c r="L54" s="9">
        <v>65537</v>
      </c>
      <c r="M54" s="71">
        <v>0.43281249999999999</v>
      </c>
    </row>
    <row r="55" spans="1:13" x14ac:dyDescent="0.35">
      <c r="A55" s="9" t="s">
        <v>978</v>
      </c>
      <c r="B55" s="9" t="s">
        <v>977</v>
      </c>
      <c r="C55" s="9">
        <v>4.6100000000000003</v>
      </c>
      <c r="D55" s="9">
        <v>3157400100</v>
      </c>
      <c r="E55" s="9">
        <v>0</v>
      </c>
      <c r="F55" s="9" t="s">
        <v>696</v>
      </c>
      <c r="G55" s="9" t="s">
        <v>985</v>
      </c>
      <c r="H55" s="9">
        <v>0.36</v>
      </c>
      <c r="I55" s="9">
        <v>20.73</v>
      </c>
      <c r="J55" s="9">
        <v>24.75</v>
      </c>
      <c r="K55" s="9">
        <v>98.91</v>
      </c>
      <c r="L55" s="9">
        <v>131074</v>
      </c>
      <c r="M55" s="71">
        <v>0.6210416666666666</v>
      </c>
    </row>
    <row r="56" spans="1:13" x14ac:dyDescent="0.35">
      <c r="A56" s="9" t="s">
        <v>826</v>
      </c>
      <c r="B56" s="9" t="s">
        <v>827</v>
      </c>
      <c r="C56" s="9">
        <v>43.63</v>
      </c>
      <c r="D56" s="9">
        <v>18969844000</v>
      </c>
      <c r="E56" s="9">
        <v>0</v>
      </c>
      <c r="F56" s="9" t="s">
        <v>696</v>
      </c>
      <c r="G56" s="9" t="s">
        <v>985</v>
      </c>
      <c r="H56" s="9">
        <v>2.5499999999999998</v>
      </c>
      <c r="I56" s="9">
        <v>10.56</v>
      </c>
      <c r="J56" s="9">
        <v>5.75</v>
      </c>
      <c r="K56" s="9">
        <v>100</v>
      </c>
      <c r="L56" s="9">
        <v>131075</v>
      </c>
      <c r="M56" s="71">
        <v>0.61826388888888884</v>
      </c>
    </row>
    <row r="57" spans="1:13" x14ac:dyDescent="0.35">
      <c r="A57" s="9" t="s">
        <v>788</v>
      </c>
      <c r="B57" s="9" t="s">
        <v>789</v>
      </c>
      <c r="C57" s="9">
        <v>1.74</v>
      </c>
      <c r="D57" s="9">
        <v>1719477700</v>
      </c>
      <c r="E57" s="9">
        <v>0</v>
      </c>
      <c r="F57" s="9" t="s">
        <v>696</v>
      </c>
      <c r="G57" s="9" t="s">
        <v>985</v>
      </c>
      <c r="H57" s="9">
        <v>1.63</v>
      </c>
      <c r="I57" s="9">
        <v>8.69</v>
      </c>
      <c r="J57" s="9">
        <v>15.89</v>
      </c>
      <c r="K57" s="9">
        <v>79.69</v>
      </c>
      <c r="L57" s="9">
        <v>131075</v>
      </c>
      <c r="M57" s="71">
        <v>0.61930555555555555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B9286-E761-4F69-AE19-A511D81CE724}">
  <dimension ref="A1:M67"/>
  <sheetViews>
    <sheetView workbookViewId="0">
      <selection activeCell="I20" sqref="I20"/>
    </sheetView>
  </sheetViews>
  <sheetFormatPr defaultRowHeight="14.15" x14ac:dyDescent="0.35"/>
  <cols>
    <col min="1" max="16384" width="9.140625" style="9"/>
  </cols>
  <sheetData>
    <row r="1" spans="1:13" x14ac:dyDescent="0.35">
      <c r="A1" s="9" t="s">
        <v>292</v>
      </c>
      <c r="B1" s="9" t="s">
        <v>59</v>
      </c>
      <c r="C1" s="9" t="s">
        <v>1019</v>
      </c>
      <c r="D1" s="9" t="s">
        <v>293</v>
      </c>
      <c r="E1" s="9" t="s">
        <v>851</v>
      </c>
      <c r="F1" s="9" t="s">
        <v>850</v>
      </c>
      <c r="G1" s="9" t="s">
        <v>982</v>
      </c>
      <c r="H1" s="9" t="s">
        <v>983</v>
      </c>
      <c r="I1" s="9" t="s">
        <v>1017</v>
      </c>
      <c r="J1" s="9" t="s">
        <v>984</v>
      </c>
      <c r="K1" s="9" t="s">
        <v>1018</v>
      </c>
      <c r="L1" s="9" t="s">
        <v>1022</v>
      </c>
      <c r="M1" s="9" t="s">
        <v>1023</v>
      </c>
    </row>
    <row r="2" spans="1:13" x14ac:dyDescent="0.35">
      <c r="A2" s="9" t="s">
        <v>613</v>
      </c>
      <c r="B2" s="9" t="s">
        <v>131</v>
      </c>
      <c r="C2" s="9">
        <v>4.6900000000000004</v>
      </c>
      <c r="D2" s="9">
        <v>8729725500</v>
      </c>
      <c r="E2" s="9">
        <v>1</v>
      </c>
      <c r="F2" s="9" t="s">
        <v>614</v>
      </c>
      <c r="G2" s="9" t="s">
        <v>985</v>
      </c>
      <c r="H2" s="9">
        <v>1.3</v>
      </c>
      <c r="I2" s="9">
        <v>6.43</v>
      </c>
      <c r="J2" s="9">
        <v>50.86</v>
      </c>
      <c r="K2" s="9">
        <v>100</v>
      </c>
      <c r="L2" s="9">
        <v>655374</v>
      </c>
      <c r="M2" s="71">
        <v>0.61731481481481476</v>
      </c>
    </row>
    <row r="3" spans="1:13" x14ac:dyDescent="0.35">
      <c r="A3" s="9" t="s">
        <v>344</v>
      </c>
      <c r="B3" s="9" t="s">
        <v>262</v>
      </c>
      <c r="C3" s="9">
        <v>13.95</v>
      </c>
      <c r="D3" s="9">
        <v>13610665000</v>
      </c>
      <c r="E3" s="9">
        <v>9</v>
      </c>
      <c r="F3" s="9" t="s">
        <v>263</v>
      </c>
      <c r="G3" s="9" t="s">
        <v>986</v>
      </c>
      <c r="H3" s="9">
        <v>39.299999999999997</v>
      </c>
      <c r="I3" s="9">
        <v>73.84</v>
      </c>
      <c r="J3" s="9">
        <v>4.5</v>
      </c>
      <c r="K3" s="9">
        <v>100</v>
      </c>
      <c r="L3" s="9">
        <v>589833</v>
      </c>
      <c r="M3" s="71">
        <v>0.62064814814814817</v>
      </c>
    </row>
    <row r="4" spans="1:13" x14ac:dyDescent="0.35">
      <c r="A4" s="9" t="s">
        <v>129</v>
      </c>
      <c r="B4" s="9" t="s">
        <v>130</v>
      </c>
      <c r="C4" s="9">
        <v>7.74</v>
      </c>
      <c r="D4" s="9">
        <v>14948804000</v>
      </c>
      <c r="E4" s="9">
        <v>6</v>
      </c>
      <c r="F4" s="9" t="s">
        <v>281</v>
      </c>
      <c r="G4" s="9" t="s">
        <v>985</v>
      </c>
      <c r="H4" s="9">
        <v>13.72</v>
      </c>
      <c r="I4" s="9">
        <v>66.819999999999993</v>
      </c>
      <c r="J4" s="9">
        <v>8.57</v>
      </c>
      <c r="K4" s="9">
        <v>100</v>
      </c>
      <c r="L4" s="9">
        <v>393222</v>
      </c>
      <c r="M4" s="71">
        <v>0.40711805555555558</v>
      </c>
    </row>
    <row r="5" spans="1:13" x14ac:dyDescent="0.35">
      <c r="A5" s="9" t="s">
        <v>311</v>
      </c>
      <c r="B5" s="9" t="s">
        <v>312</v>
      </c>
      <c r="C5" s="9">
        <v>14.34</v>
      </c>
      <c r="D5" s="9">
        <v>5727352800</v>
      </c>
      <c r="E5" s="9">
        <v>5</v>
      </c>
      <c r="F5" s="9" t="s">
        <v>852</v>
      </c>
      <c r="G5" s="9" t="s">
        <v>986</v>
      </c>
      <c r="H5" s="9">
        <v>12.55</v>
      </c>
      <c r="I5" s="9">
        <v>37.69</v>
      </c>
      <c r="J5" s="9">
        <v>16.149999999999999</v>
      </c>
      <c r="K5" s="9">
        <v>100</v>
      </c>
      <c r="L5" s="9">
        <v>327685</v>
      </c>
      <c r="M5" s="71">
        <v>0.56062500000000004</v>
      </c>
    </row>
    <row r="6" spans="1:13" x14ac:dyDescent="0.35">
      <c r="A6" s="9" t="s">
        <v>334</v>
      </c>
      <c r="B6" s="9" t="s">
        <v>288</v>
      </c>
      <c r="C6" s="9">
        <v>5.83</v>
      </c>
      <c r="D6" s="9">
        <v>6354957300</v>
      </c>
      <c r="E6" s="9">
        <v>2</v>
      </c>
      <c r="F6" s="9" t="s">
        <v>289</v>
      </c>
      <c r="G6" s="9" t="s">
        <v>985</v>
      </c>
      <c r="H6" s="9">
        <v>1.1599999999999999</v>
      </c>
      <c r="I6" s="9">
        <v>49.54</v>
      </c>
      <c r="J6" s="9">
        <v>18.899999999999999</v>
      </c>
      <c r="K6" s="9">
        <v>100</v>
      </c>
      <c r="L6" s="9">
        <v>262150</v>
      </c>
      <c r="M6" s="71">
        <v>0.6150578703703703</v>
      </c>
    </row>
    <row r="7" spans="1:13" x14ac:dyDescent="0.35">
      <c r="A7" s="9" t="s">
        <v>299</v>
      </c>
      <c r="B7" s="9" t="s">
        <v>300</v>
      </c>
      <c r="C7" s="9">
        <v>22.62</v>
      </c>
      <c r="D7" s="9">
        <v>11727636700</v>
      </c>
      <c r="E7" s="9">
        <v>3</v>
      </c>
      <c r="F7" s="9" t="s">
        <v>152</v>
      </c>
      <c r="G7" s="9" t="s">
        <v>986</v>
      </c>
      <c r="H7" s="9">
        <v>17.579999999999998</v>
      </c>
      <c r="I7" s="9">
        <v>73.61</v>
      </c>
      <c r="J7" s="9">
        <v>5.32</v>
      </c>
      <c r="K7" s="9">
        <v>100</v>
      </c>
      <c r="L7" s="9">
        <v>262149</v>
      </c>
      <c r="M7" s="71">
        <v>0.39635416666666662</v>
      </c>
    </row>
    <row r="8" spans="1:13" x14ac:dyDescent="0.35">
      <c r="A8" s="9" t="s">
        <v>588</v>
      </c>
      <c r="B8" s="9" t="s">
        <v>589</v>
      </c>
      <c r="C8" s="9">
        <v>21.1</v>
      </c>
      <c r="D8" s="9">
        <v>1663929900</v>
      </c>
      <c r="E8" s="9">
        <v>3</v>
      </c>
      <c r="F8" s="9" t="s">
        <v>590</v>
      </c>
      <c r="G8" s="9" t="s">
        <v>987</v>
      </c>
      <c r="H8" s="9">
        <v>50.51</v>
      </c>
      <c r="I8" s="9">
        <v>8.6</v>
      </c>
      <c r="J8" s="9">
        <v>8.42</v>
      </c>
      <c r="K8" s="9">
        <v>100</v>
      </c>
      <c r="L8" s="9">
        <v>196611</v>
      </c>
      <c r="M8" s="71">
        <v>0.39583333333333331</v>
      </c>
    </row>
    <row r="9" spans="1:13" x14ac:dyDescent="0.35">
      <c r="A9" s="9" t="s">
        <v>582</v>
      </c>
      <c r="B9" s="9" t="s">
        <v>583</v>
      </c>
      <c r="C9" s="9">
        <v>74.14</v>
      </c>
      <c r="D9" s="9">
        <v>2120390500</v>
      </c>
      <c r="E9" s="9">
        <v>3</v>
      </c>
      <c r="F9" s="9" t="s">
        <v>584</v>
      </c>
      <c r="G9" s="9" t="s">
        <v>985</v>
      </c>
      <c r="H9" s="9">
        <v>10.33</v>
      </c>
      <c r="I9" s="9">
        <v>23.58</v>
      </c>
      <c r="J9" s="9">
        <v>14.31</v>
      </c>
      <c r="K9" s="9">
        <v>100</v>
      </c>
      <c r="L9" s="9">
        <v>196611</v>
      </c>
      <c r="M9" s="71">
        <v>0.40937499999999999</v>
      </c>
    </row>
    <row r="10" spans="1:13" x14ac:dyDescent="0.35">
      <c r="A10" s="9" t="s">
        <v>601</v>
      </c>
      <c r="B10" s="9" t="s">
        <v>602</v>
      </c>
      <c r="C10" s="9">
        <v>5.18</v>
      </c>
      <c r="D10" s="9">
        <v>5941236000</v>
      </c>
      <c r="E10" s="9">
        <v>3</v>
      </c>
      <c r="F10" s="9" t="s">
        <v>603</v>
      </c>
      <c r="G10" s="9" t="s">
        <v>985</v>
      </c>
      <c r="H10" s="9">
        <v>4.4400000000000004</v>
      </c>
      <c r="I10" s="9">
        <v>14.11</v>
      </c>
      <c r="J10" s="9">
        <v>27.97</v>
      </c>
      <c r="K10" s="9">
        <v>100</v>
      </c>
      <c r="L10" s="9">
        <v>196611</v>
      </c>
      <c r="M10" s="71">
        <v>0.56422453703703701</v>
      </c>
    </row>
    <row r="11" spans="1:13" x14ac:dyDescent="0.35">
      <c r="A11" s="9" t="s">
        <v>621</v>
      </c>
      <c r="B11" s="9" t="s">
        <v>622</v>
      </c>
      <c r="C11" s="9">
        <v>5.42</v>
      </c>
      <c r="D11" s="9">
        <v>3306438100</v>
      </c>
      <c r="E11" s="9">
        <v>3</v>
      </c>
      <c r="F11" s="9" t="s">
        <v>623</v>
      </c>
      <c r="G11" s="9" t="s">
        <v>985</v>
      </c>
      <c r="H11" s="9">
        <v>18.52</v>
      </c>
      <c r="I11" s="9">
        <v>35.42</v>
      </c>
      <c r="J11" s="9">
        <v>8.3000000000000007</v>
      </c>
      <c r="K11" s="9">
        <v>100</v>
      </c>
      <c r="L11" s="9">
        <v>196611</v>
      </c>
      <c r="M11" s="71">
        <v>0.4206597222222222</v>
      </c>
    </row>
    <row r="12" spans="1:13" x14ac:dyDescent="0.35">
      <c r="A12" s="9" t="s">
        <v>598</v>
      </c>
      <c r="B12" s="9" t="s">
        <v>599</v>
      </c>
      <c r="C12" s="9">
        <v>35.01</v>
      </c>
      <c r="D12" s="9">
        <v>4131701200</v>
      </c>
      <c r="E12" s="9">
        <v>3</v>
      </c>
      <c r="F12" s="9" t="s">
        <v>853</v>
      </c>
      <c r="G12" s="9" t="s">
        <v>986</v>
      </c>
      <c r="H12" s="9">
        <v>48.02</v>
      </c>
      <c r="I12" s="9">
        <v>35.31</v>
      </c>
      <c r="J12" s="9">
        <v>2.75</v>
      </c>
      <c r="K12" s="9">
        <v>100</v>
      </c>
      <c r="L12" s="9">
        <v>196611</v>
      </c>
      <c r="M12" s="71">
        <v>0.39583333333333331</v>
      </c>
    </row>
    <row r="13" spans="1:13" x14ac:dyDescent="0.35">
      <c r="A13" s="9" t="s">
        <v>768</v>
      </c>
      <c r="B13" s="9" t="s">
        <v>769</v>
      </c>
      <c r="C13" s="9">
        <v>6.66</v>
      </c>
      <c r="D13" s="9">
        <v>2212605600</v>
      </c>
      <c r="E13" s="9">
        <v>2</v>
      </c>
      <c r="F13" s="9" t="s">
        <v>857</v>
      </c>
      <c r="G13" s="9" t="s">
        <v>985</v>
      </c>
      <c r="H13" s="9">
        <v>14.88</v>
      </c>
      <c r="I13" s="9">
        <v>2.9</v>
      </c>
      <c r="J13" s="9">
        <v>20.93</v>
      </c>
      <c r="K13" s="9">
        <v>100</v>
      </c>
      <c r="L13" s="9">
        <v>131074</v>
      </c>
      <c r="M13" s="71">
        <v>0.56578703703703703</v>
      </c>
    </row>
    <row r="14" spans="1:13" x14ac:dyDescent="0.35">
      <c r="A14" s="9" t="s">
        <v>759</v>
      </c>
      <c r="B14" s="9" t="s">
        <v>760</v>
      </c>
      <c r="C14" s="9">
        <v>3.25</v>
      </c>
      <c r="D14" s="9">
        <v>21369374000</v>
      </c>
      <c r="E14" s="9">
        <v>2</v>
      </c>
      <c r="F14" s="9" t="s">
        <v>761</v>
      </c>
      <c r="G14" s="9" t="s">
        <v>985</v>
      </c>
      <c r="H14" s="9">
        <v>3.01</v>
      </c>
      <c r="I14" s="9">
        <v>40.82</v>
      </c>
      <c r="J14" s="9">
        <v>9.67</v>
      </c>
      <c r="K14" s="9">
        <v>95.82</v>
      </c>
      <c r="L14" s="9">
        <v>131074</v>
      </c>
      <c r="M14" s="71">
        <v>0.58741898148148153</v>
      </c>
    </row>
    <row r="15" spans="1:13" x14ac:dyDescent="0.35">
      <c r="A15" s="9" t="s">
        <v>777</v>
      </c>
      <c r="B15" s="9" t="s">
        <v>778</v>
      </c>
      <c r="C15" s="9">
        <v>6.49</v>
      </c>
      <c r="D15" s="9">
        <v>2774436700</v>
      </c>
      <c r="E15" s="9">
        <v>2</v>
      </c>
      <c r="F15" s="9" t="s">
        <v>856</v>
      </c>
      <c r="G15" s="9" t="s">
        <v>985</v>
      </c>
      <c r="H15" s="9">
        <v>6.05</v>
      </c>
      <c r="I15" s="9">
        <v>60.2</v>
      </c>
      <c r="J15" s="9">
        <v>13.91</v>
      </c>
      <c r="K15" s="9">
        <v>100</v>
      </c>
      <c r="L15" s="9">
        <v>131074</v>
      </c>
      <c r="M15" s="71">
        <v>0.46366898148148145</v>
      </c>
    </row>
    <row r="16" spans="1:13" x14ac:dyDescent="0.35">
      <c r="A16" s="9" t="s">
        <v>823</v>
      </c>
      <c r="B16" s="9" t="s">
        <v>824</v>
      </c>
      <c r="C16" s="9">
        <v>9.9600000000000009</v>
      </c>
      <c r="D16" s="9">
        <v>4026021200</v>
      </c>
      <c r="E16" s="9">
        <v>2</v>
      </c>
      <c r="F16" s="9" t="s">
        <v>825</v>
      </c>
      <c r="G16" s="9" t="s">
        <v>985</v>
      </c>
      <c r="H16" s="9">
        <v>20.22</v>
      </c>
      <c r="I16" s="9">
        <v>56.89</v>
      </c>
      <c r="J16" s="9">
        <v>8.24</v>
      </c>
      <c r="K16" s="9">
        <v>100</v>
      </c>
      <c r="L16" s="9">
        <v>131074</v>
      </c>
      <c r="M16" s="71">
        <v>0.47135416666666669</v>
      </c>
    </row>
    <row r="17" spans="1:13" x14ac:dyDescent="0.35">
      <c r="A17" s="9" t="s">
        <v>700</v>
      </c>
      <c r="B17" s="9" t="s">
        <v>701</v>
      </c>
      <c r="C17" s="9">
        <v>6.29</v>
      </c>
      <c r="D17" s="9">
        <v>2934521800</v>
      </c>
      <c r="E17" s="9">
        <v>2</v>
      </c>
      <c r="F17" s="9" t="s">
        <v>702</v>
      </c>
      <c r="G17" s="9" t="s">
        <v>987</v>
      </c>
      <c r="H17" s="9">
        <v>75.75</v>
      </c>
      <c r="I17" s="9">
        <v>25.06</v>
      </c>
      <c r="J17" s="9">
        <v>2.78</v>
      </c>
      <c r="K17" s="9">
        <v>100</v>
      </c>
      <c r="L17" s="9">
        <v>131074</v>
      </c>
      <c r="M17" s="71">
        <v>0.39583333333333331</v>
      </c>
    </row>
    <row r="18" spans="1:13" x14ac:dyDescent="0.35">
      <c r="A18" s="9" t="s">
        <v>715</v>
      </c>
      <c r="B18" s="9" t="s">
        <v>716</v>
      </c>
      <c r="C18" s="9">
        <v>10.69</v>
      </c>
      <c r="D18" s="9">
        <v>4364225000</v>
      </c>
      <c r="E18" s="9">
        <v>2</v>
      </c>
      <c r="F18" s="9" t="s">
        <v>854</v>
      </c>
      <c r="G18" s="9" t="s">
        <v>985</v>
      </c>
      <c r="H18" s="9">
        <v>61.28</v>
      </c>
      <c r="I18" s="9">
        <v>21.75</v>
      </c>
      <c r="J18" s="9">
        <v>8.74</v>
      </c>
      <c r="K18" s="9">
        <v>100</v>
      </c>
      <c r="L18" s="9">
        <v>131074</v>
      </c>
      <c r="M18" s="71">
        <v>0.40086805555555555</v>
      </c>
    </row>
    <row r="19" spans="1:13" x14ac:dyDescent="0.35">
      <c r="A19" s="9" t="s">
        <v>837</v>
      </c>
      <c r="B19" s="9" t="s">
        <v>838</v>
      </c>
      <c r="C19" s="9">
        <v>29.45</v>
      </c>
      <c r="D19" s="9">
        <v>4617760000</v>
      </c>
      <c r="E19" s="9">
        <v>2</v>
      </c>
      <c r="F19" s="9" t="s">
        <v>640</v>
      </c>
      <c r="G19" s="9" t="s">
        <v>985</v>
      </c>
      <c r="H19" s="9">
        <v>26.55</v>
      </c>
      <c r="I19" s="9">
        <v>11</v>
      </c>
      <c r="J19" s="9">
        <v>2.5499999999999998</v>
      </c>
      <c r="K19" s="9">
        <v>100</v>
      </c>
      <c r="L19" s="9">
        <v>131074</v>
      </c>
      <c r="M19" s="71">
        <v>0.39652777777777781</v>
      </c>
    </row>
    <row r="20" spans="1:13" x14ac:dyDescent="0.35">
      <c r="A20" s="9" t="s">
        <v>710</v>
      </c>
      <c r="B20" s="9" t="s">
        <v>711</v>
      </c>
      <c r="C20" s="9">
        <v>9.77</v>
      </c>
      <c r="D20" s="9">
        <v>5412914800</v>
      </c>
      <c r="E20" s="9">
        <v>2</v>
      </c>
      <c r="F20" s="9" t="s">
        <v>855</v>
      </c>
      <c r="G20" s="9" t="s">
        <v>985</v>
      </c>
      <c r="H20" s="9">
        <v>9.7799999999999994</v>
      </c>
      <c r="I20" s="9">
        <v>24.38</v>
      </c>
      <c r="J20" s="9">
        <v>16.899999999999999</v>
      </c>
      <c r="K20" s="9">
        <v>99.05</v>
      </c>
      <c r="L20" s="9">
        <v>131074</v>
      </c>
      <c r="M20" s="71">
        <v>0.42552083333333335</v>
      </c>
    </row>
    <row r="21" spans="1:13" x14ac:dyDescent="0.35">
      <c r="A21" s="9" t="s">
        <v>712</v>
      </c>
      <c r="B21" s="9" t="s">
        <v>713</v>
      </c>
      <c r="C21" s="9">
        <v>3.31</v>
      </c>
      <c r="D21" s="9">
        <v>4623139200</v>
      </c>
      <c r="E21" s="9">
        <v>2</v>
      </c>
      <c r="F21" s="9" t="s">
        <v>714</v>
      </c>
      <c r="G21" s="9" t="s">
        <v>985</v>
      </c>
      <c r="H21" s="9">
        <v>18.79</v>
      </c>
      <c r="I21" s="9">
        <v>36.72</v>
      </c>
      <c r="J21" s="9">
        <v>15.72</v>
      </c>
      <c r="K21" s="9">
        <v>92.45</v>
      </c>
      <c r="L21" s="9">
        <v>131074</v>
      </c>
      <c r="M21" s="71">
        <v>0.58359953703703704</v>
      </c>
    </row>
    <row r="22" spans="1:13" x14ac:dyDescent="0.35">
      <c r="A22" s="9" t="s">
        <v>894</v>
      </c>
      <c r="B22" s="9" t="s">
        <v>895</v>
      </c>
      <c r="C22" s="9">
        <v>5.28</v>
      </c>
      <c r="D22" s="9">
        <v>6333859200</v>
      </c>
      <c r="E22" s="9">
        <v>1</v>
      </c>
      <c r="F22" s="9" t="s">
        <v>896</v>
      </c>
      <c r="G22" s="9" t="s">
        <v>985</v>
      </c>
      <c r="H22" s="9">
        <v>5.16</v>
      </c>
      <c r="I22" s="9">
        <v>65.900000000000006</v>
      </c>
      <c r="J22" s="9">
        <v>10.62</v>
      </c>
      <c r="K22" s="9">
        <v>70.91</v>
      </c>
      <c r="L22" s="9">
        <v>65537</v>
      </c>
      <c r="M22" s="71">
        <v>0.58481481481481479</v>
      </c>
    </row>
    <row r="23" spans="1:13" x14ac:dyDescent="0.35">
      <c r="A23" s="9" t="s">
        <v>897</v>
      </c>
      <c r="B23" s="9" t="s">
        <v>898</v>
      </c>
      <c r="C23" s="9">
        <v>3.55</v>
      </c>
      <c r="D23" s="9">
        <v>6320657800</v>
      </c>
      <c r="E23" s="9">
        <v>1</v>
      </c>
      <c r="F23" s="9" t="s">
        <v>899</v>
      </c>
      <c r="G23" s="9" t="s">
        <v>985</v>
      </c>
      <c r="H23" s="9">
        <v>22.65</v>
      </c>
      <c r="I23" s="9">
        <v>24.31</v>
      </c>
      <c r="J23" s="9">
        <v>6.43</v>
      </c>
      <c r="K23" s="9">
        <v>89.63</v>
      </c>
      <c r="L23" s="9">
        <v>65537</v>
      </c>
      <c r="M23" s="71">
        <v>0.59732638888888889</v>
      </c>
    </row>
    <row r="24" spans="1:13" x14ac:dyDescent="0.35">
      <c r="A24" s="9" t="s">
        <v>900</v>
      </c>
      <c r="B24" s="9" t="s">
        <v>901</v>
      </c>
      <c r="C24" s="9">
        <v>6.19</v>
      </c>
      <c r="D24" s="9">
        <v>2980449400</v>
      </c>
      <c r="E24" s="9">
        <v>1</v>
      </c>
      <c r="F24" s="9" t="s">
        <v>988</v>
      </c>
      <c r="G24" s="9" t="s">
        <v>985</v>
      </c>
      <c r="H24" s="9">
        <v>103.79</v>
      </c>
      <c r="I24" s="9">
        <v>18.899999999999999</v>
      </c>
      <c r="J24" s="9">
        <v>4.3</v>
      </c>
      <c r="K24" s="9">
        <v>74.459999999999994</v>
      </c>
      <c r="L24" s="9">
        <v>65537</v>
      </c>
      <c r="M24" s="71">
        <v>0.39600694444444445</v>
      </c>
    </row>
    <row r="25" spans="1:13" x14ac:dyDescent="0.35">
      <c r="A25" s="9" t="s">
        <v>372</v>
      </c>
      <c r="B25" s="9" t="s">
        <v>373</v>
      </c>
      <c r="C25" s="9">
        <v>2.65</v>
      </c>
      <c r="D25" s="9">
        <v>9196116800</v>
      </c>
      <c r="E25" s="9">
        <v>1</v>
      </c>
      <c r="F25" s="9" t="s">
        <v>374</v>
      </c>
      <c r="G25" s="9" t="s">
        <v>985</v>
      </c>
      <c r="H25" s="9">
        <v>3.95</v>
      </c>
      <c r="I25" s="9">
        <v>46.13</v>
      </c>
      <c r="J25" s="9">
        <v>3.2</v>
      </c>
      <c r="K25" s="9">
        <v>89.82</v>
      </c>
      <c r="L25" s="9">
        <v>65537</v>
      </c>
      <c r="M25" s="71">
        <v>0.57832175925925922</v>
      </c>
    </row>
    <row r="26" spans="1:13" x14ac:dyDescent="0.35">
      <c r="A26" s="9" t="s">
        <v>891</v>
      </c>
      <c r="B26" s="9" t="s">
        <v>892</v>
      </c>
      <c r="C26" s="9">
        <v>2.71</v>
      </c>
      <c r="D26" s="9">
        <v>4772057700</v>
      </c>
      <c r="E26" s="9">
        <v>1</v>
      </c>
      <c r="F26" s="9" t="s">
        <v>893</v>
      </c>
      <c r="G26" s="9" t="s">
        <v>985</v>
      </c>
      <c r="H26" s="9">
        <v>27.66</v>
      </c>
      <c r="I26" s="9">
        <v>0.33</v>
      </c>
      <c r="J26" s="9">
        <v>5.78</v>
      </c>
      <c r="K26" s="9">
        <v>98.86</v>
      </c>
      <c r="L26" s="9">
        <v>65537</v>
      </c>
      <c r="M26" s="71">
        <v>0.40243055555555557</v>
      </c>
    </row>
    <row r="27" spans="1:13" x14ac:dyDescent="0.35">
      <c r="A27" s="9" t="s">
        <v>951</v>
      </c>
      <c r="B27" s="9" t="s">
        <v>950</v>
      </c>
      <c r="C27" s="9">
        <v>21.23</v>
      </c>
      <c r="D27" s="9">
        <v>13378560600</v>
      </c>
      <c r="E27" s="9">
        <v>1</v>
      </c>
      <c r="F27" s="9" t="s">
        <v>949</v>
      </c>
      <c r="G27" s="9" t="s">
        <v>985</v>
      </c>
      <c r="H27" s="9">
        <v>2.92</v>
      </c>
      <c r="I27" s="9">
        <v>42.42</v>
      </c>
      <c r="J27" s="9">
        <v>4.66</v>
      </c>
      <c r="K27" s="9">
        <v>93.68</v>
      </c>
      <c r="L27" s="9">
        <v>65537</v>
      </c>
      <c r="M27" s="71">
        <v>0.61679398148148146</v>
      </c>
    </row>
    <row r="28" spans="1:13" x14ac:dyDescent="0.35">
      <c r="A28" s="9" t="s">
        <v>954</v>
      </c>
      <c r="B28" s="9" t="s">
        <v>953</v>
      </c>
      <c r="C28" s="9">
        <v>4.97</v>
      </c>
      <c r="D28" s="9">
        <v>4021764600</v>
      </c>
      <c r="E28" s="9">
        <v>1</v>
      </c>
      <c r="F28" s="9" t="s">
        <v>952</v>
      </c>
      <c r="G28" s="9" t="s">
        <v>985</v>
      </c>
      <c r="H28" s="9">
        <v>4.3</v>
      </c>
      <c r="I28" s="9">
        <v>24.39</v>
      </c>
      <c r="J28" s="9">
        <v>5.65</v>
      </c>
      <c r="K28" s="9">
        <v>96.12</v>
      </c>
      <c r="L28" s="9">
        <v>65537</v>
      </c>
      <c r="M28" s="71">
        <v>0.56825231481481475</v>
      </c>
    </row>
    <row r="29" spans="1:13" x14ac:dyDescent="0.35">
      <c r="A29" s="9" t="s">
        <v>354</v>
      </c>
      <c r="B29" s="9" t="s">
        <v>282</v>
      </c>
      <c r="C29" s="9">
        <v>7.61</v>
      </c>
      <c r="D29" s="9">
        <v>4315384600</v>
      </c>
      <c r="E29" s="9">
        <v>1</v>
      </c>
      <c r="F29" s="9" t="s">
        <v>283</v>
      </c>
      <c r="G29" s="9" t="s">
        <v>985</v>
      </c>
      <c r="H29" s="9">
        <v>21.12</v>
      </c>
      <c r="I29" s="9">
        <v>51.3</v>
      </c>
      <c r="J29" s="9">
        <v>9.6999999999999993</v>
      </c>
      <c r="K29" s="9">
        <v>77.069999999999993</v>
      </c>
      <c r="L29" s="9">
        <v>65537</v>
      </c>
      <c r="M29" s="71">
        <v>0.42552083333333335</v>
      </c>
    </row>
    <row r="30" spans="1:13" x14ac:dyDescent="0.35">
      <c r="A30" s="9" t="s">
        <v>969</v>
      </c>
      <c r="B30" s="9" t="s">
        <v>968</v>
      </c>
      <c r="C30" s="9">
        <v>13.05</v>
      </c>
      <c r="D30" s="9">
        <v>3014550000</v>
      </c>
      <c r="E30" s="9">
        <v>1</v>
      </c>
      <c r="F30" s="9" t="s">
        <v>967</v>
      </c>
      <c r="G30" s="9" t="s">
        <v>985</v>
      </c>
      <c r="H30" s="9">
        <v>24.39</v>
      </c>
      <c r="I30" s="9">
        <v>42.79</v>
      </c>
      <c r="J30" s="9">
        <v>9.5399999999999991</v>
      </c>
      <c r="K30" s="9">
        <v>79.599999999999994</v>
      </c>
      <c r="L30" s="9">
        <v>65537</v>
      </c>
      <c r="M30" s="71">
        <v>0.47916666666666669</v>
      </c>
    </row>
    <row r="31" spans="1:13" x14ac:dyDescent="0.35">
      <c r="A31" s="9" t="s">
        <v>957</v>
      </c>
      <c r="B31" s="9" t="s">
        <v>956</v>
      </c>
      <c r="C31" s="9">
        <v>4.07</v>
      </c>
      <c r="D31" s="9">
        <v>5435811800</v>
      </c>
      <c r="E31" s="9">
        <v>1</v>
      </c>
      <c r="F31" s="9" t="s">
        <v>955</v>
      </c>
      <c r="G31" s="9" t="s">
        <v>985</v>
      </c>
      <c r="H31" s="9">
        <v>12.61</v>
      </c>
      <c r="I31" s="9">
        <v>33.869999999999997</v>
      </c>
      <c r="J31" s="9">
        <v>5.52</v>
      </c>
      <c r="K31" s="9">
        <v>86.66</v>
      </c>
      <c r="L31" s="9">
        <v>65537</v>
      </c>
      <c r="M31" s="71">
        <v>0.42690972222222223</v>
      </c>
    </row>
    <row r="32" spans="1:13" x14ac:dyDescent="0.35">
      <c r="A32" s="9" t="s">
        <v>960</v>
      </c>
      <c r="B32" s="9" t="s">
        <v>959</v>
      </c>
      <c r="C32" s="9">
        <v>9</v>
      </c>
      <c r="D32" s="9">
        <v>4204491200</v>
      </c>
      <c r="E32" s="9">
        <v>1</v>
      </c>
      <c r="F32" s="9" t="s">
        <v>958</v>
      </c>
      <c r="G32" s="9" t="s">
        <v>985</v>
      </c>
      <c r="H32" s="9">
        <v>24.05</v>
      </c>
      <c r="I32" s="9">
        <v>31.38</v>
      </c>
      <c r="J32" s="9">
        <v>5.15</v>
      </c>
      <c r="K32" s="9">
        <v>78.11</v>
      </c>
      <c r="L32" s="9">
        <v>65537</v>
      </c>
      <c r="M32" s="71">
        <v>0.41388888888888892</v>
      </c>
    </row>
    <row r="33" spans="1:13" x14ac:dyDescent="0.35">
      <c r="A33" s="9" t="s">
        <v>972</v>
      </c>
      <c r="B33" s="9" t="s">
        <v>971</v>
      </c>
      <c r="C33" s="9">
        <v>6.44</v>
      </c>
      <c r="D33" s="9">
        <v>2357826900</v>
      </c>
      <c r="E33" s="9">
        <v>1</v>
      </c>
      <c r="F33" s="9" t="s">
        <v>970</v>
      </c>
      <c r="G33" s="9" t="s">
        <v>985</v>
      </c>
      <c r="H33" s="9">
        <v>71.8</v>
      </c>
      <c r="I33" s="9">
        <v>39.31</v>
      </c>
      <c r="J33" s="9">
        <v>3.45</v>
      </c>
      <c r="K33" s="9">
        <v>57.16</v>
      </c>
      <c r="L33" s="9">
        <v>65537</v>
      </c>
      <c r="M33" s="71">
        <v>0.47916666666666669</v>
      </c>
    </row>
    <row r="34" spans="1:13" x14ac:dyDescent="0.35">
      <c r="A34" s="9" t="s">
        <v>963</v>
      </c>
      <c r="B34" s="9" t="s">
        <v>962</v>
      </c>
      <c r="C34" s="9">
        <v>15.47</v>
      </c>
      <c r="D34" s="9">
        <v>7180528600</v>
      </c>
      <c r="E34" s="9">
        <v>1</v>
      </c>
      <c r="F34" s="9" t="s">
        <v>961</v>
      </c>
      <c r="G34" s="9" t="s">
        <v>985</v>
      </c>
      <c r="H34" s="9">
        <v>8.34</v>
      </c>
      <c r="I34" s="9">
        <v>57.52</v>
      </c>
      <c r="J34" s="9">
        <v>15.76</v>
      </c>
      <c r="K34" s="9">
        <v>84.96</v>
      </c>
      <c r="L34" s="9">
        <v>65537</v>
      </c>
      <c r="M34" s="71">
        <v>0.56405092592592598</v>
      </c>
    </row>
    <row r="35" spans="1:13" x14ac:dyDescent="0.35">
      <c r="A35" s="9" t="s">
        <v>975</v>
      </c>
      <c r="B35" s="9" t="s">
        <v>974</v>
      </c>
      <c r="C35" s="9">
        <v>5.75</v>
      </c>
      <c r="D35" s="9">
        <v>7256929500</v>
      </c>
      <c r="E35" s="9">
        <v>1</v>
      </c>
      <c r="F35" s="9" t="s">
        <v>973</v>
      </c>
      <c r="G35" s="9" t="s">
        <v>985</v>
      </c>
      <c r="H35" s="9">
        <v>12.48</v>
      </c>
      <c r="I35" s="9">
        <v>40.880000000000003</v>
      </c>
      <c r="J35" s="9">
        <v>4.42</v>
      </c>
      <c r="K35" s="9">
        <v>61.08</v>
      </c>
      <c r="L35" s="9">
        <v>65537</v>
      </c>
      <c r="M35" s="71">
        <v>0.46785879629629629</v>
      </c>
    </row>
    <row r="36" spans="1:13" x14ac:dyDescent="0.35">
      <c r="A36" s="9" t="s">
        <v>966</v>
      </c>
      <c r="B36" s="9" t="s">
        <v>965</v>
      </c>
      <c r="C36" s="9">
        <v>4.96</v>
      </c>
      <c r="D36" s="9">
        <v>12667393000</v>
      </c>
      <c r="E36" s="9">
        <v>1</v>
      </c>
      <c r="F36" s="9" t="s">
        <v>964</v>
      </c>
      <c r="G36" s="9" t="s">
        <v>985</v>
      </c>
      <c r="H36" s="9">
        <v>6.65</v>
      </c>
      <c r="I36" s="9">
        <v>79.680000000000007</v>
      </c>
      <c r="J36" s="9">
        <v>3.8</v>
      </c>
      <c r="K36" s="9">
        <v>77.45</v>
      </c>
      <c r="L36" s="9">
        <v>65537</v>
      </c>
      <c r="M36" s="71">
        <v>0.55277777777777781</v>
      </c>
    </row>
    <row r="37" spans="1:13" x14ac:dyDescent="0.35">
      <c r="A37" s="9" t="s">
        <v>978</v>
      </c>
      <c r="B37" s="9" t="s">
        <v>977</v>
      </c>
      <c r="C37" s="9">
        <v>4.1900000000000004</v>
      </c>
      <c r="D37" s="9">
        <v>2869741100</v>
      </c>
      <c r="E37" s="9">
        <v>1</v>
      </c>
      <c r="F37" s="9" t="s">
        <v>976</v>
      </c>
      <c r="G37" s="9" t="s">
        <v>985</v>
      </c>
      <c r="H37" s="9">
        <v>44.25</v>
      </c>
      <c r="I37" s="9">
        <v>20.73</v>
      </c>
      <c r="J37" s="9">
        <v>8.02</v>
      </c>
      <c r="K37" s="9">
        <v>95.98</v>
      </c>
      <c r="L37" s="9">
        <v>65537</v>
      </c>
      <c r="M37" s="71">
        <v>0.45121527777777781</v>
      </c>
    </row>
    <row r="38" spans="1:13" x14ac:dyDescent="0.35">
      <c r="A38" s="9" t="s">
        <v>981</v>
      </c>
      <c r="B38" s="9" t="s">
        <v>980</v>
      </c>
      <c r="C38" s="9">
        <v>6.18</v>
      </c>
      <c r="D38" s="9">
        <v>4299838700</v>
      </c>
      <c r="E38" s="9">
        <v>1</v>
      </c>
      <c r="F38" s="9" t="s">
        <v>979</v>
      </c>
      <c r="G38" s="9" t="s">
        <v>985</v>
      </c>
      <c r="H38" s="9">
        <v>2.91</v>
      </c>
      <c r="I38" s="9">
        <v>36.58</v>
      </c>
      <c r="J38" s="9">
        <v>13.55</v>
      </c>
      <c r="K38" s="9">
        <v>99.97</v>
      </c>
      <c r="L38" s="9">
        <v>65537</v>
      </c>
      <c r="M38" s="71">
        <v>0.62064814814814817</v>
      </c>
    </row>
    <row r="39" spans="1:13" x14ac:dyDescent="0.35">
      <c r="A39" s="9" t="s">
        <v>904</v>
      </c>
      <c r="B39" s="9" t="s">
        <v>903</v>
      </c>
      <c r="C39" s="9">
        <v>17.690000000000001</v>
      </c>
      <c r="D39" s="9">
        <v>884500000</v>
      </c>
      <c r="E39" s="9">
        <v>1</v>
      </c>
      <c r="F39" s="9" t="s">
        <v>902</v>
      </c>
      <c r="G39" s="9" t="s">
        <v>986</v>
      </c>
      <c r="H39" s="9">
        <v>18.16</v>
      </c>
      <c r="I39" s="9">
        <v>0.35</v>
      </c>
      <c r="J39" s="9">
        <v>16.440000000000001</v>
      </c>
      <c r="K39" s="9">
        <v>98.07</v>
      </c>
      <c r="L39" s="9">
        <v>65537</v>
      </c>
      <c r="M39" s="71">
        <v>0.43107638888888888</v>
      </c>
    </row>
    <row r="40" spans="1:13" x14ac:dyDescent="0.35">
      <c r="A40" s="9" t="s">
        <v>907</v>
      </c>
      <c r="B40" s="9" t="s">
        <v>906</v>
      </c>
      <c r="C40" s="9">
        <v>14.94</v>
      </c>
      <c r="D40" s="9">
        <v>640926000</v>
      </c>
      <c r="E40" s="9">
        <v>1</v>
      </c>
      <c r="F40" s="9" t="s">
        <v>905</v>
      </c>
      <c r="G40" s="9" t="s">
        <v>985</v>
      </c>
      <c r="H40" s="9">
        <v>92.54</v>
      </c>
      <c r="I40" s="9">
        <v>18.18</v>
      </c>
      <c r="J40" s="9">
        <v>11.17</v>
      </c>
      <c r="K40" s="9">
        <v>99.97</v>
      </c>
      <c r="L40" s="9">
        <v>65537</v>
      </c>
      <c r="M40" s="71">
        <v>0.59802083333333333</v>
      </c>
    </row>
    <row r="41" spans="1:13" x14ac:dyDescent="0.35">
      <c r="A41" s="9" t="s">
        <v>910</v>
      </c>
      <c r="B41" s="9" t="s">
        <v>909</v>
      </c>
      <c r="C41" s="9">
        <v>24.97</v>
      </c>
      <c r="D41" s="9">
        <v>943616300</v>
      </c>
      <c r="E41" s="9">
        <v>1</v>
      </c>
      <c r="F41" s="9" t="s">
        <v>908</v>
      </c>
      <c r="G41" s="9" t="s">
        <v>985</v>
      </c>
      <c r="H41" s="9">
        <v>63.47</v>
      </c>
      <c r="I41" s="9">
        <v>9.16</v>
      </c>
      <c r="J41" s="9">
        <v>6.54</v>
      </c>
      <c r="K41" s="9">
        <v>85.47</v>
      </c>
      <c r="L41" s="9">
        <v>65537</v>
      </c>
      <c r="M41" s="71">
        <v>0.41197916666666662</v>
      </c>
    </row>
    <row r="42" spans="1:13" x14ac:dyDescent="0.35">
      <c r="A42" s="9" t="s">
        <v>913</v>
      </c>
      <c r="B42" s="9" t="s">
        <v>912</v>
      </c>
      <c r="C42" s="9">
        <v>13.84</v>
      </c>
      <c r="D42" s="9">
        <v>2096760000</v>
      </c>
      <c r="E42" s="9">
        <v>1</v>
      </c>
      <c r="F42" s="9" t="s">
        <v>911</v>
      </c>
      <c r="G42" s="9" t="s">
        <v>985</v>
      </c>
      <c r="H42" s="9">
        <v>18.899999999999999</v>
      </c>
      <c r="I42" s="9">
        <v>50.78</v>
      </c>
      <c r="J42" s="9">
        <v>6.69</v>
      </c>
      <c r="K42" s="9">
        <v>72.94</v>
      </c>
      <c r="L42" s="9">
        <v>65537</v>
      </c>
      <c r="M42" s="71">
        <v>0.4045138888888889</v>
      </c>
    </row>
    <row r="43" spans="1:13" x14ac:dyDescent="0.35">
      <c r="A43" s="9" t="s">
        <v>925</v>
      </c>
      <c r="B43" s="9" t="s">
        <v>924</v>
      </c>
      <c r="C43" s="9">
        <v>11.86</v>
      </c>
      <c r="D43" s="9">
        <v>2789472000</v>
      </c>
      <c r="E43" s="9">
        <v>1</v>
      </c>
      <c r="F43" s="9" t="s">
        <v>923</v>
      </c>
      <c r="G43" s="9" t="s">
        <v>985</v>
      </c>
      <c r="H43" s="9">
        <v>26.25</v>
      </c>
      <c r="I43" s="9">
        <v>25.67</v>
      </c>
      <c r="J43" s="9">
        <v>3.58</v>
      </c>
      <c r="K43" s="9">
        <v>97.03</v>
      </c>
      <c r="L43" s="9">
        <v>65537</v>
      </c>
      <c r="M43" s="71">
        <v>0.40225694444444443</v>
      </c>
    </row>
    <row r="44" spans="1:13" x14ac:dyDescent="0.35">
      <c r="A44" s="9" t="s">
        <v>916</v>
      </c>
      <c r="B44" s="9" t="s">
        <v>915</v>
      </c>
      <c r="C44" s="9">
        <v>30.1</v>
      </c>
      <c r="D44" s="9">
        <v>3253208000</v>
      </c>
      <c r="E44" s="9">
        <v>1</v>
      </c>
      <c r="F44" s="9" t="s">
        <v>914</v>
      </c>
      <c r="G44" s="9" t="s">
        <v>985</v>
      </c>
      <c r="H44" s="9">
        <v>54.87</v>
      </c>
      <c r="I44" s="9">
        <v>70.959999999999994</v>
      </c>
      <c r="J44" s="9">
        <v>2.08</v>
      </c>
      <c r="K44" s="9">
        <v>90.29</v>
      </c>
      <c r="L44" s="9">
        <v>65537</v>
      </c>
      <c r="M44" s="71">
        <v>0.56010416666666674</v>
      </c>
    </row>
    <row r="45" spans="1:13" x14ac:dyDescent="0.35">
      <c r="A45" s="9" t="s">
        <v>927</v>
      </c>
      <c r="B45" s="9" t="s">
        <v>926</v>
      </c>
      <c r="C45" s="9">
        <v>10.45</v>
      </c>
      <c r="D45" s="9">
        <v>4585429200</v>
      </c>
      <c r="E45" s="9">
        <v>1</v>
      </c>
      <c r="F45" s="9" t="s">
        <v>640</v>
      </c>
      <c r="G45" s="9" t="s">
        <v>985</v>
      </c>
      <c r="H45" s="9">
        <v>21.66</v>
      </c>
      <c r="I45" s="9">
        <v>4</v>
      </c>
      <c r="J45" s="9">
        <v>6.27</v>
      </c>
      <c r="K45" s="9">
        <v>73.59</v>
      </c>
      <c r="L45" s="9">
        <v>65537</v>
      </c>
      <c r="M45" s="71">
        <v>0.55810185185185179</v>
      </c>
    </row>
    <row r="46" spans="1:13" x14ac:dyDescent="0.35">
      <c r="A46" s="9" t="s">
        <v>945</v>
      </c>
      <c r="B46" s="9" t="s">
        <v>944</v>
      </c>
      <c r="C46" s="9">
        <v>14.34</v>
      </c>
      <c r="D46" s="9">
        <v>2161634500</v>
      </c>
      <c r="E46" s="9">
        <v>1</v>
      </c>
      <c r="F46" s="9" t="s">
        <v>943</v>
      </c>
      <c r="G46" s="9" t="s">
        <v>985</v>
      </c>
      <c r="H46" s="9">
        <v>3.18</v>
      </c>
      <c r="I46" s="9">
        <v>5.22</v>
      </c>
      <c r="J46" s="9">
        <v>11.5</v>
      </c>
      <c r="K46" s="9">
        <v>80.47</v>
      </c>
      <c r="L46" s="9">
        <v>65537</v>
      </c>
      <c r="M46" s="71">
        <v>0.60394675925925922</v>
      </c>
    </row>
    <row r="47" spans="1:13" x14ac:dyDescent="0.35">
      <c r="A47" s="9" t="s">
        <v>929</v>
      </c>
      <c r="B47" s="9" t="s">
        <v>928</v>
      </c>
      <c r="C47" s="9">
        <v>7.78</v>
      </c>
      <c r="D47" s="9">
        <v>2218405200</v>
      </c>
      <c r="E47" s="9">
        <v>1</v>
      </c>
      <c r="F47" s="9" t="s">
        <v>537</v>
      </c>
      <c r="G47" s="9" t="s">
        <v>985</v>
      </c>
      <c r="H47" s="9">
        <v>37.67</v>
      </c>
      <c r="I47" s="9">
        <v>18.61</v>
      </c>
      <c r="J47" s="9">
        <v>2.27</v>
      </c>
      <c r="K47" s="9">
        <v>68.05</v>
      </c>
      <c r="L47" s="9">
        <v>65537</v>
      </c>
      <c r="M47" s="71">
        <v>0.39878472222222222</v>
      </c>
    </row>
    <row r="48" spans="1:13" x14ac:dyDescent="0.35">
      <c r="A48" s="9" t="s">
        <v>919</v>
      </c>
      <c r="B48" s="9" t="s">
        <v>918</v>
      </c>
      <c r="C48" s="9">
        <v>17.14</v>
      </c>
      <c r="D48" s="9">
        <v>2650254700</v>
      </c>
      <c r="E48" s="9">
        <v>1</v>
      </c>
      <c r="F48" s="9" t="s">
        <v>917</v>
      </c>
      <c r="G48" s="9" t="s">
        <v>987</v>
      </c>
      <c r="H48" s="9">
        <v>214.66</v>
      </c>
      <c r="I48" s="9">
        <v>52</v>
      </c>
      <c r="J48" s="9">
        <v>2.44</v>
      </c>
      <c r="K48" s="9">
        <v>73.17</v>
      </c>
      <c r="L48" s="9">
        <v>65537</v>
      </c>
      <c r="M48" s="71">
        <v>0.39583333333333331</v>
      </c>
    </row>
    <row r="49" spans="1:13" x14ac:dyDescent="0.35">
      <c r="A49" s="9" t="s">
        <v>922</v>
      </c>
      <c r="B49" s="9" t="s">
        <v>921</v>
      </c>
      <c r="C49" s="9">
        <v>42.72</v>
      </c>
      <c r="D49" s="9">
        <v>5156361400</v>
      </c>
      <c r="E49" s="9">
        <v>1</v>
      </c>
      <c r="F49" s="9" t="s">
        <v>920</v>
      </c>
      <c r="G49" s="9" t="s">
        <v>986</v>
      </c>
      <c r="H49" s="9">
        <v>31.7</v>
      </c>
      <c r="I49" s="9">
        <v>33.29</v>
      </c>
      <c r="J49" s="9">
        <v>2.46</v>
      </c>
      <c r="K49" s="9">
        <v>88.64</v>
      </c>
      <c r="L49" s="9">
        <v>65537</v>
      </c>
      <c r="M49" s="71">
        <v>0.39756944444444442</v>
      </c>
    </row>
    <row r="50" spans="1:13" x14ac:dyDescent="0.35">
      <c r="A50" s="9" t="s">
        <v>931</v>
      </c>
      <c r="B50" s="9" t="s">
        <v>930</v>
      </c>
      <c r="C50" s="9">
        <v>7.57</v>
      </c>
      <c r="D50" s="9">
        <v>2561755900</v>
      </c>
      <c r="E50" s="9">
        <v>1</v>
      </c>
      <c r="F50" s="9" t="s">
        <v>758</v>
      </c>
      <c r="G50" s="9" t="s">
        <v>985</v>
      </c>
      <c r="H50" s="9">
        <v>4.59</v>
      </c>
      <c r="I50" s="9">
        <v>2.42</v>
      </c>
      <c r="J50" s="9">
        <v>8.81</v>
      </c>
      <c r="K50" s="9">
        <v>62.2</v>
      </c>
      <c r="L50" s="9">
        <v>65537</v>
      </c>
      <c r="M50" s="71">
        <v>0.41857638888888887</v>
      </c>
    </row>
    <row r="51" spans="1:13" x14ac:dyDescent="0.35">
      <c r="A51" s="9" t="s">
        <v>934</v>
      </c>
      <c r="B51" s="9" t="s">
        <v>933</v>
      </c>
      <c r="C51" s="9">
        <v>7.88</v>
      </c>
      <c r="D51" s="9">
        <v>3171254700</v>
      </c>
      <c r="E51" s="9">
        <v>1</v>
      </c>
      <c r="F51" s="9" t="s">
        <v>932</v>
      </c>
      <c r="G51" s="9" t="s">
        <v>985</v>
      </c>
      <c r="H51" s="9">
        <v>2.82</v>
      </c>
      <c r="I51" s="9">
        <v>42.82</v>
      </c>
      <c r="J51" s="9">
        <v>5.0599999999999996</v>
      </c>
      <c r="K51" s="9">
        <v>81.180000000000007</v>
      </c>
      <c r="L51" s="9">
        <v>65537</v>
      </c>
      <c r="M51" s="71">
        <v>0.62012731481481487</v>
      </c>
    </row>
    <row r="52" spans="1:13" x14ac:dyDescent="0.35">
      <c r="A52" s="9" t="s">
        <v>936</v>
      </c>
      <c r="B52" s="9" t="s">
        <v>935</v>
      </c>
      <c r="C52" s="9">
        <v>6.27</v>
      </c>
      <c r="D52" s="9">
        <v>6442594900</v>
      </c>
      <c r="E52" s="9">
        <v>1</v>
      </c>
      <c r="F52" s="9" t="s">
        <v>989</v>
      </c>
      <c r="G52" s="9" t="s">
        <v>985</v>
      </c>
      <c r="H52" s="9">
        <v>25.12</v>
      </c>
      <c r="I52" s="9">
        <v>20.440000000000001</v>
      </c>
      <c r="J52" s="9">
        <v>3.34</v>
      </c>
      <c r="K52" s="9">
        <v>69.22</v>
      </c>
      <c r="L52" s="9">
        <v>65537</v>
      </c>
      <c r="M52" s="71">
        <v>0.40937499999999999</v>
      </c>
    </row>
    <row r="53" spans="1:13" x14ac:dyDescent="0.35">
      <c r="A53" s="9" t="s">
        <v>939</v>
      </c>
      <c r="B53" s="9" t="s">
        <v>938</v>
      </c>
      <c r="C53" s="9">
        <v>9.6999999999999993</v>
      </c>
      <c r="D53" s="9">
        <v>1536771000</v>
      </c>
      <c r="E53" s="9">
        <v>1</v>
      </c>
      <c r="F53" s="9" t="s">
        <v>937</v>
      </c>
      <c r="G53" s="9" t="s">
        <v>985</v>
      </c>
      <c r="H53" s="9">
        <v>3.24</v>
      </c>
      <c r="I53" s="9">
        <v>30.75</v>
      </c>
      <c r="J53" s="9">
        <v>15.66</v>
      </c>
      <c r="K53" s="9">
        <v>89.07</v>
      </c>
      <c r="L53" s="9">
        <v>65537</v>
      </c>
      <c r="M53" s="71">
        <v>0.62221064814814808</v>
      </c>
    </row>
    <row r="54" spans="1:13" x14ac:dyDescent="0.35">
      <c r="A54" s="9" t="s">
        <v>948</v>
      </c>
      <c r="B54" s="9" t="s">
        <v>947</v>
      </c>
      <c r="C54" s="9">
        <v>9.8000000000000007</v>
      </c>
      <c r="D54" s="9">
        <v>16275040000</v>
      </c>
      <c r="E54" s="9">
        <v>1</v>
      </c>
      <c r="F54" s="9" t="s">
        <v>946</v>
      </c>
      <c r="G54" s="9" t="s">
        <v>985</v>
      </c>
      <c r="H54" s="9">
        <v>8.5500000000000007</v>
      </c>
      <c r="I54" s="9">
        <v>24.8</v>
      </c>
      <c r="J54" s="9">
        <v>7.21</v>
      </c>
      <c r="K54" s="9">
        <v>100</v>
      </c>
      <c r="L54" s="9">
        <v>65537</v>
      </c>
      <c r="M54" s="71">
        <v>0.54260416666666667</v>
      </c>
    </row>
    <row r="55" spans="1:13" x14ac:dyDescent="0.35">
      <c r="A55" s="9" t="s">
        <v>942</v>
      </c>
      <c r="B55" s="9" t="s">
        <v>941</v>
      </c>
      <c r="C55" s="9">
        <v>5.73</v>
      </c>
      <c r="D55" s="9">
        <v>2531216000</v>
      </c>
      <c r="E55" s="9">
        <v>1</v>
      </c>
      <c r="F55" s="9" t="s">
        <v>940</v>
      </c>
      <c r="G55" s="9" t="s">
        <v>985</v>
      </c>
      <c r="H55" s="9">
        <v>21.65</v>
      </c>
      <c r="I55" s="9">
        <v>39.020000000000003</v>
      </c>
      <c r="J55" s="9">
        <v>5.7</v>
      </c>
      <c r="K55" s="9">
        <v>93.1</v>
      </c>
      <c r="L55" s="9">
        <v>65537</v>
      </c>
      <c r="M55" s="71">
        <v>0.55847222222222215</v>
      </c>
    </row>
    <row r="56" spans="1:13" x14ac:dyDescent="0.35">
      <c r="A56" s="9" t="s">
        <v>858</v>
      </c>
      <c r="B56" s="9" t="s">
        <v>859</v>
      </c>
      <c r="C56" s="9">
        <v>30.72</v>
      </c>
      <c r="D56" s="9">
        <v>1417213800</v>
      </c>
      <c r="E56" s="9">
        <v>1</v>
      </c>
      <c r="F56" s="9" t="s">
        <v>860</v>
      </c>
      <c r="G56" s="9" t="s">
        <v>985</v>
      </c>
      <c r="H56" s="9">
        <v>7.02</v>
      </c>
      <c r="I56" s="9">
        <v>5.05</v>
      </c>
      <c r="J56" s="9">
        <v>44.24</v>
      </c>
      <c r="K56" s="9">
        <v>100</v>
      </c>
      <c r="L56" s="9">
        <v>65537</v>
      </c>
      <c r="M56" s="71">
        <v>0.59245370370370376</v>
      </c>
    </row>
    <row r="57" spans="1:13" x14ac:dyDescent="0.35">
      <c r="A57" s="9" t="s">
        <v>861</v>
      </c>
      <c r="B57" s="9" t="s">
        <v>862</v>
      </c>
      <c r="C57" s="9">
        <v>17.59</v>
      </c>
      <c r="D57" s="9">
        <v>1013297370</v>
      </c>
      <c r="E57" s="9">
        <v>1</v>
      </c>
      <c r="F57" s="9" t="s">
        <v>990</v>
      </c>
      <c r="G57" s="9" t="s">
        <v>985</v>
      </c>
      <c r="H57" s="9">
        <v>11.95</v>
      </c>
      <c r="I57" s="9">
        <v>0</v>
      </c>
      <c r="J57" s="9">
        <v>17.07</v>
      </c>
      <c r="K57" s="9">
        <v>100</v>
      </c>
      <c r="L57" s="9">
        <v>65537</v>
      </c>
      <c r="M57" s="71">
        <v>0.39600694444444445</v>
      </c>
    </row>
    <row r="58" spans="1:13" x14ac:dyDescent="0.35">
      <c r="A58" s="9" t="s">
        <v>863</v>
      </c>
      <c r="B58" s="9" t="s">
        <v>864</v>
      </c>
      <c r="C58" s="9">
        <v>50.4</v>
      </c>
      <c r="D58" s="9">
        <v>3037708800</v>
      </c>
      <c r="E58" s="9">
        <v>1</v>
      </c>
      <c r="F58" s="9" t="s">
        <v>865</v>
      </c>
      <c r="G58" s="9" t="s">
        <v>985</v>
      </c>
      <c r="H58" s="9">
        <v>42.39</v>
      </c>
      <c r="I58" s="9">
        <v>43.95</v>
      </c>
      <c r="J58" s="9">
        <v>6.45</v>
      </c>
      <c r="K58" s="9">
        <v>83.1</v>
      </c>
      <c r="L58" s="9">
        <v>65537</v>
      </c>
      <c r="M58" s="71">
        <v>0.43368055555555557</v>
      </c>
    </row>
    <row r="59" spans="1:13" x14ac:dyDescent="0.35">
      <c r="A59" s="9" t="s">
        <v>866</v>
      </c>
      <c r="B59" s="9" t="s">
        <v>867</v>
      </c>
      <c r="C59" s="9">
        <v>19.989999999999998</v>
      </c>
      <c r="D59" s="9">
        <v>4710339500</v>
      </c>
      <c r="E59" s="9">
        <v>1</v>
      </c>
      <c r="F59" s="9" t="s">
        <v>868</v>
      </c>
      <c r="G59" s="9" t="s">
        <v>987</v>
      </c>
      <c r="H59" s="9">
        <v>167.58</v>
      </c>
      <c r="I59" s="9">
        <v>29.59</v>
      </c>
      <c r="J59" s="9">
        <v>1.51</v>
      </c>
      <c r="K59" s="9">
        <v>86.14</v>
      </c>
      <c r="L59" s="9">
        <v>65537</v>
      </c>
      <c r="M59" s="71">
        <v>0.39583333333333331</v>
      </c>
    </row>
    <row r="60" spans="1:13" x14ac:dyDescent="0.35">
      <c r="A60" s="9" t="s">
        <v>869</v>
      </c>
      <c r="B60" s="9" t="s">
        <v>870</v>
      </c>
      <c r="C60" s="9">
        <v>13.75</v>
      </c>
      <c r="D60" s="9">
        <v>1033888980</v>
      </c>
      <c r="E60" s="9">
        <v>1</v>
      </c>
      <c r="F60" s="9" t="s">
        <v>276</v>
      </c>
      <c r="G60" s="9" t="s">
        <v>985</v>
      </c>
      <c r="H60" s="9">
        <v>17.260000000000002</v>
      </c>
      <c r="I60" s="9">
        <v>8.3699999999999992</v>
      </c>
      <c r="J60" s="9">
        <v>13.7</v>
      </c>
      <c r="K60" s="9">
        <v>98.98</v>
      </c>
      <c r="L60" s="9">
        <v>65537</v>
      </c>
      <c r="M60" s="71">
        <v>0.39982638888888888</v>
      </c>
    </row>
    <row r="61" spans="1:13" x14ac:dyDescent="0.35">
      <c r="A61" s="9" t="s">
        <v>871</v>
      </c>
      <c r="B61" s="9" t="s">
        <v>872</v>
      </c>
      <c r="C61" s="9">
        <v>40.03</v>
      </c>
      <c r="D61" s="9">
        <v>5739922300</v>
      </c>
      <c r="E61" s="9">
        <v>1</v>
      </c>
      <c r="F61" s="9" t="s">
        <v>873</v>
      </c>
      <c r="G61" s="9" t="s">
        <v>985</v>
      </c>
      <c r="H61" s="9">
        <v>28.88</v>
      </c>
      <c r="I61" s="9">
        <v>11.85</v>
      </c>
      <c r="J61" s="9">
        <v>4.9800000000000004</v>
      </c>
      <c r="K61" s="9">
        <v>59.45</v>
      </c>
      <c r="L61" s="9">
        <v>65537</v>
      </c>
      <c r="M61" s="71">
        <v>0.4357638888888889</v>
      </c>
    </row>
    <row r="62" spans="1:13" x14ac:dyDescent="0.35">
      <c r="A62" s="9" t="s">
        <v>874</v>
      </c>
      <c r="B62" s="9" t="s">
        <v>875</v>
      </c>
      <c r="C62" s="9">
        <v>16.64</v>
      </c>
      <c r="D62" s="9">
        <v>2605371900</v>
      </c>
      <c r="E62" s="9">
        <v>1</v>
      </c>
      <c r="F62" s="9" t="s">
        <v>876</v>
      </c>
      <c r="G62" s="9" t="s">
        <v>985</v>
      </c>
      <c r="H62" s="9">
        <v>15.42</v>
      </c>
      <c r="I62" s="9">
        <v>20.41</v>
      </c>
      <c r="J62" s="9">
        <v>11.99</v>
      </c>
      <c r="K62" s="9">
        <v>94.81</v>
      </c>
      <c r="L62" s="9">
        <v>65537</v>
      </c>
      <c r="M62" s="71">
        <v>0.57849537037037035</v>
      </c>
    </row>
    <row r="63" spans="1:13" x14ac:dyDescent="0.35">
      <c r="A63" s="9" t="s">
        <v>877</v>
      </c>
      <c r="B63" s="9" t="s">
        <v>878</v>
      </c>
      <c r="C63" s="9">
        <v>15.46</v>
      </c>
      <c r="D63" s="9">
        <v>2402728800</v>
      </c>
      <c r="E63" s="9">
        <v>1</v>
      </c>
      <c r="F63" s="9" t="s">
        <v>879</v>
      </c>
      <c r="G63" s="9" t="s">
        <v>985</v>
      </c>
      <c r="H63" s="9">
        <v>76.08</v>
      </c>
      <c r="I63" s="9">
        <v>69.150000000000006</v>
      </c>
      <c r="J63" s="9">
        <v>2.89</v>
      </c>
      <c r="K63" s="9">
        <v>100</v>
      </c>
      <c r="L63" s="9">
        <v>65537</v>
      </c>
      <c r="M63" s="71">
        <v>0.59888888888888892</v>
      </c>
    </row>
    <row r="64" spans="1:13" x14ac:dyDescent="0.35">
      <c r="A64" s="9" t="s">
        <v>880</v>
      </c>
      <c r="B64" s="9" t="s">
        <v>881</v>
      </c>
      <c r="C64" s="9">
        <v>6.08</v>
      </c>
      <c r="D64" s="9">
        <v>4393115600</v>
      </c>
      <c r="E64" s="9">
        <v>1</v>
      </c>
      <c r="F64" s="9" t="s">
        <v>882</v>
      </c>
      <c r="G64" s="9" t="s">
        <v>985</v>
      </c>
      <c r="H64" s="9">
        <v>11.83</v>
      </c>
      <c r="I64" s="9">
        <v>64.09</v>
      </c>
      <c r="J64" s="9">
        <v>6.07</v>
      </c>
      <c r="K64" s="9">
        <v>64.73</v>
      </c>
      <c r="L64" s="9">
        <v>65537</v>
      </c>
      <c r="M64" s="71">
        <v>0.44027777777777777</v>
      </c>
    </row>
    <row r="65" spans="1:13" x14ac:dyDescent="0.35">
      <c r="A65" s="9" t="s">
        <v>883</v>
      </c>
      <c r="B65" s="9" t="s">
        <v>884</v>
      </c>
      <c r="C65" s="9">
        <v>4.5199999999999996</v>
      </c>
      <c r="D65" s="9">
        <v>4969710200</v>
      </c>
      <c r="E65" s="9">
        <v>1</v>
      </c>
      <c r="F65" s="9" t="s">
        <v>885</v>
      </c>
      <c r="G65" s="9" t="s">
        <v>985</v>
      </c>
      <c r="H65" s="9">
        <v>21.96</v>
      </c>
      <c r="I65" s="9">
        <v>2.85</v>
      </c>
      <c r="J65" s="9">
        <v>8.1999999999999993</v>
      </c>
      <c r="K65" s="9">
        <v>89.61</v>
      </c>
      <c r="L65" s="9">
        <v>65537</v>
      </c>
      <c r="M65" s="71">
        <v>0.41788194444444443</v>
      </c>
    </row>
    <row r="66" spans="1:13" x14ac:dyDescent="0.35">
      <c r="A66" s="9" t="s">
        <v>886</v>
      </c>
      <c r="B66" s="9" t="s">
        <v>887</v>
      </c>
      <c r="C66" s="9">
        <v>7.05</v>
      </c>
      <c r="D66" s="9">
        <v>4565692100</v>
      </c>
      <c r="E66" s="9">
        <v>1</v>
      </c>
      <c r="F66" s="9" t="s">
        <v>888</v>
      </c>
      <c r="G66" s="9" t="s">
        <v>985</v>
      </c>
      <c r="H66" s="9">
        <v>12.09</v>
      </c>
      <c r="I66" s="9">
        <v>34.630000000000003</v>
      </c>
      <c r="J66" s="9">
        <v>6.28</v>
      </c>
      <c r="K66" s="9">
        <v>92.88</v>
      </c>
      <c r="L66" s="9">
        <v>65537</v>
      </c>
      <c r="M66" s="71">
        <v>0.43784722222222222</v>
      </c>
    </row>
    <row r="67" spans="1:13" x14ac:dyDescent="0.35">
      <c r="A67" s="9" t="s">
        <v>889</v>
      </c>
      <c r="B67" s="9" t="s">
        <v>890</v>
      </c>
      <c r="C67" s="9">
        <v>8</v>
      </c>
      <c r="D67" s="9">
        <v>4166975300</v>
      </c>
      <c r="E67" s="9">
        <v>1</v>
      </c>
      <c r="F67" s="9" t="s">
        <v>865</v>
      </c>
      <c r="G67" s="9" t="s">
        <v>985</v>
      </c>
      <c r="H67" s="9">
        <v>9.7100000000000009</v>
      </c>
      <c r="I67" s="9">
        <v>3.41</v>
      </c>
      <c r="J67" s="9">
        <v>7.06</v>
      </c>
      <c r="K67" s="9">
        <v>96.12</v>
      </c>
      <c r="L67" s="9">
        <v>65537</v>
      </c>
      <c r="M67" s="71">
        <v>0.42048611111111112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28F1D-B34A-4AC8-ADDB-E0DDE728C01C}">
  <dimension ref="A1:E78"/>
  <sheetViews>
    <sheetView topLeftCell="A67" workbookViewId="0">
      <selection activeCell="I20" sqref="I20"/>
    </sheetView>
  </sheetViews>
  <sheetFormatPr defaultRowHeight="14.15" x14ac:dyDescent="0.35"/>
  <cols>
    <col min="1" max="3" width="9.140625" style="9"/>
    <col min="4" max="4" width="30.78515625" style="9" bestFit="1" customWidth="1"/>
    <col min="5" max="16384" width="9.140625" style="9"/>
  </cols>
  <sheetData>
    <row r="1" spans="1:5" x14ac:dyDescent="0.35">
      <c r="A1" s="9" t="s">
        <v>292</v>
      </c>
      <c r="B1" s="9" t="s">
        <v>59</v>
      </c>
      <c r="C1" s="9" t="s">
        <v>293</v>
      </c>
      <c r="D1" s="9" t="s">
        <v>687</v>
      </c>
      <c r="E1" s="9" t="s">
        <v>688</v>
      </c>
    </row>
    <row r="2" spans="1:5" x14ac:dyDescent="0.35">
      <c r="A2" s="9" t="s">
        <v>689</v>
      </c>
      <c r="B2" s="9" t="s">
        <v>690</v>
      </c>
      <c r="C2" s="9">
        <v>3204165300</v>
      </c>
      <c r="D2" s="9" t="s">
        <v>691</v>
      </c>
      <c r="E2" s="9">
        <v>1</v>
      </c>
    </row>
    <row r="3" spans="1:5" x14ac:dyDescent="0.35">
      <c r="A3" s="9" t="s">
        <v>692</v>
      </c>
      <c r="B3" s="9" t="s">
        <v>693</v>
      </c>
      <c r="C3" s="9">
        <v>20931403000</v>
      </c>
      <c r="D3" s="9" t="s">
        <v>469</v>
      </c>
      <c r="E3" s="9">
        <v>1</v>
      </c>
    </row>
    <row r="4" spans="1:5" x14ac:dyDescent="0.35">
      <c r="A4" s="9" t="s">
        <v>694</v>
      </c>
      <c r="B4" s="9" t="s">
        <v>695</v>
      </c>
      <c r="C4" s="9">
        <v>15029779000</v>
      </c>
      <c r="D4" s="9" t="s">
        <v>696</v>
      </c>
      <c r="E4" s="9">
        <v>1</v>
      </c>
    </row>
    <row r="5" spans="1:5" x14ac:dyDescent="0.35">
      <c r="A5" s="9" t="s">
        <v>299</v>
      </c>
      <c r="B5" s="9" t="s">
        <v>300</v>
      </c>
      <c r="C5" s="9">
        <v>10659602600</v>
      </c>
      <c r="D5" s="9" t="s">
        <v>152</v>
      </c>
      <c r="E5" s="9">
        <v>2</v>
      </c>
    </row>
    <row r="6" spans="1:5" x14ac:dyDescent="0.35">
      <c r="A6" s="9" t="s">
        <v>301</v>
      </c>
      <c r="B6" s="9" t="s">
        <v>286</v>
      </c>
      <c r="C6" s="9">
        <v>52653214000</v>
      </c>
      <c r="D6" s="9" t="s">
        <v>287</v>
      </c>
      <c r="E6" s="9">
        <v>5</v>
      </c>
    </row>
    <row r="7" spans="1:5" x14ac:dyDescent="0.35">
      <c r="A7" s="9" t="s">
        <v>621</v>
      </c>
      <c r="B7" s="9" t="s">
        <v>622</v>
      </c>
      <c r="C7" s="9">
        <v>3007516500</v>
      </c>
      <c r="D7" s="9" t="s">
        <v>623</v>
      </c>
      <c r="E7" s="9">
        <v>2</v>
      </c>
    </row>
    <row r="8" spans="1:5" x14ac:dyDescent="0.35">
      <c r="A8" s="9" t="s">
        <v>697</v>
      </c>
      <c r="B8" s="9" t="s">
        <v>698</v>
      </c>
      <c r="C8" s="9">
        <v>5131922400</v>
      </c>
      <c r="D8" s="9" t="s">
        <v>699</v>
      </c>
      <c r="E8" s="9">
        <v>1</v>
      </c>
    </row>
    <row r="9" spans="1:5" x14ac:dyDescent="0.35">
      <c r="A9" s="9" t="s">
        <v>700</v>
      </c>
      <c r="B9" s="9" t="s">
        <v>701</v>
      </c>
      <c r="C9" s="9">
        <v>2668595300</v>
      </c>
      <c r="D9" s="9" t="s">
        <v>702</v>
      </c>
      <c r="E9" s="9">
        <v>1</v>
      </c>
    </row>
    <row r="10" spans="1:5" x14ac:dyDescent="0.35">
      <c r="A10" s="9" t="s">
        <v>311</v>
      </c>
      <c r="B10" s="9" t="s">
        <v>312</v>
      </c>
      <c r="C10" s="9">
        <v>5208136700</v>
      </c>
      <c r="D10" s="9" t="s">
        <v>646</v>
      </c>
      <c r="E10" s="9">
        <v>4</v>
      </c>
    </row>
    <row r="11" spans="1:5" x14ac:dyDescent="0.35">
      <c r="A11" s="9" t="s">
        <v>703</v>
      </c>
      <c r="B11" s="9" t="s">
        <v>704</v>
      </c>
      <c r="C11" s="9">
        <v>4618772000</v>
      </c>
      <c r="D11" s="9" t="s">
        <v>705</v>
      </c>
      <c r="E11" s="9">
        <v>1</v>
      </c>
    </row>
    <row r="12" spans="1:5" x14ac:dyDescent="0.35">
      <c r="A12" s="9" t="s">
        <v>706</v>
      </c>
      <c r="B12" s="9" t="s">
        <v>707</v>
      </c>
      <c r="C12" s="9">
        <v>3662119500</v>
      </c>
      <c r="D12" s="9" t="s">
        <v>708</v>
      </c>
      <c r="E12" s="9">
        <v>1</v>
      </c>
    </row>
    <row r="13" spans="1:5" x14ac:dyDescent="0.35">
      <c r="A13" s="9" t="s">
        <v>319</v>
      </c>
      <c r="B13" s="9" t="s">
        <v>320</v>
      </c>
      <c r="C13" s="9">
        <v>2699393000</v>
      </c>
      <c r="D13" s="9" t="s">
        <v>488</v>
      </c>
      <c r="E13" s="9">
        <v>4</v>
      </c>
    </row>
    <row r="14" spans="1:5" x14ac:dyDescent="0.35">
      <c r="A14" s="9" t="s">
        <v>610</v>
      </c>
      <c r="B14" s="9" t="s">
        <v>611</v>
      </c>
      <c r="C14" s="9">
        <v>3385922800</v>
      </c>
      <c r="D14" s="9" t="s">
        <v>709</v>
      </c>
      <c r="E14" s="9">
        <v>2</v>
      </c>
    </row>
    <row r="15" spans="1:5" x14ac:dyDescent="0.35">
      <c r="A15" s="9" t="s">
        <v>710</v>
      </c>
      <c r="B15" s="9" t="s">
        <v>711</v>
      </c>
      <c r="C15" s="9">
        <v>4919824300</v>
      </c>
      <c r="D15" s="9" t="s">
        <v>84</v>
      </c>
      <c r="E15" s="9">
        <v>1</v>
      </c>
    </row>
    <row r="16" spans="1:5" x14ac:dyDescent="0.35">
      <c r="A16" s="9" t="s">
        <v>712</v>
      </c>
      <c r="B16" s="9" t="s">
        <v>713</v>
      </c>
      <c r="C16" s="9">
        <v>4204123500</v>
      </c>
      <c r="D16" s="9" t="s">
        <v>714</v>
      </c>
      <c r="E16" s="9">
        <v>1</v>
      </c>
    </row>
    <row r="17" spans="1:5" x14ac:dyDescent="0.35">
      <c r="A17" s="9" t="s">
        <v>715</v>
      </c>
      <c r="B17" s="9" t="s">
        <v>716</v>
      </c>
      <c r="C17" s="9">
        <v>3968219500</v>
      </c>
      <c r="D17" s="9" t="s">
        <v>717</v>
      </c>
      <c r="E17" s="9">
        <v>1</v>
      </c>
    </row>
    <row r="18" spans="1:5" x14ac:dyDescent="0.35">
      <c r="A18" s="9" t="s">
        <v>718</v>
      </c>
      <c r="B18" s="9" t="s">
        <v>719</v>
      </c>
      <c r="C18" s="9">
        <v>3293805100</v>
      </c>
      <c r="D18" s="9" t="s">
        <v>720</v>
      </c>
      <c r="E18" s="9">
        <v>1</v>
      </c>
    </row>
    <row r="19" spans="1:5" x14ac:dyDescent="0.35">
      <c r="A19" s="9" t="s">
        <v>79</v>
      </c>
      <c r="B19" s="9" t="s">
        <v>530</v>
      </c>
      <c r="C19" s="9">
        <v>11614454900</v>
      </c>
      <c r="D19" s="9" t="s">
        <v>531</v>
      </c>
      <c r="E19" s="9">
        <v>1</v>
      </c>
    </row>
    <row r="20" spans="1:5" x14ac:dyDescent="0.35">
      <c r="A20" s="9" t="s">
        <v>721</v>
      </c>
      <c r="B20" s="9" t="s">
        <v>722</v>
      </c>
      <c r="C20" s="9">
        <v>5576614100</v>
      </c>
      <c r="D20" s="9" t="s">
        <v>723</v>
      </c>
      <c r="E20" s="9">
        <v>1</v>
      </c>
    </row>
    <row r="21" spans="1:5" x14ac:dyDescent="0.35">
      <c r="A21" s="9" t="s">
        <v>724</v>
      </c>
      <c r="B21" s="9" t="s">
        <v>725</v>
      </c>
      <c r="C21" s="9">
        <v>2021705300</v>
      </c>
      <c r="D21" s="9" t="s">
        <v>726</v>
      </c>
      <c r="E21" s="9">
        <v>1</v>
      </c>
    </row>
    <row r="22" spans="1:5" x14ac:dyDescent="0.35">
      <c r="A22" s="9" t="s">
        <v>727</v>
      </c>
      <c r="B22" s="9" t="s">
        <v>728</v>
      </c>
      <c r="C22" s="9">
        <v>1830012900</v>
      </c>
      <c r="D22" s="9" t="s">
        <v>729</v>
      </c>
      <c r="E22" s="9">
        <v>1</v>
      </c>
    </row>
    <row r="23" spans="1:5" x14ac:dyDescent="0.35">
      <c r="A23" s="9" t="s">
        <v>730</v>
      </c>
      <c r="B23" s="9" t="s">
        <v>731</v>
      </c>
      <c r="C23" s="9">
        <v>9550950900</v>
      </c>
      <c r="D23" s="9" t="s">
        <v>732</v>
      </c>
      <c r="E23" s="9">
        <v>1</v>
      </c>
    </row>
    <row r="24" spans="1:5" x14ac:dyDescent="0.35">
      <c r="A24" s="9" t="s">
        <v>334</v>
      </c>
      <c r="B24" s="9" t="s">
        <v>288</v>
      </c>
      <c r="C24" s="9">
        <v>5777233900</v>
      </c>
      <c r="D24" s="9" t="s">
        <v>289</v>
      </c>
      <c r="E24" s="9">
        <v>1</v>
      </c>
    </row>
    <row r="25" spans="1:5" x14ac:dyDescent="0.35">
      <c r="A25" s="9" t="s">
        <v>733</v>
      </c>
      <c r="B25" s="9" t="s">
        <v>734</v>
      </c>
      <c r="C25" s="9">
        <v>5556450300</v>
      </c>
      <c r="D25" s="9" t="s">
        <v>696</v>
      </c>
      <c r="E25" s="9">
        <v>1</v>
      </c>
    </row>
    <row r="26" spans="1:5" x14ac:dyDescent="0.35">
      <c r="A26" s="9" t="s">
        <v>344</v>
      </c>
      <c r="B26" s="9" t="s">
        <v>262</v>
      </c>
      <c r="C26" s="9">
        <v>12371558300</v>
      </c>
      <c r="D26" s="9" t="s">
        <v>263</v>
      </c>
      <c r="E26" s="9">
        <v>8</v>
      </c>
    </row>
    <row r="27" spans="1:5" x14ac:dyDescent="0.35">
      <c r="A27" s="9" t="s">
        <v>735</v>
      </c>
      <c r="B27" s="9" t="s">
        <v>736</v>
      </c>
      <c r="C27" s="9">
        <v>4942638600</v>
      </c>
      <c r="D27" s="9" t="s">
        <v>737</v>
      </c>
      <c r="E27" s="9">
        <v>1</v>
      </c>
    </row>
    <row r="28" spans="1:5" x14ac:dyDescent="0.35">
      <c r="A28" s="9" t="s">
        <v>738</v>
      </c>
      <c r="B28" s="9" t="s">
        <v>739</v>
      </c>
      <c r="C28" s="9">
        <v>125209798000</v>
      </c>
      <c r="D28" s="9" t="s">
        <v>740</v>
      </c>
      <c r="E28" s="9">
        <v>1</v>
      </c>
    </row>
    <row r="29" spans="1:5" x14ac:dyDescent="0.35">
      <c r="A29" s="9" t="s">
        <v>741</v>
      </c>
      <c r="B29" s="9" t="s">
        <v>742</v>
      </c>
      <c r="C29" s="9">
        <v>59736650000</v>
      </c>
      <c r="D29" s="9" t="s">
        <v>743</v>
      </c>
      <c r="E29" s="9">
        <v>1</v>
      </c>
    </row>
    <row r="30" spans="1:5" x14ac:dyDescent="0.35">
      <c r="A30" s="9" t="s">
        <v>744</v>
      </c>
      <c r="B30" s="9" t="s">
        <v>745</v>
      </c>
      <c r="C30" s="9">
        <v>7592867800</v>
      </c>
      <c r="D30" s="9" t="s">
        <v>746</v>
      </c>
      <c r="E30" s="9">
        <v>1</v>
      </c>
    </row>
    <row r="31" spans="1:5" x14ac:dyDescent="0.35">
      <c r="A31" s="9" t="s">
        <v>747</v>
      </c>
      <c r="B31" s="9" t="s">
        <v>748</v>
      </c>
      <c r="C31" s="9">
        <v>7050347000</v>
      </c>
      <c r="D31" s="9" t="s">
        <v>749</v>
      </c>
      <c r="E31" s="9">
        <v>1</v>
      </c>
    </row>
    <row r="32" spans="1:5" x14ac:dyDescent="0.35">
      <c r="A32" s="9" t="s">
        <v>750</v>
      </c>
      <c r="B32" s="9" t="s">
        <v>751</v>
      </c>
      <c r="C32" s="9">
        <v>14184209000</v>
      </c>
      <c r="D32" s="9" t="s">
        <v>752</v>
      </c>
      <c r="E32" s="9">
        <v>1</v>
      </c>
    </row>
    <row r="33" spans="1:5" x14ac:dyDescent="0.35">
      <c r="A33" s="9" t="s">
        <v>753</v>
      </c>
      <c r="B33" s="9" t="s">
        <v>754</v>
      </c>
      <c r="C33" s="9">
        <v>2415729400</v>
      </c>
      <c r="D33" s="9" t="s">
        <v>755</v>
      </c>
      <c r="E33" s="9">
        <v>1</v>
      </c>
    </row>
    <row r="34" spans="1:5" x14ac:dyDescent="0.35">
      <c r="A34" s="9" t="s">
        <v>756</v>
      </c>
      <c r="B34" s="9" t="s">
        <v>757</v>
      </c>
      <c r="C34" s="9">
        <v>9334399300</v>
      </c>
      <c r="D34" s="9" t="s">
        <v>758</v>
      </c>
      <c r="E34" s="9">
        <v>1</v>
      </c>
    </row>
    <row r="35" spans="1:5" x14ac:dyDescent="0.35">
      <c r="A35" s="9" t="s">
        <v>515</v>
      </c>
      <c r="B35" s="9" t="s">
        <v>516</v>
      </c>
      <c r="C35" s="9">
        <v>1682375200</v>
      </c>
      <c r="D35" s="9" t="s">
        <v>575</v>
      </c>
      <c r="E35" s="9">
        <v>3</v>
      </c>
    </row>
    <row r="36" spans="1:5" x14ac:dyDescent="0.35">
      <c r="A36" s="9" t="s">
        <v>361</v>
      </c>
      <c r="B36" s="9" t="s">
        <v>362</v>
      </c>
      <c r="C36" s="9">
        <v>15793644000</v>
      </c>
      <c r="D36" s="9" t="s">
        <v>363</v>
      </c>
      <c r="E36" s="9">
        <v>10</v>
      </c>
    </row>
    <row r="37" spans="1:5" x14ac:dyDescent="0.35">
      <c r="A37" s="9" t="s">
        <v>759</v>
      </c>
      <c r="B37" s="9" t="s">
        <v>760</v>
      </c>
      <c r="C37" s="9">
        <v>19396817000</v>
      </c>
      <c r="D37" s="9" t="s">
        <v>761</v>
      </c>
      <c r="E37" s="9">
        <v>1</v>
      </c>
    </row>
    <row r="38" spans="1:5" x14ac:dyDescent="0.35">
      <c r="A38" s="9" t="s">
        <v>762</v>
      </c>
      <c r="B38" s="9" t="s">
        <v>763</v>
      </c>
      <c r="C38" s="9">
        <v>2562278400</v>
      </c>
      <c r="D38" s="9" t="s">
        <v>764</v>
      </c>
      <c r="E38" s="9">
        <v>1</v>
      </c>
    </row>
    <row r="39" spans="1:5" x14ac:dyDescent="0.35">
      <c r="A39" s="9" t="s">
        <v>765</v>
      </c>
      <c r="B39" s="9" t="s">
        <v>766</v>
      </c>
      <c r="C39" s="9">
        <v>9114134700</v>
      </c>
      <c r="D39" s="9" t="s">
        <v>767</v>
      </c>
      <c r="E39" s="9">
        <v>1</v>
      </c>
    </row>
    <row r="40" spans="1:5" x14ac:dyDescent="0.35">
      <c r="A40" s="9" t="s">
        <v>768</v>
      </c>
      <c r="B40" s="9" t="s">
        <v>769</v>
      </c>
      <c r="C40" s="9">
        <v>2009949500</v>
      </c>
      <c r="D40" s="9" t="s">
        <v>770</v>
      </c>
      <c r="E40" s="9">
        <v>1</v>
      </c>
    </row>
    <row r="41" spans="1:5" x14ac:dyDescent="0.35">
      <c r="A41" s="9" t="s">
        <v>678</v>
      </c>
      <c r="B41" s="9" t="s">
        <v>679</v>
      </c>
      <c r="C41" s="9">
        <v>5859192100</v>
      </c>
      <c r="D41" s="9" t="s">
        <v>680</v>
      </c>
      <c r="E41" s="9">
        <v>2</v>
      </c>
    </row>
    <row r="42" spans="1:5" x14ac:dyDescent="0.35">
      <c r="A42" s="9" t="s">
        <v>771</v>
      </c>
      <c r="B42" s="9" t="s">
        <v>772</v>
      </c>
      <c r="C42" s="9">
        <v>9627404000</v>
      </c>
      <c r="D42" s="9" t="s">
        <v>773</v>
      </c>
      <c r="E42" s="9">
        <v>1</v>
      </c>
    </row>
    <row r="43" spans="1:5" x14ac:dyDescent="0.35">
      <c r="A43" s="9" t="s">
        <v>774</v>
      </c>
      <c r="B43" s="9" t="s">
        <v>775</v>
      </c>
      <c r="C43" s="9">
        <v>4749481300</v>
      </c>
      <c r="D43" s="9" t="s">
        <v>776</v>
      </c>
      <c r="E43" s="9">
        <v>1</v>
      </c>
    </row>
    <row r="44" spans="1:5" x14ac:dyDescent="0.35">
      <c r="A44" s="9" t="s">
        <v>777</v>
      </c>
      <c r="B44" s="9" t="s">
        <v>778</v>
      </c>
      <c r="C44" s="9">
        <v>2522215200</v>
      </c>
      <c r="D44" s="9" t="s">
        <v>779</v>
      </c>
      <c r="E44" s="9">
        <v>1</v>
      </c>
    </row>
    <row r="45" spans="1:5" x14ac:dyDescent="0.35">
      <c r="A45" s="9" t="s">
        <v>780</v>
      </c>
      <c r="B45" s="9" t="s">
        <v>781</v>
      </c>
      <c r="C45" s="9">
        <v>7301080600</v>
      </c>
      <c r="D45" s="9" t="s">
        <v>304</v>
      </c>
      <c r="E45" s="9">
        <v>1</v>
      </c>
    </row>
    <row r="46" spans="1:5" x14ac:dyDescent="0.35">
      <c r="A46" s="9" t="s">
        <v>782</v>
      </c>
      <c r="B46" s="9" t="s">
        <v>783</v>
      </c>
      <c r="C46" s="9">
        <v>1712470400</v>
      </c>
      <c r="D46" s="9" t="s">
        <v>784</v>
      </c>
      <c r="E46" s="9">
        <v>1</v>
      </c>
    </row>
    <row r="47" spans="1:5" x14ac:dyDescent="0.35">
      <c r="A47" s="9" t="s">
        <v>785</v>
      </c>
      <c r="B47" s="9" t="s">
        <v>786</v>
      </c>
      <c r="C47" s="9">
        <v>2904667100</v>
      </c>
      <c r="D47" s="9" t="s">
        <v>787</v>
      </c>
      <c r="E47" s="9">
        <v>1</v>
      </c>
    </row>
    <row r="48" spans="1:5" x14ac:dyDescent="0.35">
      <c r="A48" s="9" t="s">
        <v>788</v>
      </c>
      <c r="B48" s="9" t="s">
        <v>789</v>
      </c>
      <c r="C48" s="9">
        <v>1630539200</v>
      </c>
      <c r="D48" s="9" t="s">
        <v>790</v>
      </c>
      <c r="E48" s="9">
        <v>1</v>
      </c>
    </row>
    <row r="49" spans="1:5" x14ac:dyDescent="0.35">
      <c r="A49" s="9" t="s">
        <v>791</v>
      </c>
      <c r="B49" s="9" t="s">
        <v>792</v>
      </c>
      <c r="C49" s="9">
        <v>10646575700</v>
      </c>
      <c r="D49" s="9" t="s">
        <v>793</v>
      </c>
      <c r="E49" s="9">
        <v>1</v>
      </c>
    </row>
    <row r="50" spans="1:5" x14ac:dyDescent="0.35">
      <c r="A50" s="9" t="s">
        <v>794</v>
      </c>
      <c r="B50" s="9" t="s">
        <v>795</v>
      </c>
      <c r="C50" s="9">
        <v>2836329600</v>
      </c>
      <c r="D50" s="9" t="s">
        <v>796</v>
      </c>
      <c r="E50" s="9">
        <v>1</v>
      </c>
    </row>
    <row r="51" spans="1:5" x14ac:dyDescent="0.35">
      <c r="A51" s="9" t="s">
        <v>607</v>
      </c>
      <c r="B51" s="9" t="s">
        <v>608</v>
      </c>
      <c r="C51" s="9">
        <v>4050642700</v>
      </c>
      <c r="D51" s="9" t="s">
        <v>797</v>
      </c>
      <c r="E51" s="9">
        <v>2</v>
      </c>
    </row>
    <row r="52" spans="1:5" x14ac:dyDescent="0.35">
      <c r="A52" s="9" t="s">
        <v>601</v>
      </c>
      <c r="B52" s="9" t="s">
        <v>602</v>
      </c>
      <c r="C52" s="9">
        <v>5402166300</v>
      </c>
      <c r="D52" s="9" t="s">
        <v>603</v>
      </c>
      <c r="E52" s="9">
        <v>2</v>
      </c>
    </row>
    <row r="53" spans="1:5" x14ac:dyDescent="0.35">
      <c r="A53" s="9" t="s">
        <v>798</v>
      </c>
      <c r="B53" s="9" t="s">
        <v>799</v>
      </c>
      <c r="C53" s="9">
        <v>4426105400</v>
      </c>
      <c r="D53" s="9" t="s">
        <v>469</v>
      </c>
      <c r="E53" s="9">
        <v>1</v>
      </c>
    </row>
    <row r="54" spans="1:5" x14ac:dyDescent="0.35">
      <c r="A54" s="9" t="s">
        <v>598</v>
      </c>
      <c r="B54" s="9" t="s">
        <v>599</v>
      </c>
      <c r="C54" s="9">
        <v>3756413800</v>
      </c>
      <c r="D54" s="9" t="s">
        <v>600</v>
      </c>
      <c r="E54" s="9">
        <v>2</v>
      </c>
    </row>
    <row r="55" spans="1:5" x14ac:dyDescent="0.35">
      <c r="A55" s="9" t="s">
        <v>800</v>
      </c>
      <c r="B55" s="9" t="s">
        <v>801</v>
      </c>
      <c r="C55" s="9">
        <v>1393258000</v>
      </c>
      <c r="D55" s="9" t="s">
        <v>802</v>
      </c>
      <c r="E55" s="9">
        <v>1</v>
      </c>
    </row>
    <row r="56" spans="1:5" x14ac:dyDescent="0.35">
      <c r="A56" s="9" t="s">
        <v>803</v>
      </c>
      <c r="B56" s="9" t="s">
        <v>804</v>
      </c>
      <c r="C56" s="9">
        <v>1049438780</v>
      </c>
      <c r="D56" s="9" t="s">
        <v>805</v>
      </c>
      <c r="E56" s="9">
        <v>1</v>
      </c>
    </row>
    <row r="57" spans="1:5" x14ac:dyDescent="0.35">
      <c r="A57" s="9" t="s">
        <v>806</v>
      </c>
      <c r="B57" s="9" t="s">
        <v>807</v>
      </c>
      <c r="C57" s="9">
        <v>50822369000</v>
      </c>
      <c r="D57" s="9" t="s">
        <v>640</v>
      </c>
      <c r="E57" s="9">
        <v>1</v>
      </c>
    </row>
    <row r="58" spans="1:5" x14ac:dyDescent="0.35">
      <c r="A58" s="9" t="s">
        <v>808</v>
      </c>
      <c r="B58" s="9" t="s">
        <v>809</v>
      </c>
      <c r="C58" s="9">
        <v>3897000000</v>
      </c>
      <c r="D58" s="9" t="s">
        <v>810</v>
      </c>
      <c r="E58" s="9">
        <v>1</v>
      </c>
    </row>
    <row r="59" spans="1:5" x14ac:dyDescent="0.35">
      <c r="A59" s="9" t="s">
        <v>811</v>
      </c>
      <c r="B59" s="9" t="s">
        <v>812</v>
      </c>
      <c r="C59" s="9">
        <v>9271696300</v>
      </c>
      <c r="D59" s="9" t="s">
        <v>813</v>
      </c>
      <c r="E59" s="9">
        <v>1</v>
      </c>
    </row>
    <row r="60" spans="1:5" x14ac:dyDescent="0.35">
      <c r="A60" s="9" t="s">
        <v>814</v>
      </c>
      <c r="B60" s="9" t="s">
        <v>815</v>
      </c>
      <c r="C60" s="9">
        <v>4200866000</v>
      </c>
      <c r="D60" s="9" t="s">
        <v>816</v>
      </c>
      <c r="E60" s="9">
        <v>1</v>
      </c>
    </row>
    <row r="61" spans="1:5" x14ac:dyDescent="0.35">
      <c r="A61" s="9" t="s">
        <v>817</v>
      </c>
      <c r="B61" s="9" t="s">
        <v>818</v>
      </c>
      <c r="C61" s="9">
        <v>55334292000</v>
      </c>
      <c r="D61" s="9" t="s">
        <v>407</v>
      </c>
      <c r="E61" s="9">
        <v>1</v>
      </c>
    </row>
    <row r="62" spans="1:5" x14ac:dyDescent="0.35">
      <c r="A62" s="9" t="s">
        <v>819</v>
      </c>
      <c r="B62" s="9" t="s">
        <v>820</v>
      </c>
      <c r="C62" s="9">
        <v>13071987700</v>
      </c>
      <c r="D62" s="9" t="s">
        <v>743</v>
      </c>
      <c r="E62" s="9">
        <v>1</v>
      </c>
    </row>
    <row r="63" spans="1:5" x14ac:dyDescent="0.35">
      <c r="A63" s="9" t="s">
        <v>821</v>
      </c>
      <c r="B63" s="9" t="s">
        <v>822</v>
      </c>
      <c r="C63" s="9">
        <v>13931611000</v>
      </c>
      <c r="D63" s="9" t="s">
        <v>84</v>
      </c>
      <c r="E63" s="9">
        <v>1</v>
      </c>
    </row>
    <row r="64" spans="1:5" x14ac:dyDescent="0.35">
      <c r="A64" s="9" t="s">
        <v>823</v>
      </c>
      <c r="B64" s="9" t="s">
        <v>824</v>
      </c>
      <c r="C64" s="9">
        <v>3658182000</v>
      </c>
      <c r="D64" s="9" t="s">
        <v>825</v>
      </c>
      <c r="E64" s="9">
        <v>1</v>
      </c>
    </row>
    <row r="65" spans="1:5" x14ac:dyDescent="0.35">
      <c r="A65" s="9" t="s">
        <v>826</v>
      </c>
      <c r="B65" s="9" t="s">
        <v>827</v>
      </c>
      <c r="C65" s="9">
        <v>17695912000</v>
      </c>
      <c r="D65" s="9" t="s">
        <v>828</v>
      </c>
      <c r="E65" s="9">
        <v>1</v>
      </c>
    </row>
    <row r="66" spans="1:5" x14ac:dyDescent="0.35">
      <c r="A66" s="9" t="s">
        <v>829</v>
      </c>
      <c r="B66" s="9" t="s">
        <v>830</v>
      </c>
      <c r="C66" s="9">
        <v>1866364400</v>
      </c>
      <c r="D66" s="9" t="s">
        <v>380</v>
      </c>
      <c r="E66" s="9">
        <v>1</v>
      </c>
    </row>
    <row r="67" spans="1:5" x14ac:dyDescent="0.35">
      <c r="A67" s="9" t="s">
        <v>831</v>
      </c>
      <c r="B67" s="9" t="s">
        <v>832</v>
      </c>
      <c r="C67" s="9">
        <v>3347703500</v>
      </c>
      <c r="D67" s="9" t="s">
        <v>833</v>
      </c>
      <c r="E67" s="9">
        <v>1</v>
      </c>
    </row>
    <row r="68" spans="1:5" x14ac:dyDescent="0.35">
      <c r="A68" s="9" t="s">
        <v>834</v>
      </c>
      <c r="B68" s="9" t="s">
        <v>835</v>
      </c>
      <c r="C68" s="9">
        <v>2906601700</v>
      </c>
      <c r="D68" s="9" t="s">
        <v>836</v>
      </c>
      <c r="E68" s="9">
        <v>1</v>
      </c>
    </row>
    <row r="69" spans="1:5" x14ac:dyDescent="0.35">
      <c r="A69" s="9" t="s">
        <v>441</v>
      </c>
      <c r="B69" s="9" t="s">
        <v>442</v>
      </c>
      <c r="C69" s="9">
        <v>15706660000</v>
      </c>
      <c r="D69" s="9" t="s">
        <v>696</v>
      </c>
      <c r="E69" s="9">
        <v>0</v>
      </c>
    </row>
    <row r="70" spans="1:5" x14ac:dyDescent="0.35">
      <c r="A70" s="9" t="s">
        <v>837</v>
      </c>
      <c r="B70" s="9" t="s">
        <v>838</v>
      </c>
      <c r="C70" s="9">
        <v>4197536000</v>
      </c>
      <c r="D70" s="9" t="s">
        <v>640</v>
      </c>
      <c r="E70" s="9">
        <v>1</v>
      </c>
    </row>
    <row r="71" spans="1:5" x14ac:dyDescent="0.35">
      <c r="A71" s="9" t="s">
        <v>839</v>
      </c>
      <c r="B71" s="9" t="s">
        <v>840</v>
      </c>
      <c r="C71" s="9">
        <v>6115000000</v>
      </c>
      <c r="D71" s="9" t="s">
        <v>833</v>
      </c>
      <c r="E71" s="9">
        <v>1</v>
      </c>
    </row>
    <row r="72" spans="1:5" x14ac:dyDescent="0.35">
      <c r="A72" s="9" t="s">
        <v>458</v>
      </c>
      <c r="B72" s="9" t="s">
        <v>459</v>
      </c>
      <c r="C72" s="9">
        <v>2843646300</v>
      </c>
      <c r="D72" s="9" t="s">
        <v>841</v>
      </c>
      <c r="E72" s="9">
        <v>1</v>
      </c>
    </row>
    <row r="73" spans="1:5" x14ac:dyDescent="0.35">
      <c r="A73" s="9" t="s">
        <v>842</v>
      </c>
      <c r="B73" s="9" t="s">
        <v>843</v>
      </c>
      <c r="C73" s="9">
        <v>2626625600</v>
      </c>
      <c r="D73" s="9" t="s">
        <v>844</v>
      </c>
      <c r="E73" s="9">
        <v>1</v>
      </c>
    </row>
    <row r="74" spans="1:5" x14ac:dyDescent="0.35">
      <c r="A74" s="9" t="s">
        <v>588</v>
      </c>
      <c r="B74" s="9" t="s">
        <v>589</v>
      </c>
      <c r="C74" s="9">
        <v>1512520100</v>
      </c>
      <c r="D74" s="9" t="s">
        <v>590</v>
      </c>
      <c r="E74" s="9">
        <v>2</v>
      </c>
    </row>
    <row r="75" spans="1:5" x14ac:dyDescent="0.35">
      <c r="A75" s="9" t="s">
        <v>845</v>
      </c>
      <c r="B75" s="9" t="s">
        <v>846</v>
      </c>
      <c r="C75" s="9">
        <v>4218977400</v>
      </c>
      <c r="D75" s="9" t="s">
        <v>847</v>
      </c>
      <c r="E75" s="9">
        <v>1</v>
      </c>
    </row>
    <row r="76" spans="1:5" x14ac:dyDescent="0.35">
      <c r="A76" s="9" t="s">
        <v>582</v>
      </c>
      <c r="B76" s="9" t="s">
        <v>583</v>
      </c>
      <c r="C76" s="9">
        <v>1927627700</v>
      </c>
      <c r="D76" s="9" t="s">
        <v>584</v>
      </c>
      <c r="E76" s="9">
        <v>2</v>
      </c>
    </row>
    <row r="77" spans="1:5" x14ac:dyDescent="0.35">
      <c r="A77" s="9" t="s">
        <v>848</v>
      </c>
      <c r="B77" s="9" t="s">
        <v>849</v>
      </c>
      <c r="C77" s="9">
        <v>2751549500</v>
      </c>
      <c r="D77" s="9" t="s">
        <v>600</v>
      </c>
      <c r="E77" s="9">
        <v>1</v>
      </c>
    </row>
    <row r="78" spans="1:5" x14ac:dyDescent="0.35">
      <c r="A78" s="9" t="s">
        <v>129</v>
      </c>
      <c r="B78" s="9" t="s">
        <v>130</v>
      </c>
      <c r="C78" s="9">
        <v>12360768200</v>
      </c>
      <c r="D78" s="9" t="s">
        <v>281</v>
      </c>
      <c r="E78" s="9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93269-8524-41E4-AA15-EFA7F2F95046}">
  <dimension ref="A1:E53"/>
  <sheetViews>
    <sheetView topLeftCell="A16" workbookViewId="0">
      <selection activeCell="I20" sqref="I20"/>
    </sheetView>
  </sheetViews>
  <sheetFormatPr defaultRowHeight="14.15" x14ac:dyDescent="0.35"/>
  <cols>
    <col min="1" max="16384" width="9.140625" style="9"/>
  </cols>
  <sheetData>
    <row r="1" spans="1:5" x14ac:dyDescent="0.35">
      <c r="A1" s="9" t="s">
        <v>292</v>
      </c>
      <c r="B1" s="9" t="s">
        <v>59</v>
      </c>
      <c r="C1" s="9" t="s">
        <v>293</v>
      </c>
      <c r="D1" s="9" t="s">
        <v>571</v>
      </c>
      <c r="E1" s="9" t="s">
        <v>572</v>
      </c>
    </row>
    <row r="2" spans="1:5" x14ac:dyDescent="0.35">
      <c r="A2" s="9" t="s">
        <v>344</v>
      </c>
      <c r="B2" s="9" t="s">
        <v>262</v>
      </c>
      <c r="C2" s="9">
        <v>11249532100</v>
      </c>
      <c r="D2" s="9" t="s">
        <v>263</v>
      </c>
      <c r="E2" s="9">
        <v>7</v>
      </c>
    </row>
    <row r="3" spans="1:5" x14ac:dyDescent="0.35">
      <c r="A3" s="9" t="s">
        <v>482</v>
      </c>
      <c r="B3" s="9" t="s">
        <v>269</v>
      </c>
      <c r="C3" s="9">
        <v>1094983690</v>
      </c>
      <c r="D3" s="9" t="s">
        <v>270</v>
      </c>
      <c r="E3" s="9">
        <v>5</v>
      </c>
    </row>
    <row r="4" spans="1:5" x14ac:dyDescent="0.35">
      <c r="A4" s="9" t="s">
        <v>129</v>
      </c>
      <c r="B4" s="9" t="s">
        <v>130</v>
      </c>
      <c r="C4" s="9">
        <v>12360768200</v>
      </c>
      <c r="D4" s="9" t="s">
        <v>281</v>
      </c>
      <c r="E4" s="9">
        <v>4</v>
      </c>
    </row>
    <row r="5" spans="1:5" x14ac:dyDescent="0.35">
      <c r="A5" s="9" t="s">
        <v>483</v>
      </c>
      <c r="B5" s="9" t="s">
        <v>284</v>
      </c>
      <c r="C5" s="9">
        <v>1017200000</v>
      </c>
      <c r="D5" s="9" t="s">
        <v>285</v>
      </c>
      <c r="E5" s="9">
        <v>4</v>
      </c>
    </row>
    <row r="6" spans="1:5" x14ac:dyDescent="0.35">
      <c r="A6" s="9" t="s">
        <v>301</v>
      </c>
      <c r="B6" s="9" t="s">
        <v>286</v>
      </c>
      <c r="C6" s="9">
        <v>47843132000</v>
      </c>
      <c r="D6" s="9" t="s">
        <v>287</v>
      </c>
      <c r="E6" s="9">
        <v>4</v>
      </c>
    </row>
    <row r="7" spans="1:5" x14ac:dyDescent="0.35">
      <c r="A7" s="9" t="s">
        <v>319</v>
      </c>
      <c r="B7" s="9" t="s">
        <v>320</v>
      </c>
      <c r="C7" s="9">
        <v>2451663900</v>
      </c>
      <c r="D7" s="9" t="s">
        <v>488</v>
      </c>
      <c r="E7" s="9">
        <v>3</v>
      </c>
    </row>
    <row r="8" spans="1:5" x14ac:dyDescent="0.35">
      <c r="A8" s="9" t="s">
        <v>311</v>
      </c>
      <c r="B8" s="9" t="s">
        <v>312</v>
      </c>
      <c r="C8" s="9">
        <v>4732854300</v>
      </c>
      <c r="D8" s="9" t="s">
        <v>573</v>
      </c>
      <c r="E8" s="9">
        <v>3</v>
      </c>
    </row>
    <row r="9" spans="1:5" x14ac:dyDescent="0.35">
      <c r="A9" s="9" t="s">
        <v>490</v>
      </c>
      <c r="B9" s="9" t="s">
        <v>146</v>
      </c>
      <c r="C9" s="9">
        <v>2530192100</v>
      </c>
      <c r="D9" s="9" t="s">
        <v>147</v>
      </c>
      <c r="E9" s="9">
        <v>2</v>
      </c>
    </row>
    <row r="10" spans="1:5" x14ac:dyDescent="0.35">
      <c r="A10" s="9" t="s">
        <v>491</v>
      </c>
      <c r="B10" s="9" t="s">
        <v>492</v>
      </c>
      <c r="C10" s="9">
        <v>3366800000</v>
      </c>
      <c r="D10" s="9" t="s">
        <v>574</v>
      </c>
      <c r="E10" s="9">
        <v>2</v>
      </c>
    </row>
    <row r="11" spans="1:5" x14ac:dyDescent="0.35">
      <c r="A11" s="9" t="s">
        <v>515</v>
      </c>
      <c r="B11" s="9" t="s">
        <v>516</v>
      </c>
      <c r="C11" s="9">
        <v>1529306600</v>
      </c>
      <c r="D11" s="9" t="s">
        <v>575</v>
      </c>
      <c r="E11" s="9">
        <v>2</v>
      </c>
    </row>
    <row r="12" spans="1:5" x14ac:dyDescent="0.35">
      <c r="A12" s="9" t="s">
        <v>562</v>
      </c>
      <c r="B12" s="9" t="s">
        <v>563</v>
      </c>
      <c r="C12" s="9">
        <v>3071749300</v>
      </c>
      <c r="D12" s="9" t="s">
        <v>564</v>
      </c>
      <c r="E12" s="9">
        <v>2</v>
      </c>
    </row>
    <row r="13" spans="1:5" x14ac:dyDescent="0.35">
      <c r="A13" s="9" t="s">
        <v>576</v>
      </c>
      <c r="B13" s="9" t="s">
        <v>577</v>
      </c>
      <c r="C13" s="9">
        <v>1728310500</v>
      </c>
      <c r="D13" s="9" t="s">
        <v>578</v>
      </c>
      <c r="E13" s="9">
        <v>1</v>
      </c>
    </row>
    <row r="14" spans="1:5" x14ac:dyDescent="0.35">
      <c r="A14" s="9" t="s">
        <v>579</v>
      </c>
      <c r="B14" s="9" t="s">
        <v>580</v>
      </c>
      <c r="C14" s="9">
        <v>3281594100</v>
      </c>
      <c r="D14" s="9" t="s">
        <v>581</v>
      </c>
      <c r="E14" s="9">
        <v>1</v>
      </c>
    </row>
    <row r="15" spans="1:5" x14ac:dyDescent="0.35">
      <c r="A15" s="9" t="s">
        <v>582</v>
      </c>
      <c r="B15" s="9" t="s">
        <v>583</v>
      </c>
      <c r="C15" s="9">
        <v>1752310800</v>
      </c>
      <c r="D15" s="9" t="s">
        <v>584</v>
      </c>
      <c r="E15" s="9">
        <v>1</v>
      </c>
    </row>
    <row r="16" spans="1:5" x14ac:dyDescent="0.35">
      <c r="A16" s="9" t="s">
        <v>585</v>
      </c>
      <c r="B16" s="9" t="s">
        <v>586</v>
      </c>
      <c r="C16" s="9">
        <v>5616643400</v>
      </c>
      <c r="D16" s="9" t="s">
        <v>587</v>
      </c>
      <c r="E16" s="9">
        <v>1</v>
      </c>
    </row>
    <row r="17" spans="1:5" x14ac:dyDescent="0.35">
      <c r="A17" s="9" t="s">
        <v>588</v>
      </c>
      <c r="B17" s="9" t="s">
        <v>589</v>
      </c>
      <c r="C17" s="9">
        <v>1375305100</v>
      </c>
      <c r="D17" s="9" t="s">
        <v>590</v>
      </c>
      <c r="E17" s="9">
        <v>1</v>
      </c>
    </row>
    <row r="18" spans="1:5" x14ac:dyDescent="0.35">
      <c r="A18" s="9" t="s">
        <v>591</v>
      </c>
      <c r="B18" s="9" t="s">
        <v>592</v>
      </c>
      <c r="C18" s="9">
        <v>3736154000</v>
      </c>
      <c r="D18" s="9" t="s">
        <v>127</v>
      </c>
      <c r="E18" s="9">
        <v>1</v>
      </c>
    </row>
    <row r="19" spans="1:5" x14ac:dyDescent="0.35">
      <c r="A19" s="9" t="s">
        <v>593</v>
      </c>
      <c r="B19" s="9" t="s">
        <v>594</v>
      </c>
      <c r="C19" s="9">
        <v>2805656700</v>
      </c>
      <c r="D19" s="9" t="s">
        <v>127</v>
      </c>
      <c r="E19" s="9">
        <v>1</v>
      </c>
    </row>
    <row r="20" spans="1:5" x14ac:dyDescent="0.35">
      <c r="A20" s="9" t="s">
        <v>595</v>
      </c>
      <c r="B20" s="9" t="s">
        <v>596</v>
      </c>
      <c r="C20" s="9">
        <v>4380056400</v>
      </c>
      <c r="D20" s="9" t="s">
        <v>597</v>
      </c>
      <c r="E20" s="9">
        <v>1</v>
      </c>
    </row>
    <row r="21" spans="1:5" x14ac:dyDescent="0.35">
      <c r="A21" s="9" t="s">
        <v>598</v>
      </c>
      <c r="B21" s="9" t="s">
        <v>599</v>
      </c>
      <c r="C21" s="9">
        <v>3415350800</v>
      </c>
      <c r="D21" s="9" t="s">
        <v>600</v>
      </c>
      <c r="E21" s="9">
        <v>1</v>
      </c>
    </row>
    <row r="22" spans="1:5" x14ac:dyDescent="0.35">
      <c r="A22" s="9" t="s">
        <v>601</v>
      </c>
      <c r="B22" s="9" t="s">
        <v>602</v>
      </c>
      <c r="C22" s="9">
        <v>4908974900</v>
      </c>
      <c r="D22" s="9" t="s">
        <v>603</v>
      </c>
      <c r="E22" s="9">
        <v>1</v>
      </c>
    </row>
    <row r="23" spans="1:5" x14ac:dyDescent="0.35">
      <c r="A23" s="9" t="s">
        <v>604</v>
      </c>
      <c r="B23" s="9" t="s">
        <v>605</v>
      </c>
      <c r="C23" s="9">
        <v>3397208700</v>
      </c>
      <c r="D23" s="9" t="s">
        <v>606</v>
      </c>
      <c r="E23" s="9">
        <v>1</v>
      </c>
    </row>
    <row r="24" spans="1:5" x14ac:dyDescent="0.35">
      <c r="A24" s="9" t="s">
        <v>327</v>
      </c>
      <c r="B24" s="9" t="s">
        <v>279</v>
      </c>
      <c r="C24" s="9">
        <v>2689697400</v>
      </c>
      <c r="D24" s="9" t="s">
        <v>280</v>
      </c>
      <c r="E24" s="9">
        <v>1</v>
      </c>
    </row>
    <row r="25" spans="1:5" x14ac:dyDescent="0.35">
      <c r="A25" s="9" t="s">
        <v>607</v>
      </c>
      <c r="B25" s="9" t="s">
        <v>608</v>
      </c>
      <c r="C25" s="9">
        <v>3683356500</v>
      </c>
      <c r="D25" s="9" t="s">
        <v>609</v>
      </c>
      <c r="E25" s="9">
        <v>1</v>
      </c>
    </row>
    <row r="26" spans="1:5" x14ac:dyDescent="0.35">
      <c r="A26" s="9" t="s">
        <v>610</v>
      </c>
      <c r="B26" s="9" t="s">
        <v>611</v>
      </c>
      <c r="C26" s="9">
        <v>3077923800</v>
      </c>
      <c r="D26" s="9" t="s">
        <v>612</v>
      </c>
      <c r="E26" s="9">
        <v>1</v>
      </c>
    </row>
    <row r="27" spans="1:5" x14ac:dyDescent="0.35">
      <c r="A27" s="9" t="s">
        <v>613</v>
      </c>
      <c r="B27" s="9" t="s">
        <v>131</v>
      </c>
      <c r="C27" s="9">
        <v>7947959100</v>
      </c>
      <c r="D27" s="9" t="s">
        <v>614</v>
      </c>
      <c r="E27" s="9">
        <v>1</v>
      </c>
    </row>
    <row r="28" spans="1:5" x14ac:dyDescent="0.35">
      <c r="A28" s="9" t="s">
        <v>615</v>
      </c>
      <c r="B28" s="9" t="s">
        <v>616</v>
      </c>
      <c r="C28" s="9">
        <v>8686938200</v>
      </c>
      <c r="D28" s="9" t="s">
        <v>617</v>
      </c>
      <c r="E28" s="9">
        <v>1</v>
      </c>
    </row>
    <row r="29" spans="1:5" x14ac:dyDescent="0.35">
      <c r="A29" s="9" t="s">
        <v>618</v>
      </c>
      <c r="B29" s="9" t="s">
        <v>619</v>
      </c>
      <c r="C29" s="9">
        <v>7004966000</v>
      </c>
      <c r="D29" s="9" t="s">
        <v>620</v>
      </c>
      <c r="E29" s="9">
        <v>1</v>
      </c>
    </row>
    <row r="30" spans="1:5" x14ac:dyDescent="0.35">
      <c r="A30" s="9" t="s">
        <v>621</v>
      </c>
      <c r="B30" s="9" t="s">
        <v>622</v>
      </c>
      <c r="C30" s="9">
        <v>2732996800</v>
      </c>
      <c r="D30" s="9" t="s">
        <v>623</v>
      </c>
      <c r="E30" s="9">
        <v>1</v>
      </c>
    </row>
    <row r="31" spans="1:5" x14ac:dyDescent="0.35">
      <c r="A31" s="9" t="s">
        <v>624</v>
      </c>
      <c r="B31" s="9" t="s">
        <v>625</v>
      </c>
      <c r="C31" s="9">
        <v>3204042600</v>
      </c>
      <c r="D31" s="9" t="s">
        <v>626</v>
      </c>
      <c r="E31" s="9">
        <v>1</v>
      </c>
    </row>
    <row r="32" spans="1:5" x14ac:dyDescent="0.35">
      <c r="A32" s="9" t="s">
        <v>627</v>
      </c>
      <c r="B32" s="9" t="s">
        <v>628</v>
      </c>
      <c r="C32" s="9">
        <v>5784813900</v>
      </c>
      <c r="D32" s="9" t="s">
        <v>629</v>
      </c>
      <c r="E32" s="9">
        <v>1</v>
      </c>
    </row>
    <row r="33" spans="1:5" x14ac:dyDescent="0.35">
      <c r="A33" s="9" t="s">
        <v>299</v>
      </c>
      <c r="B33" s="9" t="s">
        <v>300</v>
      </c>
      <c r="C33" s="9">
        <v>9690076500</v>
      </c>
      <c r="D33" s="9" t="s">
        <v>152</v>
      </c>
      <c r="E33" s="9">
        <v>1</v>
      </c>
    </row>
    <row r="34" spans="1:5" x14ac:dyDescent="0.35">
      <c r="A34" s="9" t="s">
        <v>630</v>
      </c>
      <c r="B34" s="9" t="s">
        <v>631</v>
      </c>
      <c r="C34" s="9">
        <v>948805880</v>
      </c>
      <c r="D34" s="9" t="s">
        <v>632</v>
      </c>
      <c r="E34" s="9">
        <v>1</v>
      </c>
    </row>
    <row r="35" spans="1:5" x14ac:dyDescent="0.35">
      <c r="A35" s="9" t="s">
        <v>633</v>
      </c>
      <c r="B35" s="9" t="s">
        <v>634</v>
      </c>
      <c r="C35" s="9">
        <v>1431115500</v>
      </c>
      <c r="D35" s="9" t="s">
        <v>612</v>
      </c>
      <c r="E35" s="9">
        <v>1</v>
      </c>
    </row>
    <row r="36" spans="1:5" x14ac:dyDescent="0.35">
      <c r="A36" s="9" t="s">
        <v>635</v>
      </c>
      <c r="B36" s="9" t="s">
        <v>636</v>
      </c>
      <c r="C36" s="9">
        <v>1311547480</v>
      </c>
      <c r="D36" s="9" t="s">
        <v>637</v>
      </c>
      <c r="E36" s="9">
        <v>1</v>
      </c>
    </row>
    <row r="37" spans="1:5" x14ac:dyDescent="0.35">
      <c r="A37" s="9" t="s">
        <v>638</v>
      </c>
      <c r="B37" s="9" t="s">
        <v>639</v>
      </c>
      <c r="C37" s="9">
        <v>1584898100</v>
      </c>
      <c r="D37" s="9" t="s">
        <v>640</v>
      </c>
      <c r="E37" s="9">
        <v>1</v>
      </c>
    </row>
    <row r="38" spans="1:5" x14ac:dyDescent="0.35">
      <c r="A38" s="9" t="s">
        <v>641</v>
      </c>
      <c r="B38" s="9" t="s">
        <v>642</v>
      </c>
      <c r="C38" s="9">
        <v>1629058200</v>
      </c>
      <c r="D38" s="9" t="s">
        <v>643</v>
      </c>
      <c r="E38" s="9">
        <v>1</v>
      </c>
    </row>
    <row r="39" spans="1:5" x14ac:dyDescent="0.35">
      <c r="A39" s="9" t="s">
        <v>644</v>
      </c>
      <c r="B39" s="9" t="s">
        <v>645</v>
      </c>
      <c r="C39" s="9">
        <v>653763400</v>
      </c>
      <c r="D39" s="9" t="s">
        <v>646</v>
      </c>
      <c r="E39" s="9">
        <v>1</v>
      </c>
    </row>
    <row r="40" spans="1:5" x14ac:dyDescent="0.35">
      <c r="A40" s="9" t="s">
        <v>434</v>
      </c>
      <c r="B40" s="9" t="s">
        <v>435</v>
      </c>
      <c r="C40" s="9">
        <v>4619774700</v>
      </c>
      <c r="D40" s="9" t="s">
        <v>436</v>
      </c>
      <c r="E40" s="9">
        <v>1</v>
      </c>
    </row>
    <row r="41" spans="1:5" x14ac:dyDescent="0.35">
      <c r="A41" s="9" t="s">
        <v>647</v>
      </c>
      <c r="B41" s="9" t="s">
        <v>648</v>
      </c>
      <c r="C41" s="9">
        <v>4062030000</v>
      </c>
      <c r="D41" s="9" t="s">
        <v>649</v>
      </c>
      <c r="E41" s="9">
        <v>1</v>
      </c>
    </row>
    <row r="42" spans="1:5" x14ac:dyDescent="0.35">
      <c r="A42" s="9" t="s">
        <v>650</v>
      </c>
      <c r="B42" s="9" t="s">
        <v>651</v>
      </c>
      <c r="C42" s="9">
        <v>2470708800</v>
      </c>
      <c r="D42" s="9" t="s">
        <v>652</v>
      </c>
      <c r="E42" s="9">
        <v>1</v>
      </c>
    </row>
    <row r="43" spans="1:5" x14ac:dyDescent="0.35">
      <c r="A43" s="9" t="s">
        <v>653</v>
      </c>
      <c r="B43" s="9" t="s">
        <v>654</v>
      </c>
      <c r="C43" s="9">
        <v>20263053000</v>
      </c>
      <c r="D43" s="9" t="s">
        <v>655</v>
      </c>
      <c r="E43" s="9">
        <v>1</v>
      </c>
    </row>
    <row r="44" spans="1:5" x14ac:dyDescent="0.35">
      <c r="A44" s="9" t="s">
        <v>656</v>
      </c>
      <c r="B44" s="9" t="s">
        <v>657</v>
      </c>
      <c r="C44" s="9">
        <v>16515344000</v>
      </c>
      <c r="D44" s="9" t="s">
        <v>658</v>
      </c>
      <c r="E44" s="9">
        <v>1</v>
      </c>
    </row>
    <row r="45" spans="1:5" x14ac:dyDescent="0.35">
      <c r="A45" s="9" t="s">
        <v>659</v>
      </c>
      <c r="B45" s="9" t="s">
        <v>660</v>
      </c>
      <c r="C45" s="9">
        <v>4512902400</v>
      </c>
      <c r="D45" s="9" t="s">
        <v>640</v>
      </c>
      <c r="E45" s="9">
        <v>1</v>
      </c>
    </row>
    <row r="46" spans="1:5" x14ac:dyDescent="0.35">
      <c r="A46" s="9" t="s">
        <v>661</v>
      </c>
      <c r="B46" s="9" t="s">
        <v>662</v>
      </c>
      <c r="C46" s="9">
        <v>18566242000</v>
      </c>
      <c r="D46" s="9" t="s">
        <v>663</v>
      </c>
      <c r="E46" s="9">
        <v>1</v>
      </c>
    </row>
    <row r="47" spans="1:5" x14ac:dyDescent="0.35">
      <c r="A47" s="9" t="s">
        <v>664</v>
      </c>
      <c r="B47" s="9" t="s">
        <v>665</v>
      </c>
      <c r="C47" s="9">
        <v>18387480000</v>
      </c>
      <c r="D47" s="9" t="s">
        <v>666</v>
      </c>
      <c r="E47" s="9">
        <v>1</v>
      </c>
    </row>
    <row r="48" spans="1:5" x14ac:dyDescent="0.35">
      <c r="A48" s="9" t="s">
        <v>667</v>
      </c>
      <c r="B48" s="9" t="s">
        <v>668</v>
      </c>
      <c r="C48" s="9">
        <v>3483821300</v>
      </c>
      <c r="D48" s="9" t="s">
        <v>640</v>
      </c>
      <c r="E48" s="9">
        <v>1</v>
      </c>
    </row>
    <row r="49" spans="1:5" x14ac:dyDescent="0.35">
      <c r="A49" s="9" t="s">
        <v>669</v>
      </c>
      <c r="B49" s="9" t="s">
        <v>670</v>
      </c>
      <c r="C49" s="9">
        <v>3179627400</v>
      </c>
      <c r="D49" s="9" t="s">
        <v>671</v>
      </c>
      <c r="E49" s="9">
        <v>1</v>
      </c>
    </row>
    <row r="50" spans="1:5" x14ac:dyDescent="0.35">
      <c r="A50" s="9" t="s">
        <v>672</v>
      </c>
      <c r="B50" s="9" t="s">
        <v>673</v>
      </c>
      <c r="C50" s="9">
        <v>1529091000</v>
      </c>
      <c r="D50" s="9" t="s">
        <v>674</v>
      </c>
      <c r="E50" s="9">
        <v>1</v>
      </c>
    </row>
    <row r="51" spans="1:5" x14ac:dyDescent="0.35">
      <c r="A51" s="9" t="s">
        <v>675</v>
      </c>
      <c r="B51" s="9" t="s">
        <v>676</v>
      </c>
      <c r="C51" s="9">
        <v>11416550300</v>
      </c>
      <c r="D51" s="9" t="s">
        <v>677</v>
      </c>
      <c r="E51" s="9">
        <v>1</v>
      </c>
    </row>
    <row r="52" spans="1:5" x14ac:dyDescent="0.35">
      <c r="A52" s="9" t="s">
        <v>678</v>
      </c>
      <c r="B52" s="9" t="s">
        <v>679</v>
      </c>
      <c r="C52" s="9">
        <v>5323290400</v>
      </c>
      <c r="D52" s="9" t="s">
        <v>680</v>
      </c>
      <c r="E52" s="9">
        <v>1</v>
      </c>
    </row>
    <row r="53" spans="1:5" x14ac:dyDescent="0.35">
      <c r="A53" s="9" t="s">
        <v>681</v>
      </c>
      <c r="B53" s="9" t="s">
        <v>682</v>
      </c>
      <c r="C53" s="9">
        <v>30584329000</v>
      </c>
      <c r="D53" s="9" t="s">
        <v>683</v>
      </c>
      <c r="E53" s="9">
        <v>1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CAE4A-74D4-46FC-AB35-258346F0AB9F}">
  <dimension ref="A1:E40"/>
  <sheetViews>
    <sheetView workbookViewId="0">
      <selection activeCell="I20" sqref="I20"/>
    </sheetView>
  </sheetViews>
  <sheetFormatPr defaultRowHeight="14.15" x14ac:dyDescent="0.35"/>
  <cols>
    <col min="1" max="3" width="9.140625" style="9"/>
    <col min="4" max="4" width="26.85546875" style="9" bestFit="1" customWidth="1"/>
    <col min="5" max="16384" width="9.140625" style="9"/>
  </cols>
  <sheetData>
    <row r="1" spans="1:5" x14ac:dyDescent="0.35">
      <c r="A1" s="9" t="s">
        <v>292</v>
      </c>
      <c r="B1" s="9" t="s">
        <v>59</v>
      </c>
      <c r="C1" s="9" t="s">
        <v>293</v>
      </c>
      <c r="D1" s="9" t="s">
        <v>485</v>
      </c>
      <c r="E1" s="9" t="s">
        <v>486</v>
      </c>
    </row>
    <row r="2" spans="1:5" x14ac:dyDescent="0.35">
      <c r="A2" s="9" t="s">
        <v>344</v>
      </c>
      <c r="B2" s="9" t="s">
        <v>262</v>
      </c>
      <c r="C2" s="9">
        <v>10225073400</v>
      </c>
      <c r="D2" s="9" t="s">
        <v>685</v>
      </c>
      <c r="E2" s="9">
        <v>6</v>
      </c>
    </row>
    <row r="3" spans="1:5" x14ac:dyDescent="0.35">
      <c r="A3" s="9" t="s">
        <v>482</v>
      </c>
      <c r="B3" s="9" t="s">
        <v>269</v>
      </c>
      <c r="C3" s="9">
        <v>995415190</v>
      </c>
      <c r="D3" s="9" t="s">
        <v>686</v>
      </c>
      <c r="E3" s="9">
        <v>4</v>
      </c>
    </row>
    <row r="4" spans="1:5" x14ac:dyDescent="0.35">
      <c r="A4" s="9" t="s">
        <v>463</v>
      </c>
      <c r="B4" s="9" t="s">
        <v>272</v>
      </c>
      <c r="C4" s="9">
        <v>1758873600</v>
      </c>
      <c r="D4" s="9" t="s">
        <v>273</v>
      </c>
      <c r="E4" s="9">
        <v>3</v>
      </c>
    </row>
    <row r="5" spans="1:5" x14ac:dyDescent="0.35">
      <c r="A5" s="9" t="s">
        <v>129</v>
      </c>
      <c r="B5" s="9" t="s">
        <v>130</v>
      </c>
      <c r="C5" s="9">
        <v>11240573600</v>
      </c>
      <c r="D5" s="9" t="s">
        <v>281</v>
      </c>
      <c r="E5" s="9">
        <v>3</v>
      </c>
    </row>
    <row r="6" spans="1:5" x14ac:dyDescent="0.35">
      <c r="A6" s="9" t="s">
        <v>483</v>
      </c>
      <c r="B6" s="9" t="s">
        <v>284</v>
      </c>
      <c r="C6" s="9">
        <v>924800000</v>
      </c>
      <c r="D6" s="9" t="s">
        <v>285</v>
      </c>
      <c r="E6" s="9">
        <v>3</v>
      </c>
    </row>
    <row r="7" spans="1:5" x14ac:dyDescent="0.35">
      <c r="A7" s="9" t="s">
        <v>301</v>
      </c>
      <c r="B7" s="9" t="s">
        <v>286</v>
      </c>
      <c r="C7" s="9">
        <v>43462522000</v>
      </c>
      <c r="D7" s="9" t="s">
        <v>287</v>
      </c>
      <c r="E7" s="9">
        <v>3</v>
      </c>
    </row>
    <row r="8" spans="1:5" x14ac:dyDescent="0.35">
      <c r="A8" s="9" t="s">
        <v>335</v>
      </c>
      <c r="B8" s="9" t="s">
        <v>336</v>
      </c>
      <c r="C8" s="9">
        <v>8747875200</v>
      </c>
      <c r="D8" s="9" t="s">
        <v>337</v>
      </c>
      <c r="E8" s="9">
        <v>2</v>
      </c>
    </row>
    <row r="9" spans="1:5" x14ac:dyDescent="0.35">
      <c r="A9" s="9" t="s">
        <v>388</v>
      </c>
      <c r="B9" s="9" t="s">
        <v>389</v>
      </c>
      <c r="C9" s="9">
        <v>2498840000</v>
      </c>
      <c r="D9" s="9" t="s">
        <v>487</v>
      </c>
      <c r="E9" s="9">
        <v>2</v>
      </c>
    </row>
    <row r="10" spans="1:5" x14ac:dyDescent="0.35">
      <c r="A10" s="9" t="s">
        <v>319</v>
      </c>
      <c r="B10" s="9" t="s">
        <v>320</v>
      </c>
      <c r="C10" s="9">
        <v>2229561900</v>
      </c>
      <c r="D10" s="9" t="s">
        <v>488</v>
      </c>
      <c r="E10" s="9">
        <v>2</v>
      </c>
    </row>
    <row r="11" spans="1:5" x14ac:dyDescent="0.35">
      <c r="A11" s="9" t="s">
        <v>311</v>
      </c>
      <c r="B11" s="9" t="s">
        <v>312</v>
      </c>
      <c r="C11" s="9">
        <v>4301505500</v>
      </c>
      <c r="D11" s="9" t="s">
        <v>313</v>
      </c>
      <c r="E11" s="9">
        <v>2</v>
      </c>
    </row>
    <row r="12" spans="1:5" x14ac:dyDescent="0.35">
      <c r="A12" s="9" t="s">
        <v>489</v>
      </c>
      <c r="B12" s="9" t="s">
        <v>260</v>
      </c>
      <c r="C12" s="9">
        <v>2961655400</v>
      </c>
      <c r="D12" s="9" t="s">
        <v>261</v>
      </c>
      <c r="E12" s="9">
        <v>1</v>
      </c>
    </row>
    <row r="13" spans="1:5" x14ac:dyDescent="0.35">
      <c r="A13" s="9" t="s">
        <v>490</v>
      </c>
      <c r="B13" s="9" t="s">
        <v>146</v>
      </c>
      <c r="C13" s="9">
        <v>2300300600</v>
      </c>
      <c r="D13" s="9" t="s">
        <v>147</v>
      </c>
      <c r="E13" s="9">
        <v>1</v>
      </c>
    </row>
    <row r="14" spans="1:5" x14ac:dyDescent="0.35">
      <c r="A14" s="9" t="s">
        <v>491</v>
      </c>
      <c r="B14" s="9" t="s">
        <v>492</v>
      </c>
      <c r="C14" s="9">
        <v>3060246800</v>
      </c>
      <c r="D14" s="9" t="s">
        <v>493</v>
      </c>
      <c r="E14" s="9">
        <v>1</v>
      </c>
    </row>
    <row r="15" spans="1:5" x14ac:dyDescent="0.35">
      <c r="A15" s="9" t="s">
        <v>494</v>
      </c>
      <c r="B15" s="9" t="s">
        <v>495</v>
      </c>
      <c r="C15" s="9">
        <v>3830104200</v>
      </c>
      <c r="D15" s="9" t="s">
        <v>496</v>
      </c>
      <c r="E15" s="9">
        <v>1</v>
      </c>
    </row>
    <row r="16" spans="1:5" x14ac:dyDescent="0.35">
      <c r="A16" s="9" t="s">
        <v>497</v>
      </c>
      <c r="B16" s="9" t="s">
        <v>498</v>
      </c>
      <c r="C16" s="9">
        <v>2395741700</v>
      </c>
      <c r="D16" s="9" t="s">
        <v>499</v>
      </c>
      <c r="E16" s="9">
        <v>1</v>
      </c>
    </row>
    <row r="17" spans="1:5" x14ac:dyDescent="0.35">
      <c r="A17" s="9" t="s">
        <v>500</v>
      </c>
      <c r="B17" s="9" t="s">
        <v>501</v>
      </c>
      <c r="C17" s="9">
        <v>7612651400</v>
      </c>
      <c r="D17" s="9" t="s">
        <v>502</v>
      </c>
      <c r="E17" s="9">
        <v>1</v>
      </c>
    </row>
    <row r="18" spans="1:5" x14ac:dyDescent="0.35">
      <c r="A18" s="9" t="s">
        <v>503</v>
      </c>
      <c r="B18" s="9" t="s">
        <v>504</v>
      </c>
      <c r="C18" s="9">
        <v>3828103800</v>
      </c>
      <c r="D18" s="9" t="s">
        <v>505</v>
      </c>
      <c r="E18" s="9">
        <v>1</v>
      </c>
    </row>
    <row r="19" spans="1:5" x14ac:dyDescent="0.35">
      <c r="A19" s="9" t="s">
        <v>506</v>
      </c>
      <c r="B19" s="9" t="s">
        <v>507</v>
      </c>
      <c r="C19" s="9">
        <v>5121342200</v>
      </c>
      <c r="D19" s="9" t="s">
        <v>508</v>
      </c>
      <c r="E19" s="9">
        <v>1</v>
      </c>
    </row>
    <row r="20" spans="1:5" x14ac:dyDescent="0.35">
      <c r="A20" s="9" t="s">
        <v>509</v>
      </c>
      <c r="B20" s="9" t="s">
        <v>510</v>
      </c>
      <c r="C20" s="9">
        <v>2118877800</v>
      </c>
      <c r="D20" s="9" t="s">
        <v>511</v>
      </c>
      <c r="E20" s="9">
        <v>1</v>
      </c>
    </row>
    <row r="21" spans="1:5" x14ac:dyDescent="0.35">
      <c r="A21" s="9" t="s">
        <v>512</v>
      </c>
      <c r="B21" s="9" t="s">
        <v>513</v>
      </c>
      <c r="C21" s="9">
        <v>6972574900</v>
      </c>
      <c r="D21" s="9" t="s">
        <v>514</v>
      </c>
      <c r="E21" s="9">
        <v>1</v>
      </c>
    </row>
    <row r="22" spans="1:5" x14ac:dyDescent="0.35">
      <c r="A22" s="9" t="s">
        <v>515</v>
      </c>
      <c r="B22" s="9" t="s">
        <v>516</v>
      </c>
      <c r="C22" s="9">
        <v>1390028000</v>
      </c>
      <c r="D22" s="9" t="s">
        <v>517</v>
      </c>
      <c r="E22" s="9">
        <v>1</v>
      </c>
    </row>
    <row r="23" spans="1:5" x14ac:dyDescent="0.35">
      <c r="A23" s="9" t="s">
        <v>518</v>
      </c>
      <c r="B23" s="9" t="s">
        <v>519</v>
      </c>
      <c r="C23" s="9">
        <v>31084242000</v>
      </c>
      <c r="D23" s="9" t="s">
        <v>520</v>
      </c>
      <c r="E23" s="9">
        <v>1</v>
      </c>
    </row>
    <row r="24" spans="1:5" x14ac:dyDescent="0.35">
      <c r="A24" s="9" t="s">
        <v>521</v>
      </c>
      <c r="B24" s="9" t="s">
        <v>522</v>
      </c>
      <c r="C24" s="9">
        <v>9604336400</v>
      </c>
      <c r="D24" s="9" t="s">
        <v>523</v>
      </c>
      <c r="E24" s="9">
        <v>1</v>
      </c>
    </row>
    <row r="25" spans="1:5" x14ac:dyDescent="0.35">
      <c r="A25" s="9" t="s">
        <v>524</v>
      </c>
      <c r="B25" s="9" t="s">
        <v>525</v>
      </c>
      <c r="C25" s="9">
        <v>27497752000</v>
      </c>
      <c r="D25" s="9" t="s">
        <v>526</v>
      </c>
      <c r="E25" s="9">
        <v>1</v>
      </c>
    </row>
    <row r="26" spans="1:5" x14ac:dyDescent="0.35">
      <c r="A26" s="9" t="s">
        <v>527</v>
      </c>
      <c r="B26" s="9" t="s">
        <v>528</v>
      </c>
      <c r="C26" s="9">
        <v>4739788900</v>
      </c>
      <c r="D26" s="9" t="s">
        <v>529</v>
      </c>
      <c r="E26" s="9">
        <v>1</v>
      </c>
    </row>
    <row r="27" spans="1:5" x14ac:dyDescent="0.35">
      <c r="A27" s="9" t="s">
        <v>79</v>
      </c>
      <c r="B27" s="9" t="s">
        <v>530</v>
      </c>
      <c r="C27" s="9">
        <v>10255441900</v>
      </c>
      <c r="D27" s="9" t="s">
        <v>531</v>
      </c>
      <c r="E27" s="9">
        <v>1</v>
      </c>
    </row>
    <row r="28" spans="1:5" x14ac:dyDescent="0.35">
      <c r="A28" s="9" t="s">
        <v>532</v>
      </c>
      <c r="B28" s="9" t="s">
        <v>533</v>
      </c>
      <c r="C28" s="9">
        <v>1879035500</v>
      </c>
      <c r="D28" s="9" t="s">
        <v>534</v>
      </c>
      <c r="E28" s="9">
        <v>1</v>
      </c>
    </row>
    <row r="29" spans="1:5" x14ac:dyDescent="0.35">
      <c r="A29" s="9" t="s">
        <v>535</v>
      </c>
      <c r="B29" s="9" t="s">
        <v>536</v>
      </c>
      <c r="C29" s="9">
        <v>1890579600</v>
      </c>
      <c r="D29" s="9" t="s">
        <v>537</v>
      </c>
      <c r="E29" s="9">
        <v>1</v>
      </c>
    </row>
    <row r="30" spans="1:5" x14ac:dyDescent="0.35">
      <c r="A30" s="9" t="s">
        <v>538</v>
      </c>
      <c r="B30" s="9" t="s">
        <v>539</v>
      </c>
      <c r="C30" s="9">
        <v>68390256000</v>
      </c>
      <c r="D30" s="9" t="s">
        <v>540</v>
      </c>
      <c r="E30" s="9">
        <v>1</v>
      </c>
    </row>
    <row r="31" spans="1:5" x14ac:dyDescent="0.35">
      <c r="A31" s="9" t="s">
        <v>541</v>
      </c>
      <c r="B31" s="9" t="s">
        <v>542</v>
      </c>
      <c r="C31" s="9">
        <v>7475561800</v>
      </c>
      <c r="D31" s="9" t="s">
        <v>543</v>
      </c>
      <c r="E31" s="9">
        <v>1</v>
      </c>
    </row>
    <row r="32" spans="1:5" x14ac:dyDescent="0.35">
      <c r="A32" s="9" t="s">
        <v>544</v>
      </c>
      <c r="B32" s="9" t="s">
        <v>545</v>
      </c>
      <c r="C32" s="9">
        <v>58214505000</v>
      </c>
      <c r="D32" s="9" t="s">
        <v>546</v>
      </c>
      <c r="E32" s="9">
        <v>1</v>
      </c>
    </row>
    <row r="33" spans="1:5" x14ac:dyDescent="0.35">
      <c r="A33" s="9" t="s">
        <v>547</v>
      </c>
      <c r="B33" s="9" t="s">
        <v>548</v>
      </c>
      <c r="C33" s="9">
        <v>3276853300</v>
      </c>
      <c r="D33" s="9" t="s">
        <v>549</v>
      </c>
      <c r="E33" s="9">
        <v>1</v>
      </c>
    </row>
    <row r="34" spans="1:5" x14ac:dyDescent="0.35">
      <c r="A34" s="9" t="s">
        <v>550</v>
      </c>
      <c r="B34" s="9" t="s">
        <v>551</v>
      </c>
      <c r="C34" s="9">
        <v>1894585000</v>
      </c>
      <c r="D34" s="9" t="s">
        <v>552</v>
      </c>
      <c r="E34" s="9">
        <v>1</v>
      </c>
    </row>
    <row r="35" spans="1:5" x14ac:dyDescent="0.35">
      <c r="A35" s="9" t="s">
        <v>553</v>
      </c>
      <c r="B35" s="9" t="s">
        <v>554</v>
      </c>
      <c r="C35" s="9">
        <v>2219442500</v>
      </c>
      <c r="D35" s="9" t="s">
        <v>555</v>
      </c>
      <c r="E35" s="9">
        <v>1</v>
      </c>
    </row>
    <row r="36" spans="1:5" x14ac:dyDescent="0.35">
      <c r="A36" s="9" t="s">
        <v>556</v>
      </c>
      <c r="B36" s="9" t="s">
        <v>557</v>
      </c>
      <c r="C36" s="9">
        <v>28848844000</v>
      </c>
      <c r="D36" s="9" t="s">
        <v>558</v>
      </c>
      <c r="E36" s="9">
        <v>1</v>
      </c>
    </row>
    <row r="37" spans="1:5" x14ac:dyDescent="0.35">
      <c r="A37" s="9" t="s">
        <v>559</v>
      </c>
      <c r="B37" s="9" t="s">
        <v>560</v>
      </c>
      <c r="C37" s="9">
        <v>5025589100</v>
      </c>
      <c r="D37" s="9" t="s">
        <v>561</v>
      </c>
      <c r="E37" s="9">
        <v>1</v>
      </c>
    </row>
    <row r="38" spans="1:5" x14ac:dyDescent="0.35">
      <c r="A38" s="9" t="s">
        <v>562</v>
      </c>
      <c r="B38" s="9" t="s">
        <v>563</v>
      </c>
      <c r="C38" s="9">
        <v>2791340700</v>
      </c>
      <c r="D38" s="9" t="s">
        <v>564</v>
      </c>
      <c r="E38" s="9">
        <v>1</v>
      </c>
    </row>
    <row r="39" spans="1:5" x14ac:dyDescent="0.35">
      <c r="A39" s="9" t="s">
        <v>565</v>
      </c>
      <c r="B39" s="9" t="s">
        <v>566</v>
      </c>
      <c r="C39" s="9">
        <v>4506624000</v>
      </c>
      <c r="D39" s="9" t="s">
        <v>567</v>
      </c>
      <c r="E39" s="9">
        <v>1</v>
      </c>
    </row>
    <row r="40" spans="1:5" x14ac:dyDescent="0.35">
      <c r="A40" s="9" t="s">
        <v>568</v>
      </c>
      <c r="B40" s="9" t="s">
        <v>569</v>
      </c>
      <c r="C40" s="9">
        <v>39769798000</v>
      </c>
      <c r="D40" s="9" t="s">
        <v>570</v>
      </c>
      <c r="E40" s="9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F9ABB-F44C-4F03-BD88-5C978289835A}">
  <dimension ref="A1:M80"/>
  <sheetViews>
    <sheetView workbookViewId="0">
      <selection activeCell="I20" sqref="I20"/>
    </sheetView>
  </sheetViews>
  <sheetFormatPr defaultRowHeight="14.15" x14ac:dyDescent="0.35"/>
  <cols>
    <col min="1" max="3" width="9.140625" style="9"/>
    <col min="4" max="4" width="24.92578125" style="9" bestFit="1" customWidth="1"/>
    <col min="5" max="5" width="13.78515625" style="9" customWidth="1"/>
    <col min="6" max="16384" width="9.140625" style="9"/>
  </cols>
  <sheetData>
    <row r="1" spans="1:5" x14ac:dyDescent="0.35">
      <c r="A1" s="9" t="s">
        <v>292</v>
      </c>
      <c r="B1" s="9" t="s">
        <v>59</v>
      </c>
      <c r="C1" s="9" t="s">
        <v>293</v>
      </c>
      <c r="D1" s="9" t="s">
        <v>294</v>
      </c>
      <c r="E1" s="9" t="s">
        <v>295</v>
      </c>
    </row>
    <row r="2" spans="1:5" x14ac:dyDescent="0.35">
      <c r="A2" s="9" t="s">
        <v>296</v>
      </c>
      <c r="B2" s="9" t="s">
        <v>297</v>
      </c>
      <c r="C2" s="9">
        <v>8003070000</v>
      </c>
      <c r="D2" s="9" t="s">
        <v>298</v>
      </c>
      <c r="E2" s="9">
        <v>1</v>
      </c>
    </row>
    <row r="3" spans="1:5" x14ac:dyDescent="0.35">
      <c r="A3" s="9" t="s">
        <v>299</v>
      </c>
      <c r="B3" s="9" t="s">
        <v>300</v>
      </c>
      <c r="C3" s="9">
        <v>9166428700</v>
      </c>
      <c r="D3" s="9" t="s">
        <v>152</v>
      </c>
      <c r="E3" s="9">
        <v>1</v>
      </c>
    </row>
    <row r="4" spans="1:5" x14ac:dyDescent="0.35">
      <c r="A4" s="9" t="s">
        <v>301</v>
      </c>
      <c r="B4" s="9" t="s">
        <v>286</v>
      </c>
      <c r="C4" s="9">
        <v>39511384000</v>
      </c>
      <c r="D4" s="9" t="s">
        <v>287</v>
      </c>
      <c r="E4" s="9">
        <v>2</v>
      </c>
    </row>
    <row r="5" spans="1:5" x14ac:dyDescent="0.35">
      <c r="A5" s="9" t="s">
        <v>302</v>
      </c>
      <c r="B5" s="9" t="s">
        <v>303</v>
      </c>
      <c r="C5" s="9">
        <v>4995856400</v>
      </c>
      <c r="D5" s="9" t="s">
        <v>304</v>
      </c>
      <c r="E5" s="9">
        <v>1</v>
      </c>
    </row>
    <row r="6" spans="1:5" x14ac:dyDescent="0.35">
      <c r="A6" s="9" t="s">
        <v>305</v>
      </c>
      <c r="B6" s="9" t="s">
        <v>306</v>
      </c>
      <c r="C6" s="9">
        <v>1602473800</v>
      </c>
      <c r="D6" s="9" t="s">
        <v>307</v>
      </c>
      <c r="E6" s="9">
        <v>1</v>
      </c>
    </row>
    <row r="7" spans="1:5" x14ac:dyDescent="0.35">
      <c r="A7" s="9" t="s">
        <v>308</v>
      </c>
      <c r="B7" s="9" t="s">
        <v>309</v>
      </c>
      <c r="C7" s="9">
        <v>14856411000</v>
      </c>
      <c r="D7" s="9" t="s">
        <v>310</v>
      </c>
      <c r="E7" s="9">
        <v>1</v>
      </c>
    </row>
    <row r="8" spans="1:5" x14ac:dyDescent="0.35">
      <c r="A8" s="9" t="s">
        <v>311</v>
      </c>
      <c r="B8" s="9" t="s">
        <v>312</v>
      </c>
      <c r="C8" s="9">
        <v>3910096500</v>
      </c>
      <c r="D8" s="9" t="s">
        <v>313</v>
      </c>
      <c r="E8" s="9">
        <v>1</v>
      </c>
    </row>
    <row r="9" spans="1:5" x14ac:dyDescent="0.35">
      <c r="A9" s="9" t="s">
        <v>314</v>
      </c>
      <c r="B9" s="9" t="s">
        <v>315</v>
      </c>
      <c r="C9" s="9">
        <v>11639850600</v>
      </c>
      <c r="D9" s="9" t="s">
        <v>307</v>
      </c>
      <c r="E9" s="9">
        <v>1</v>
      </c>
    </row>
    <row r="10" spans="1:5" x14ac:dyDescent="0.35">
      <c r="A10" s="9" t="s">
        <v>316</v>
      </c>
      <c r="B10" s="9" t="s">
        <v>317</v>
      </c>
      <c r="C10" s="9">
        <v>18204322000</v>
      </c>
      <c r="D10" s="9" t="s">
        <v>318</v>
      </c>
      <c r="E10" s="9">
        <v>1</v>
      </c>
    </row>
    <row r="11" spans="1:5" x14ac:dyDescent="0.35">
      <c r="A11" s="9" t="s">
        <v>129</v>
      </c>
      <c r="B11" s="9" t="s">
        <v>130</v>
      </c>
      <c r="C11" s="9">
        <v>10216947500</v>
      </c>
      <c r="D11" s="9" t="s">
        <v>281</v>
      </c>
      <c r="E11" s="9">
        <v>2</v>
      </c>
    </row>
    <row r="12" spans="1:5" x14ac:dyDescent="0.35">
      <c r="A12" s="9" t="s">
        <v>319</v>
      </c>
      <c r="B12" s="9" t="s">
        <v>320</v>
      </c>
      <c r="C12" s="9">
        <v>2024544700</v>
      </c>
      <c r="D12" s="9" t="s">
        <v>321</v>
      </c>
      <c r="E12" s="9">
        <v>1</v>
      </c>
    </row>
    <row r="13" spans="1:5" x14ac:dyDescent="0.35">
      <c r="A13" s="9" t="s">
        <v>322</v>
      </c>
      <c r="B13" s="9" t="s">
        <v>323</v>
      </c>
      <c r="C13" s="9">
        <v>36500244000</v>
      </c>
      <c r="D13" s="9" t="s">
        <v>324</v>
      </c>
      <c r="E13" s="9">
        <v>1</v>
      </c>
    </row>
    <row r="14" spans="1:5" x14ac:dyDescent="0.35">
      <c r="A14" s="9" t="s">
        <v>325</v>
      </c>
      <c r="B14" s="9" t="s">
        <v>326</v>
      </c>
      <c r="C14" s="9">
        <v>7082439700</v>
      </c>
      <c r="D14" s="9" t="s">
        <v>310</v>
      </c>
      <c r="E14" s="9">
        <v>1</v>
      </c>
    </row>
    <row r="15" spans="1:5" x14ac:dyDescent="0.35">
      <c r="A15" s="9" t="s">
        <v>327</v>
      </c>
      <c r="B15" s="9" t="s">
        <v>279</v>
      </c>
      <c r="C15" s="9">
        <v>2654553300</v>
      </c>
      <c r="D15" s="9" t="s">
        <v>280</v>
      </c>
      <c r="E15" s="9">
        <v>2</v>
      </c>
    </row>
    <row r="16" spans="1:5" x14ac:dyDescent="0.35">
      <c r="A16" s="9" t="s">
        <v>328</v>
      </c>
      <c r="B16" s="9" t="s">
        <v>277</v>
      </c>
      <c r="C16" s="9">
        <v>3095433800</v>
      </c>
      <c r="D16" s="9" t="s">
        <v>278</v>
      </c>
      <c r="E16" s="9">
        <v>2</v>
      </c>
    </row>
    <row r="17" spans="1:13" x14ac:dyDescent="0.35">
      <c r="A17" s="9" t="s">
        <v>329</v>
      </c>
      <c r="B17" s="9" t="s">
        <v>330</v>
      </c>
      <c r="C17" s="9">
        <v>221788630000</v>
      </c>
      <c r="D17" s="9" t="s">
        <v>307</v>
      </c>
      <c r="E17" s="9">
        <v>1</v>
      </c>
    </row>
    <row r="18" spans="1:13" x14ac:dyDescent="0.35">
      <c r="A18" s="9" t="s">
        <v>331</v>
      </c>
      <c r="B18" s="9" t="s">
        <v>332</v>
      </c>
      <c r="C18" s="9">
        <v>1782078000</v>
      </c>
      <c r="D18" s="9" t="s">
        <v>333</v>
      </c>
      <c r="E18" s="9">
        <v>1</v>
      </c>
    </row>
    <row r="19" spans="1:13" x14ac:dyDescent="0.35">
      <c r="A19" s="9" t="s">
        <v>334</v>
      </c>
      <c r="B19" s="9" t="s">
        <v>288</v>
      </c>
      <c r="C19" s="9">
        <v>5559225000</v>
      </c>
      <c r="D19" s="9" t="s">
        <v>289</v>
      </c>
      <c r="E19" s="9">
        <v>2</v>
      </c>
    </row>
    <row r="20" spans="1:13" x14ac:dyDescent="0.35">
      <c r="A20" s="9" t="s">
        <v>335</v>
      </c>
      <c r="B20" s="9" t="s">
        <v>336</v>
      </c>
      <c r="C20" s="9">
        <v>7952377900</v>
      </c>
      <c r="D20" s="9" t="s">
        <v>337</v>
      </c>
      <c r="E20" s="9">
        <v>1</v>
      </c>
    </row>
    <row r="21" spans="1:13" x14ac:dyDescent="0.35">
      <c r="A21" s="9" t="s">
        <v>338</v>
      </c>
      <c r="B21" s="9" t="s">
        <v>339</v>
      </c>
      <c r="C21" s="9">
        <v>4371388600</v>
      </c>
      <c r="D21" s="9" t="s">
        <v>340</v>
      </c>
      <c r="E21" s="9">
        <v>1</v>
      </c>
    </row>
    <row r="22" spans="1:13" x14ac:dyDescent="0.35">
      <c r="A22" s="9" t="s">
        <v>341</v>
      </c>
      <c r="B22" s="9" t="s">
        <v>342</v>
      </c>
      <c r="C22" s="9">
        <v>73889672000</v>
      </c>
      <c r="D22" s="9" t="s">
        <v>343</v>
      </c>
      <c r="E22" s="9">
        <v>1</v>
      </c>
      <c r="M22" s="9" t="s">
        <v>684</v>
      </c>
    </row>
    <row r="23" spans="1:13" x14ac:dyDescent="0.35">
      <c r="A23" s="9" t="s">
        <v>344</v>
      </c>
      <c r="B23" s="9" t="s">
        <v>262</v>
      </c>
      <c r="C23" s="9">
        <v>9298182200</v>
      </c>
      <c r="D23" s="9" t="s">
        <v>263</v>
      </c>
      <c r="E23" s="9">
        <v>5</v>
      </c>
    </row>
    <row r="24" spans="1:13" x14ac:dyDescent="0.35">
      <c r="A24" s="9" t="s">
        <v>345</v>
      </c>
      <c r="B24" s="9" t="s">
        <v>346</v>
      </c>
      <c r="C24" s="9">
        <v>9345733900</v>
      </c>
      <c r="D24" s="9" t="s">
        <v>343</v>
      </c>
      <c r="E24" s="9">
        <v>1</v>
      </c>
    </row>
    <row r="25" spans="1:13" x14ac:dyDescent="0.35">
      <c r="A25" s="9" t="s">
        <v>347</v>
      </c>
      <c r="B25" s="9" t="s">
        <v>275</v>
      </c>
      <c r="C25" s="9">
        <v>3557342800</v>
      </c>
      <c r="D25" s="9" t="s">
        <v>276</v>
      </c>
      <c r="E25" s="9">
        <v>2</v>
      </c>
    </row>
    <row r="26" spans="1:13" x14ac:dyDescent="0.35">
      <c r="A26" s="9" t="s">
        <v>348</v>
      </c>
      <c r="B26" s="9" t="s">
        <v>349</v>
      </c>
      <c r="C26" s="9">
        <v>22056132000</v>
      </c>
      <c r="D26" s="9" t="s">
        <v>350</v>
      </c>
      <c r="E26" s="9">
        <v>1</v>
      </c>
    </row>
    <row r="27" spans="1:13" x14ac:dyDescent="0.35">
      <c r="A27" s="9" t="s">
        <v>351</v>
      </c>
      <c r="B27" s="9" t="s">
        <v>352</v>
      </c>
      <c r="C27" s="9">
        <v>8064488800</v>
      </c>
      <c r="D27" s="9" t="s">
        <v>353</v>
      </c>
      <c r="E27" s="9">
        <v>1</v>
      </c>
    </row>
    <row r="28" spans="1:13" x14ac:dyDescent="0.35">
      <c r="A28" s="9" t="s">
        <v>354</v>
      </c>
      <c r="B28" s="9" t="s">
        <v>282</v>
      </c>
      <c r="C28" s="9">
        <v>4502516900</v>
      </c>
      <c r="D28" s="9" t="s">
        <v>283</v>
      </c>
      <c r="E28" s="9">
        <v>2</v>
      </c>
    </row>
    <row r="29" spans="1:13" x14ac:dyDescent="0.35">
      <c r="A29" s="9" t="s">
        <v>355</v>
      </c>
      <c r="B29" s="9" t="s">
        <v>356</v>
      </c>
      <c r="C29" s="9">
        <v>12148276000</v>
      </c>
      <c r="D29" s="9" t="s">
        <v>357</v>
      </c>
      <c r="E29" s="9">
        <v>1</v>
      </c>
    </row>
    <row r="30" spans="1:13" x14ac:dyDescent="0.35">
      <c r="A30" s="9" t="s">
        <v>358</v>
      </c>
      <c r="B30" s="9" t="s">
        <v>359</v>
      </c>
      <c r="C30" s="9">
        <v>15650389000</v>
      </c>
      <c r="D30" s="9" t="s">
        <v>360</v>
      </c>
      <c r="E30" s="9">
        <v>1</v>
      </c>
    </row>
    <row r="31" spans="1:13" x14ac:dyDescent="0.35">
      <c r="A31" s="9" t="s">
        <v>361</v>
      </c>
      <c r="B31" s="9" t="s">
        <v>362</v>
      </c>
      <c r="C31" s="9">
        <v>11869555900</v>
      </c>
      <c r="D31" s="9" t="s">
        <v>363</v>
      </c>
      <c r="E31" s="9">
        <v>7</v>
      </c>
    </row>
    <row r="32" spans="1:13" x14ac:dyDescent="0.35">
      <c r="A32" s="9" t="s">
        <v>364</v>
      </c>
      <c r="B32" s="9" t="s">
        <v>365</v>
      </c>
      <c r="C32" s="9">
        <v>6027690300</v>
      </c>
      <c r="D32" s="9" t="s">
        <v>366</v>
      </c>
      <c r="E32" s="9">
        <v>1</v>
      </c>
    </row>
    <row r="33" spans="1:5" x14ac:dyDescent="0.35">
      <c r="A33" s="9" t="s">
        <v>367</v>
      </c>
      <c r="B33" s="9" t="s">
        <v>368</v>
      </c>
      <c r="C33" s="9">
        <v>295436610000</v>
      </c>
      <c r="D33" s="9" t="s">
        <v>84</v>
      </c>
      <c r="E33" s="9">
        <v>1</v>
      </c>
    </row>
    <row r="34" spans="1:5" x14ac:dyDescent="0.35">
      <c r="A34" s="9" t="s">
        <v>369</v>
      </c>
      <c r="B34" s="9" t="s">
        <v>370</v>
      </c>
      <c r="C34" s="9">
        <v>3175437400</v>
      </c>
      <c r="D34" s="9" t="s">
        <v>371</v>
      </c>
      <c r="E34" s="9">
        <v>1</v>
      </c>
    </row>
    <row r="35" spans="1:5" x14ac:dyDescent="0.35">
      <c r="A35" s="9" t="s">
        <v>372</v>
      </c>
      <c r="B35" s="9" t="s">
        <v>373</v>
      </c>
      <c r="C35" s="9">
        <v>9161414500</v>
      </c>
      <c r="D35" s="9" t="s">
        <v>374</v>
      </c>
      <c r="E35" s="9">
        <v>2</v>
      </c>
    </row>
    <row r="36" spans="1:5" x14ac:dyDescent="0.35">
      <c r="A36" s="9" t="s">
        <v>375</v>
      </c>
      <c r="B36" s="9" t="s">
        <v>267</v>
      </c>
      <c r="C36" s="9">
        <v>4981050800</v>
      </c>
      <c r="D36" s="9" t="s">
        <v>268</v>
      </c>
      <c r="E36" s="9">
        <v>3</v>
      </c>
    </row>
    <row r="37" spans="1:5" x14ac:dyDescent="0.35">
      <c r="A37" s="9" t="s">
        <v>376</v>
      </c>
      <c r="B37" s="9" t="s">
        <v>377</v>
      </c>
      <c r="C37" s="9">
        <v>11673548500</v>
      </c>
      <c r="D37" s="9" t="s">
        <v>87</v>
      </c>
      <c r="E37" s="9">
        <v>1</v>
      </c>
    </row>
    <row r="38" spans="1:5" x14ac:dyDescent="0.35">
      <c r="A38" s="9" t="s">
        <v>378</v>
      </c>
      <c r="B38" s="9" t="s">
        <v>379</v>
      </c>
      <c r="C38" s="9">
        <v>2492098500</v>
      </c>
      <c r="D38" s="9" t="s">
        <v>380</v>
      </c>
      <c r="E38" s="9">
        <v>1</v>
      </c>
    </row>
    <row r="39" spans="1:5" x14ac:dyDescent="0.35">
      <c r="A39" s="9" t="s">
        <v>381</v>
      </c>
      <c r="B39" s="9" t="s">
        <v>382</v>
      </c>
      <c r="C39" s="9">
        <v>4096133300</v>
      </c>
      <c r="D39" s="9" t="s">
        <v>87</v>
      </c>
      <c r="E39" s="9">
        <v>1</v>
      </c>
    </row>
    <row r="40" spans="1:5" x14ac:dyDescent="0.35">
      <c r="A40" s="9" t="s">
        <v>383</v>
      </c>
      <c r="B40" s="9" t="s">
        <v>384</v>
      </c>
      <c r="C40" s="9">
        <v>3530685300</v>
      </c>
      <c r="D40" s="9" t="s">
        <v>371</v>
      </c>
      <c r="E40" s="9">
        <v>1</v>
      </c>
    </row>
    <row r="41" spans="1:5" x14ac:dyDescent="0.35">
      <c r="A41" s="9" t="s">
        <v>385</v>
      </c>
      <c r="B41" s="9" t="s">
        <v>386</v>
      </c>
      <c r="C41" s="9">
        <v>5038069100</v>
      </c>
      <c r="D41" s="9" t="s">
        <v>387</v>
      </c>
      <c r="E41" s="9">
        <v>1</v>
      </c>
    </row>
    <row r="42" spans="1:5" x14ac:dyDescent="0.35">
      <c r="A42" s="9" t="s">
        <v>388</v>
      </c>
      <c r="B42" s="9" t="s">
        <v>389</v>
      </c>
      <c r="C42" s="9">
        <v>2270730200</v>
      </c>
      <c r="D42" s="9" t="s">
        <v>390</v>
      </c>
      <c r="E42" s="9">
        <v>1</v>
      </c>
    </row>
    <row r="43" spans="1:5" x14ac:dyDescent="0.35">
      <c r="A43" s="9" t="s">
        <v>391</v>
      </c>
      <c r="B43" s="9" t="s">
        <v>392</v>
      </c>
      <c r="C43" s="9">
        <v>3937160100</v>
      </c>
      <c r="D43" s="9" t="s">
        <v>393</v>
      </c>
      <c r="E43" s="9">
        <v>1</v>
      </c>
    </row>
    <row r="44" spans="1:5" x14ac:dyDescent="0.35">
      <c r="A44" s="9" t="s">
        <v>394</v>
      </c>
      <c r="B44" s="9" t="s">
        <v>150</v>
      </c>
      <c r="C44" s="9">
        <v>9011187800</v>
      </c>
      <c r="D44" s="9" t="s">
        <v>151</v>
      </c>
      <c r="E44" s="9">
        <v>1</v>
      </c>
    </row>
    <row r="45" spans="1:5" x14ac:dyDescent="0.35">
      <c r="A45" s="9" t="s">
        <v>85</v>
      </c>
      <c r="B45" s="9" t="s">
        <v>86</v>
      </c>
      <c r="C45" s="9">
        <v>6370113700</v>
      </c>
      <c r="D45" s="9" t="s">
        <v>307</v>
      </c>
      <c r="E45" s="9">
        <v>1</v>
      </c>
    </row>
    <row r="46" spans="1:5" x14ac:dyDescent="0.35">
      <c r="A46" s="9" t="s">
        <v>395</v>
      </c>
      <c r="B46" s="9" t="s">
        <v>290</v>
      </c>
      <c r="C46" s="9">
        <v>23421648000</v>
      </c>
      <c r="D46" s="9" t="s">
        <v>291</v>
      </c>
      <c r="E46" s="9">
        <v>2</v>
      </c>
    </row>
    <row r="47" spans="1:5" x14ac:dyDescent="0.35">
      <c r="A47" s="9" t="s">
        <v>396</v>
      </c>
      <c r="B47" s="9" t="s">
        <v>397</v>
      </c>
      <c r="C47" s="9">
        <v>2460727200</v>
      </c>
      <c r="D47" s="9" t="s">
        <v>398</v>
      </c>
      <c r="E47" s="9">
        <v>1</v>
      </c>
    </row>
    <row r="48" spans="1:5" x14ac:dyDescent="0.35">
      <c r="A48" s="9" t="s">
        <v>399</v>
      </c>
      <c r="B48" s="9" t="s">
        <v>400</v>
      </c>
      <c r="C48" s="9">
        <v>10587574800</v>
      </c>
      <c r="D48" s="9" t="s">
        <v>401</v>
      </c>
      <c r="E48" s="9">
        <v>1</v>
      </c>
    </row>
    <row r="49" spans="1:5" x14ac:dyDescent="0.35">
      <c r="A49" s="9" t="s">
        <v>402</v>
      </c>
      <c r="B49" s="9" t="s">
        <v>403</v>
      </c>
      <c r="C49" s="9">
        <v>2367902200</v>
      </c>
      <c r="D49" s="9" t="s">
        <v>404</v>
      </c>
      <c r="E49" s="9">
        <v>1</v>
      </c>
    </row>
    <row r="50" spans="1:5" x14ac:dyDescent="0.35">
      <c r="A50" s="9" t="s">
        <v>405</v>
      </c>
      <c r="B50" s="9" t="s">
        <v>406</v>
      </c>
      <c r="C50" s="9">
        <v>35271067000</v>
      </c>
      <c r="D50" s="9" t="s">
        <v>407</v>
      </c>
      <c r="E50" s="9">
        <v>1</v>
      </c>
    </row>
    <row r="51" spans="1:5" x14ac:dyDescent="0.35">
      <c r="A51" s="9" t="s">
        <v>408</v>
      </c>
      <c r="B51" s="9" t="s">
        <v>409</v>
      </c>
      <c r="C51" s="9">
        <v>13020105600</v>
      </c>
      <c r="D51" s="9" t="s">
        <v>83</v>
      </c>
      <c r="E51" s="9">
        <v>1</v>
      </c>
    </row>
    <row r="52" spans="1:5" x14ac:dyDescent="0.35">
      <c r="A52" s="9" t="s">
        <v>410</v>
      </c>
      <c r="B52" s="9" t="s">
        <v>411</v>
      </c>
      <c r="C52" s="9">
        <v>5701042000</v>
      </c>
      <c r="D52" s="9" t="s">
        <v>412</v>
      </c>
      <c r="E52" s="9">
        <v>1</v>
      </c>
    </row>
    <row r="53" spans="1:5" x14ac:dyDescent="0.35">
      <c r="A53" s="9" t="s">
        <v>413</v>
      </c>
      <c r="B53" s="9" t="s">
        <v>414</v>
      </c>
      <c r="C53" s="9">
        <v>11321854000</v>
      </c>
      <c r="D53" s="9" t="s">
        <v>415</v>
      </c>
      <c r="E53" s="9">
        <v>1</v>
      </c>
    </row>
    <row r="54" spans="1:5" x14ac:dyDescent="0.35">
      <c r="A54" s="9" t="s">
        <v>416</v>
      </c>
      <c r="B54" s="9" t="s">
        <v>417</v>
      </c>
      <c r="C54" s="9">
        <v>11069465000</v>
      </c>
      <c r="D54" s="9" t="s">
        <v>418</v>
      </c>
      <c r="E54" s="9">
        <v>1</v>
      </c>
    </row>
    <row r="55" spans="1:5" x14ac:dyDescent="0.35">
      <c r="A55" s="9" t="s">
        <v>419</v>
      </c>
      <c r="B55" s="9" t="s">
        <v>420</v>
      </c>
      <c r="C55" s="9">
        <v>4856720900</v>
      </c>
      <c r="D55" s="9" t="s">
        <v>421</v>
      </c>
      <c r="E55" s="9">
        <v>1</v>
      </c>
    </row>
    <row r="56" spans="1:5" x14ac:dyDescent="0.35">
      <c r="A56" s="9" t="s">
        <v>422</v>
      </c>
      <c r="B56" s="9" t="s">
        <v>423</v>
      </c>
      <c r="C56" s="9">
        <v>17725575000</v>
      </c>
      <c r="D56" s="9" t="s">
        <v>424</v>
      </c>
      <c r="E56" s="9">
        <v>1</v>
      </c>
    </row>
    <row r="57" spans="1:5" x14ac:dyDescent="0.35">
      <c r="A57" s="9" t="s">
        <v>425</v>
      </c>
      <c r="B57" s="9" t="s">
        <v>426</v>
      </c>
      <c r="C57" s="9">
        <v>38101932000</v>
      </c>
      <c r="D57" s="9" t="s">
        <v>427</v>
      </c>
      <c r="E57" s="9">
        <v>1</v>
      </c>
    </row>
    <row r="58" spans="1:5" x14ac:dyDescent="0.35">
      <c r="A58" s="9" t="s">
        <v>428</v>
      </c>
      <c r="B58" s="9" t="s">
        <v>429</v>
      </c>
      <c r="C58" s="9">
        <v>11000505200</v>
      </c>
      <c r="D58" s="9" t="s">
        <v>430</v>
      </c>
      <c r="E58" s="9">
        <v>1</v>
      </c>
    </row>
    <row r="59" spans="1:5" x14ac:dyDescent="0.35">
      <c r="A59" s="9" t="s">
        <v>431</v>
      </c>
      <c r="B59" s="9" t="s">
        <v>432</v>
      </c>
      <c r="C59" s="9">
        <v>15091803000</v>
      </c>
      <c r="D59" s="9" t="s">
        <v>433</v>
      </c>
      <c r="E59" s="9">
        <v>1</v>
      </c>
    </row>
    <row r="60" spans="1:5" x14ac:dyDescent="0.35">
      <c r="A60" s="9" t="s">
        <v>434</v>
      </c>
      <c r="B60" s="9" t="s">
        <v>435</v>
      </c>
      <c r="C60" s="9">
        <v>3967629800</v>
      </c>
      <c r="D60" s="9" t="s">
        <v>436</v>
      </c>
      <c r="E60" s="9">
        <v>1</v>
      </c>
    </row>
    <row r="61" spans="1:5" x14ac:dyDescent="0.35">
      <c r="A61" s="9" t="s">
        <v>437</v>
      </c>
      <c r="B61" s="9" t="s">
        <v>274</v>
      </c>
      <c r="C61" s="9">
        <v>3312103100</v>
      </c>
      <c r="D61" s="9" t="s">
        <v>127</v>
      </c>
      <c r="E61" s="9">
        <v>2</v>
      </c>
    </row>
    <row r="62" spans="1:5" x14ac:dyDescent="0.35">
      <c r="A62" s="9" t="s">
        <v>438</v>
      </c>
      <c r="B62" s="9" t="s">
        <v>439</v>
      </c>
      <c r="C62" s="9">
        <v>40552884000</v>
      </c>
      <c r="D62" s="9" t="s">
        <v>440</v>
      </c>
      <c r="E62" s="9">
        <v>1</v>
      </c>
    </row>
    <row r="63" spans="1:5" x14ac:dyDescent="0.35">
      <c r="A63" s="9" t="s">
        <v>80</v>
      </c>
      <c r="B63" s="9" t="s">
        <v>81</v>
      </c>
      <c r="C63" s="9">
        <v>3792022000</v>
      </c>
      <c r="D63" s="9" t="s">
        <v>82</v>
      </c>
      <c r="E63" s="9">
        <v>1</v>
      </c>
    </row>
    <row r="64" spans="1:5" x14ac:dyDescent="0.35">
      <c r="A64" s="9" t="s">
        <v>441</v>
      </c>
      <c r="B64" s="9" t="s">
        <v>442</v>
      </c>
      <c r="C64" s="9">
        <v>14099312000</v>
      </c>
      <c r="D64" s="9" t="s">
        <v>307</v>
      </c>
      <c r="E64" s="9">
        <v>1</v>
      </c>
    </row>
    <row r="65" spans="1:5" x14ac:dyDescent="0.35">
      <c r="A65" s="9" t="s">
        <v>443</v>
      </c>
      <c r="B65" s="9" t="s">
        <v>444</v>
      </c>
      <c r="C65" s="9">
        <v>9322740000</v>
      </c>
      <c r="D65" s="9" t="s">
        <v>445</v>
      </c>
      <c r="E65" s="9">
        <v>1</v>
      </c>
    </row>
    <row r="66" spans="1:5" x14ac:dyDescent="0.35">
      <c r="A66" s="9" t="s">
        <v>446</v>
      </c>
      <c r="B66" s="9" t="s">
        <v>447</v>
      </c>
      <c r="C66" s="9">
        <v>13734103000</v>
      </c>
      <c r="D66" s="9" t="s">
        <v>448</v>
      </c>
      <c r="E66" s="9">
        <v>1</v>
      </c>
    </row>
    <row r="67" spans="1:5" x14ac:dyDescent="0.35">
      <c r="A67" s="9" t="s">
        <v>449</v>
      </c>
      <c r="B67" s="9" t="s">
        <v>450</v>
      </c>
      <c r="C67" s="9">
        <v>5300681300</v>
      </c>
      <c r="D67" s="9" t="s">
        <v>451</v>
      </c>
      <c r="E67" s="9">
        <v>1</v>
      </c>
    </row>
    <row r="68" spans="1:5" x14ac:dyDescent="0.35">
      <c r="A68" s="9" t="s">
        <v>452</v>
      </c>
      <c r="B68" s="9" t="s">
        <v>453</v>
      </c>
      <c r="C68" s="9">
        <v>3240338200</v>
      </c>
      <c r="D68" s="9" t="s">
        <v>454</v>
      </c>
      <c r="E68" s="9">
        <v>1</v>
      </c>
    </row>
    <row r="69" spans="1:5" x14ac:dyDescent="0.35">
      <c r="A69" s="9" t="s">
        <v>455</v>
      </c>
      <c r="B69" s="9" t="s">
        <v>456</v>
      </c>
      <c r="C69" s="9">
        <v>5487086700</v>
      </c>
      <c r="D69" s="9" t="s">
        <v>457</v>
      </c>
      <c r="E69" s="9">
        <v>1</v>
      </c>
    </row>
    <row r="70" spans="1:5" x14ac:dyDescent="0.35">
      <c r="A70" s="9" t="s">
        <v>458</v>
      </c>
      <c r="B70" s="9" t="s">
        <v>459</v>
      </c>
      <c r="C70" s="9">
        <v>2484087200</v>
      </c>
      <c r="D70" s="9" t="s">
        <v>460</v>
      </c>
      <c r="E70" s="9">
        <v>1</v>
      </c>
    </row>
    <row r="71" spans="1:5" x14ac:dyDescent="0.35">
      <c r="A71" s="9" t="s">
        <v>461</v>
      </c>
      <c r="B71" s="9" t="s">
        <v>462</v>
      </c>
      <c r="C71" s="9">
        <v>2671000000</v>
      </c>
      <c r="D71" s="9" t="s">
        <v>401</v>
      </c>
      <c r="E71" s="9">
        <v>1</v>
      </c>
    </row>
    <row r="72" spans="1:5" x14ac:dyDescent="0.35">
      <c r="A72" s="9" t="s">
        <v>463</v>
      </c>
      <c r="B72" s="9" t="s">
        <v>272</v>
      </c>
      <c r="C72" s="9">
        <v>1598559600</v>
      </c>
      <c r="D72" s="9" t="s">
        <v>273</v>
      </c>
      <c r="E72" s="9">
        <v>2</v>
      </c>
    </row>
    <row r="73" spans="1:5" x14ac:dyDescent="0.35">
      <c r="A73" s="9" t="s">
        <v>464</v>
      </c>
      <c r="B73" s="9" t="s">
        <v>465</v>
      </c>
      <c r="C73" s="9">
        <v>10927578500</v>
      </c>
      <c r="D73" s="9" t="s">
        <v>466</v>
      </c>
      <c r="E73" s="9">
        <v>1</v>
      </c>
    </row>
    <row r="74" spans="1:5" x14ac:dyDescent="0.35">
      <c r="A74" s="9" t="s">
        <v>467</v>
      </c>
      <c r="B74" s="9" t="s">
        <v>468</v>
      </c>
      <c r="C74" s="9">
        <v>5558406500</v>
      </c>
      <c r="D74" s="9" t="s">
        <v>469</v>
      </c>
      <c r="E74" s="9">
        <v>1</v>
      </c>
    </row>
    <row r="75" spans="1:5" x14ac:dyDescent="0.35">
      <c r="A75" s="9" t="s">
        <v>470</v>
      </c>
      <c r="B75" s="9" t="s">
        <v>471</v>
      </c>
      <c r="C75" s="9">
        <v>1628406000</v>
      </c>
      <c r="D75" s="9" t="s">
        <v>472</v>
      </c>
      <c r="E75" s="9">
        <v>1</v>
      </c>
    </row>
    <row r="76" spans="1:5" x14ac:dyDescent="0.35">
      <c r="A76" s="9" t="s">
        <v>473</v>
      </c>
      <c r="B76" s="9" t="s">
        <v>474</v>
      </c>
      <c r="C76" s="9">
        <v>1115100000</v>
      </c>
      <c r="D76" s="9" t="s">
        <v>475</v>
      </c>
      <c r="E76" s="9">
        <v>1</v>
      </c>
    </row>
    <row r="77" spans="1:5" x14ac:dyDescent="0.35">
      <c r="A77" s="9" t="s">
        <v>476</v>
      </c>
      <c r="B77" s="9" t="s">
        <v>477</v>
      </c>
      <c r="C77" s="9">
        <v>870321580</v>
      </c>
      <c r="D77" s="9" t="s">
        <v>478</v>
      </c>
      <c r="E77" s="9">
        <v>1</v>
      </c>
    </row>
    <row r="78" spans="1:5" x14ac:dyDescent="0.35">
      <c r="A78" s="9" t="s">
        <v>479</v>
      </c>
      <c r="B78" s="9" t="s">
        <v>480</v>
      </c>
      <c r="C78" s="9">
        <v>1364326000</v>
      </c>
      <c r="D78" s="9" t="s">
        <v>481</v>
      </c>
      <c r="E78" s="9">
        <v>1</v>
      </c>
    </row>
    <row r="79" spans="1:5" x14ac:dyDescent="0.35">
      <c r="A79" s="9" t="s">
        <v>482</v>
      </c>
      <c r="B79" s="9" t="s">
        <v>269</v>
      </c>
      <c r="C79" s="9">
        <v>905021020</v>
      </c>
      <c r="D79" s="9" t="s">
        <v>270</v>
      </c>
      <c r="E79" s="9">
        <v>3</v>
      </c>
    </row>
    <row r="80" spans="1:5" x14ac:dyDescent="0.35">
      <c r="A80" s="9" t="s">
        <v>483</v>
      </c>
      <c r="B80" s="9" t="s">
        <v>284</v>
      </c>
      <c r="C80" s="9">
        <v>840800000</v>
      </c>
      <c r="D80" s="9" t="s">
        <v>285</v>
      </c>
      <c r="E80" s="9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C5D7A-293F-4A38-9989-2D1E9AFDF3E5}">
  <dimension ref="A1:G16"/>
  <sheetViews>
    <sheetView workbookViewId="0">
      <selection activeCell="F29" sqref="F29"/>
    </sheetView>
  </sheetViews>
  <sheetFormatPr defaultColWidth="15.35546875" defaultRowHeight="14.15" x14ac:dyDescent="0.35"/>
  <cols>
    <col min="1" max="1" width="9.640625" style="9" customWidth="1"/>
    <col min="2" max="2" width="9.78515625" style="9" customWidth="1"/>
    <col min="3" max="3" width="9.140625" style="9" customWidth="1"/>
    <col min="4" max="4" width="11.2109375" style="9" bestFit="1" customWidth="1"/>
    <col min="5" max="5" width="13" style="9" customWidth="1"/>
    <col min="6" max="6" width="9.640625" style="9" customWidth="1"/>
    <col min="7" max="16384" width="15.35546875" style="9"/>
  </cols>
  <sheetData>
    <row r="1" spans="1:7" x14ac:dyDescent="0.35">
      <c r="A1" s="9" t="s">
        <v>292</v>
      </c>
      <c r="B1" s="9" t="s">
        <v>1020</v>
      </c>
      <c r="C1" s="9" t="s">
        <v>1015</v>
      </c>
      <c r="D1" s="9" t="s">
        <v>1021</v>
      </c>
      <c r="E1" s="9" t="s">
        <v>1013</v>
      </c>
      <c r="F1" s="9" t="s">
        <v>1014</v>
      </c>
      <c r="G1" s="9" t="s">
        <v>1016</v>
      </c>
    </row>
    <row r="2" spans="1:7" x14ac:dyDescent="0.35">
      <c r="A2" s="9" t="s">
        <v>991</v>
      </c>
      <c r="B2" s="9" t="s">
        <v>992</v>
      </c>
      <c r="C2" s="9">
        <v>13.43</v>
      </c>
      <c r="D2" s="9">
        <v>1495351500</v>
      </c>
      <c r="E2" s="9">
        <v>56.03</v>
      </c>
      <c r="F2" s="9">
        <v>78</v>
      </c>
      <c r="G2" s="26">
        <f>SUM(C2*D2*(100-E2)/100)</f>
        <v>8830306312.6065006</v>
      </c>
    </row>
    <row r="3" spans="1:7" x14ac:dyDescent="0.35">
      <c r="A3" s="9" t="s">
        <v>993</v>
      </c>
      <c r="B3" s="9" t="s">
        <v>994</v>
      </c>
      <c r="C3" s="9">
        <v>3.58</v>
      </c>
      <c r="D3" s="9">
        <v>1109830900</v>
      </c>
      <c r="E3" s="9">
        <v>51.45</v>
      </c>
      <c r="F3" s="9">
        <v>98</v>
      </c>
      <c r="G3" s="26">
        <f t="shared" ref="G3:G16" si="0">SUM(C3*D3*(100-E3)/100)</f>
        <v>1928985988.9809997</v>
      </c>
    </row>
    <row r="4" spans="1:7" x14ac:dyDescent="0.35">
      <c r="A4" s="9" t="s">
        <v>995</v>
      </c>
      <c r="B4" s="9" t="s">
        <v>996</v>
      </c>
      <c r="C4" s="9">
        <v>9.65</v>
      </c>
      <c r="D4" s="9">
        <v>695433690</v>
      </c>
      <c r="E4" s="9">
        <v>76.5</v>
      </c>
      <c r="F4" s="9">
        <v>98</v>
      </c>
      <c r="G4" s="26">
        <f t="shared" si="0"/>
        <v>1577069750.4974999</v>
      </c>
    </row>
    <row r="5" spans="1:7" x14ac:dyDescent="0.35">
      <c r="A5" s="9" t="s">
        <v>963</v>
      </c>
      <c r="B5" s="9" t="s">
        <v>962</v>
      </c>
      <c r="C5" s="9">
        <v>10.32</v>
      </c>
      <c r="D5" s="9">
        <v>464158280</v>
      </c>
      <c r="E5" s="9">
        <v>57.52</v>
      </c>
      <c r="F5" s="9">
        <v>100</v>
      </c>
      <c r="G5" s="26">
        <f t="shared" si="0"/>
        <v>2034840193.39008</v>
      </c>
    </row>
    <row r="6" spans="1:7" x14ac:dyDescent="0.35">
      <c r="A6" s="9" t="s">
        <v>997</v>
      </c>
      <c r="B6" s="9" t="s">
        <v>998</v>
      </c>
      <c r="C6" s="9">
        <v>4.05</v>
      </c>
      <c r="D6" s="9">
        <v>1138043966</v>
      </c>
      <c r="E6" s="9">
        <v>66.260000000000005</v>
      </c>
      <c r="F6" s="9">
        <v>98</v>
      </c>
      <c r="G6" s="26">
        <f t="shared" si="0"/>
        <v>1555102938.2200198</v>
      </c>
    </row>
    <row r="7" spans="1:7" x14ac:dyDescent="0.35">
      <c r="A7" s="9" t="s">
        <v>999</v>
      </c>
      <c r="B7" s="9" t="s">
        <v>1000</v>
      </c>
      <c r="C7" s="9">
        <v>9.32</v>
      </c>
      <c r="D7" s="9">
        <v>266543970</v>
      </c>
      <c r="E7" s="9">
        <v>39.81</v>
      </c>
      <c r="F7" s="9">
        <v>69</v>
      </c>
      <c r="G7" s="26">
        <f t="shared" si="0"/>
        <v>1495233840.86076</v>
      </c>
    </row>
    <row r="8" spans="1:7" x14ac:dyDescent="0.35">
      <c r="A8" s="9" t="s">
        <v>79</v>
      </c>
      <c r="B8" s="9" t="s">
        <v>530</v>
      </c>
      <c r="C8" s="9">
        <v>14.81</v>
      </c>
      <c r="D8" s="9">
        <v>392778320</v>
      </c>
      <c r="E8" s="9">
        <v>67.16</v>
      </c>
      <c r="F8" s="9">
        <v>66</v>
      </c>
      <c r="G8" s="26">
        <f t="shared" si="0"/>
        <v>1910318208.2652802</v>
      </c>
    </row>
    <row r="9" spans="1:7" x14ac:dyDescent="0.35">
      <c r="A9" s="9" t="s">
        <v>1001</v>
      </c>
      <c r="B9" s="9" t="s">
        <v>148</v>
      </c>
      <c r="C9" s="9">
        <v>13.17</v>
      </c>
      <c r="D9" s="9">
        <v>179030456</v>
      </c>
      <c r="E9" s="9">
        <v>7.17</v>
      </c>
      <c r="F9" s="9">
        <v>87</v>
      </c>
      <c r="G9" s="26">
        <f t="shared" si="0"/>
        <v>2188774615.2542162</v>
      </c>
    </row>
    <row r="10" spans="1:7" x14ac:dyDescent="0.35">
      <c r="A10" s="9" t="s">
        <v>1002</v>
      </c>
      <c r="B10" s="9" t="s">
        <v>1003</v>
      </c>
      <c r="C10" s="9">
        <v>7.49</v>
      </c>
      <c r="D10" s="9">
        <v>625425528</v>
      </c>
      <c r="E10" s="9">
        <v>4.12</v>
      </c>
      <c r="F10" s="9">
        <v>70</v>
      </c>
      <c r="G10" s="26">
        <f t="shared" si="0"/>
        <v>4491438391.8855362</v>
      </c>
    </row>
    <row r="11" spans="1:7" x14ac:dyDescent="0.35">
      <c r="A11" s="9" t="s">
        <v>613</v>
      </c>
      <c r="B11" s="9" t="s">
        <v>131</v>
      </c>
      <c r="C11" s="9">
        <v>2.27</v>
      </c>
      <c r="D11" s="9">
        <v>1861348700</v>
      </c>
      <c r="E11" s="9">
        <v>6.43</v>
      </c>
      <c r="F11" s="9">
        <v>98</v>
      </c>
      <c r="G11" s="26">
        <f t="shared" si="0"/>
        <v>3953577231.3993001</v>
      </c>
    </row>
    <row r="12" spans="1:7" x14ac:dyDescent="0.35">
      <c r="A12" s="9" t="s">
        <v>1004</v>
      </c>
      <c r="B12" s="9" t="s">
        <v>1005</v>
      </c>
      <c r="C12" s="9">
        <v>6.33</v>
      </c>
      <c r="D12" s="9">
        <v>553058450</v>
      </c>
      <c r="E12" s="9">
        <v>64.41</v>
      </c>
      <c r="F12" s="9">
        <v>87</v>
      </c>
      <c r="G12" s="26">
        <f t="shared" si="0"/>
        <v>1245956069.90715</v>
      </c>
    </row>
    <row r="13" spans="1:7" x14ac:dyDescent="0.35">
      <c r="A13" s="9" t="s">
        <v>1006</v>
      </c>
      <c r="B13" s="9" t="s">
        <v>1007</v>
      </c>
      <c r="C13" s="9">
        <v>7.25</v>
      </c>
      <c r="D13" s="9">
        <v>361598090</v>
      </c>
      <c r="E13" s="9">
        <v>60.38</v>
      </c>
      <c r="F13" s="9">
        <v>82</v>
      </c>
      <c r="G13" s="26">
        <f t="shared" si="0"/>
        <v>1038672433.6204998</v>
      </c>
    </row>
    <row r="14" spans="1:7" x14ac:dyDescent="0.35">
      <c r="A14" s="9" t="s">
        <v>1008</v>
      </c>
      <c r="B14" s="9" t="s">
        <v>1009</v>
      </c>
      <c r="C14" s="9">
        <v>13.22</v>
      </c>
      <c r="D14" s="9">
        <v>316000000</v>
      </c>
      <c r="E14" s="9">
        <v>60.04</v>
      </c>
      <c r="F14" s="9">
        <v>61</v>
      </c>
      <c r="G14" s="26">
        <f t="shared" si="0"/>
        <v>1669336992</v>
      </c>
    </row>
    <row r="15" spans="1:7" x14ac:dyDescent="0.35">
      <c r="A15" s="9" t="s">
        <v>1010</v>
      </c>
      <c r="B15" s="9" t="s">
        <v>1011</v>
      </c>
      <c r="C15" s="9">
        <v>5.25</v>
      </c>
      <c r="D15" s="9">
        <v>592903940</v>
      </c>
      <c r="E15" s="9">
        <v>42.83</v>
      </c>
      <c r="F15" s="9">
        <v>54</v>
      </c>
      <c r="G15" s="26">
        <f t="shared" si="0"/>
        <v>1779556708.1145</v>
      </c>
    </row>
    <row r="16" spans="1:7" x14ac:dyDescent="0.35">
      <c r="A16" s="9" t="s">
        <v>344</v>
      </c>
      <c r="B16" s="9" t="s">
        <v>262</v>
      </c>
      <c r="C16" s="9">
        <v>7.15</v>
      </c>
      <c r="D16" s="9">
        <v>975674950</v>
      </c>
      <c r="E16" s="9">
        <v>73.84</v>
      </c>
      <c r="F16" s="9">
        <v>97</v>
      </c>
      <c r="G16" s="26">
        <f t="shared" si="0"/>
        <v>1824941453.4779999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7A66E-7AB8-44E3-AC13-79B13077F72D}">
  <dimension ref="A1:G27"/>
  <sheetViews>
    <sheetView workbookViewId="0">
      <selection sqref="A1:A27"/>
    </sheetView>
  </sheetViews>
  <sheetFormatPr defaultRowHeight="14.15" x14ac:dyDescent="0.35"/>
  <cols>
    <col min="2" max="2" width="12.92578125" customWidth="1"/>
    <col min="3" max="4" width="24.28515625" bestFit="1" customWidth="1"/>
    <col min="5" max="5" width="18.35546875" bestFit="1" customWidth="1"/>
    <col min="6" max="6" width="8.5703125" bestFit="1" customWidth="1"/>
  </cols>
  <sheetData>
    <row r="1" spans="1:7" x14ac:dyDescent="0.35">
      <c r="A1" s="87" t="s">
        <v>215</v>
      </c>
      <c r="B1" t="s">
        <v>216</v>
      </c>
      <c r="C1" t="s">
        <v>249</v>
      </c>
      <c r="D1" t="s">
        <v>217</v>
      </c>
      <c r="E1" t="s">
        <v>221</v>
      </c>
      <c r="F1" t="s">
        <v>222</v>
      </c>
    </row>
    <row r="2" spans="1:7" ht="17.600000000000001" customHeight="1" x14ac:dyDescent="0.35">
      <c r="A2" s="87"/>
      <c r="C2" t="s">
        <v>230</v>
      </c>
      <c r="D2" t="s">
        <v>126</v>
      </c>
      <c r="E2" t="s">
        <v>223</v>
      </c>
    </row>
    <row r="3" spans="1:7" x14ac:dyDescent="0.35">
      <c r="A3" s="87"/>
      <c r="C3" t="s">
        <v>232</v>
      </c>
      <c r="D3" t="s">
        <v>248</v>
      </c>
      <c r="E3" t="s">
        <v>224</v>
      </c>
      <c r="F3" t="s">
        <v>225</v>
      </c>
      <c r="G3" t="s">
        <v>99</v>
      </c>
    </row>
    <row r="4" spans="1:7" x14ac:dyDescent="0.35">
      <c r="A4" s="87"/>
      <c r="D4" t="s">
        <v>250</v>
      </c>
    </row>
    <row r="5" spans="1:7" x14ac:dyDescent="0.35">
      <c r="A5" s="87"/>
      <c r="D5" t="s">
        <v>251</v>
      </c>
    </row>
    <row r="6" spans="1:7" x14ac:dyDescent="0.35">
      <c r="A6" s="87"/>
    </row>
    <row r="7" spans="1:7" x14ac:dyDescent="0.35">
      <c r="A7" s="87"/>
      <c r="B7" t="s">
        <v>218</v>
      </c>
      <c r="C7" t="s">
        <v>227</v>
      </c>
      <c r="D7" t="s">
        <v>228</v>
      </c>
      <c r="E7" t="s">
        <v>124</v>
      </c>
    </row>
    <row r="8" spans="1:7" x14ac:dyDescent="0.35">
      <c r="A8" s="87"/>
      <c r="C8" s="52"/>
      <c r="D8" t="s">
        <v>229</v>
      </c>
    </row>
    <row r="9" spans="1:7" x14ac:dyDescent="0.35">
      <c r="A9" s="87"/>
      <c r="C9" t="s">
        <v>230</v>
      </c>
      <c r="D9" t="s">
        <v>219</v>
      </c>
      <c r="E9" t="s">
        <v>220</v>
      </c>
      <c r="F9" t="s">
        <v>145</v>
      </c>
    </row>
    <row r="10" spans="1:7" x14ac:dyDescent="0.35">
      <c r="A10" s="87"/>
      <c r="D10" t="s">
        <v>226</v>
      </c>
    </row>
    <row r="11" spans="1:7" x14ac:dyDescent="0.35">
      <c r="A11" s="87"/>
      <c r="D11" t="s">
        <v>231</v>
      </c>
    </row>
    <row r="12" spans="1:7" x14ac:dyDescent="0.35">
      <c r="A12" s="87"/>
      <c r="C12" t="s">
        <v>232</v>
      </c>
      <c r="D12" t="s">
        <v>233</v>
      </c>
      <c r="F12" t="s">
        <v>253</v>
      </c>
    </row>
    <row r="13" spans="1:7" x14ac:dyDescent="0.35">
      <c r="A13" s="87"/>
      <c r="D13" t="s">
        <v>234</v>
      </c>
      <c r="E13" t="s">
        <v>235</v>
      </c>
    </row>
    <row r="14" spans="1:7" x14ac:dyDescent="0.35">
      <c r="A14" s="87"/>
    </row>
    <row r="15" spans="1:7" x14ac:dyDescent="0.35">
      <c r="A15" s="87"/>
      <c r="B15" t="s">
        <v>125</v>
      </c>
      <c r="D15" t="s">
        <v>236</v>
      </c>
    </row>
    <row r="16" spans="1:7" x14ac:dyDescent="0.35">
      <c r="A16" s="87"/>
      <c r="D16" t="s">
        <v>237</v>
      </c>
    </row>
    <row r="17" spans="1:5" x14ac:dyDescent="0.35">
      <c r="A17" s="87"/>
    </row>
    <row r="18" spans="1:5" x14ac:dyDescent="0.35">
      <c r="A18" s="87"/>
      <c r="B18" t="s">
        <v>238</v>
      </c>
      <c r="C18" t="s">
        <v>239</v>
      </c>
      <c r="D18" t="s">
        <v>240</v>
      </c>
    </row>
    <row r="19" spans="1:5" x14ac:dyDescent="0.35">
      <c r="A19" s="87"/>
      <c r="C19" t="s">
        <v>241</v>
      </c>
      <c r="D19" t="s">
        <v>242</v>
      </c>
    </row>
    <row r="20" spans="1:5" x14ac:dyDescent="0.35">
      <c r="A20" s="87"/>
      <c r="C20" t="s">
        <v>243</v>
      </c>
      <c r="D20" t="s">
        <v>244</v>
      </c>
    </row>
    <row r="21" spans="1:5" x14ac:dyDescent="0.35">
      <c r="A21" s="87"/>
    </row>
    <row r="22" spans="1:5" x14ac:dyDescent="0.35">
      <c r="A22" s="87"/>
      <c r="B22" t="s">
        <v>245</v>
      </c>
      <c r="C22" t="s">
        <v>246</v>
      </c>
    </row>
    <row r="23" spans="1:5" x14ac:dyDescent="0.35">
      <c r="A23" s="87"/>
      <c r="C23" t="s">
        <v>247</v>
      </c>
      <c r="E23" t="s">
        <v>252</v>
      </c>
    </row>
    <row r="24" spans="1:5" x14ac:dyDescent="0.35">
      <c r="A24" s="87"/>
    </row>
    <row r="25" spans="1:5" x14ac:dyDescent="0.35">
      <c r="A25" s="87"/>
    </row>
    <row r="26" spans="1:5" x14ac:dyDescent="0.35">
      <c r="A26" s="87"/>
    </row>
    <row r="27" spans="1:5" x14ac:dyDescent="0.35">
      <c r="A27" s="87"/>
    </row>
  </sheetData>
  <mergeCells count="1">
    <mergeCell ref="A1:A27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03733-B902-45A1-81B8-8A7EFB15CC14}">
  <dimension ref="A1:S18"/>
  <sheetViews>
    <sheetView workbookViewId="0">
      <selection activeCell="H27" sqref="H27"/>
    </sheetView>
  </sheetViews>
  <sheetFormatPr defaultRowHeight="14.15" x14ac:dyDescent="0.35"/>
  <cols>
    <col min="1" max="1" width="10.92578125" customWidth="1"/>
    <col min="2" max="2" width="6.85546875" bestFit="1" customWidth="1"/>
    <col min="3" max="3" width="9.85546875" customWidth="1"/>
    <col min="4" max="4" width="29.85546875" customWidth="1"/>
    <col min="5" max="5" width="6.7109375" bestFit="1" customWidth="1"/>
    <col min="6" max="6" width="10.2109375" customWidth="1"/>
    <col min="7" max="7" width="5.42578125" customWidth="1"/>
    <col min="8" max="8" width="6.7109375" bestFit="1" customWidth="1"/>
    <col min="9" max="9" width="6.78515625" customWidth="1"/>
    <col min="10" max="10" width="8.28515625" customWidth="1"/>
    <col min="11" max="11" width="4.85546875" bestFit="1" customWidth="1"/>
    <col min="12" max="12" width="5.2109375" customWidth="1"/>
    <col min="13" max="13" width="4.85546875" customWidth="1"/>
    <col min="14" max="14" width="4.42578125" customWidth="1"/>
    <col min="15" max="15" width="4.640625" customWidth="1"/>
    <col min="16" max="16" width="5.42578125" customWidth="1"/>
    <col min="17" max="17" width="5.7109375" customWidth="1"/>
    <col min="18" max="18" width="12.5703125" bestFit="1" customWidth="1"/>
    <col min="19" max="19" width="8.85546875" style="51" bestFit="1" customWidth="1"/>
  </cols>
  <sheetData>
    <row r="1" spans="1:19" ht="14.15" customHeight="1" x14ac:dyDescent="0.35">
      <c r="A1" s="105" t="s">
        <v>68</v>
      </c>
      <c r="B1" s="105"/>
      <c r="C1" s="105"/>
      <c r="D1" s="105"/>
      <c r="E1" s="104" t="s">
        <v>0</v>
      </c>
      <c r="F1" s="104"/>
      <c r="G1" s="104"/>
      <c r="H1" s="104"/>
      <c r="I1" s="104"/>
      <c r="J1" s="104"/>
      <c r="K1" s="104"/>
      <c r="L1" s="104"/>
      <c r="M1" s="104"/>
      <c r="N1" s="104"/>
      <c r="O1" s="58"/>
      <c r="P1" s="58"/>
      <c r="Q1" s="58"/>
    </row>
    <row r="2" spans="1:19" ht="13.75" customHeight="1" x14ac:dyDescent="0.35">
      <c r="A2" s="60" t="s">
        <v>60</v>
      </c>
      <c r="B2" s="60" t="s">
        <v>67</v>
      </c>
      <c r="C2" s="60" t="s">
        <v>133</v>
      </c>
      <c r="D2" s="60" t="s">
        <v>61</v>
      </c>
      <c r="E2" s="27" t="s">
        <v>144</v>
      </c>
      <c r="F2" s="27" t="s">
        <v>254</v>
      </c>
      <c r="G2" s="24" t="s">
        <v>143</v>
      </c>
      <c r="H2" s="24" t="s">
        <v>128</v>
      </c>
      <c r="I2" s="17" t="s">
        <v>74</v>
      </c>
      <c r="J2" s="17" t="s">
        <v>69</v>
      </c>
      <c r="K2" s="17" t="s">
        <v>71</v>
      </c>
      <c r="L2" s="17" t="s">
        <v>72</v>
      </c>
      <c r="M2" s="17" t="s">
        <v>89</v>
      </c>
      <c r="N2" s="17" t="s">
        <v>70</v>
      </c>
      <c r="O2" s="2" t="s">
        <v>134</v>
      </c>
      <c r="P2" s="51">
        <v>1</v>
      </c>
      <c r="S2"/>
    </row>
    <row r="3" spans="1:19" x14ac:dyDescent="0.35">
      <c r="A3" s="25" t="s">
        <v>148</v>
      </c>
      <c r="B3" s="25">
        <v>7</v>
      </c>
      <c r="C3" s="26">
        <v>4176780500</v>
      </c>
      <c r="D3" s="25" t="s">
        <v>149</v>
      </c>
      <c r="L3" t="s">
        <v>140</v>
      </c>
      <c r="O3" s="2" t="s">
        <v>135</v>
      </c>
      <c r="P3" s="51">
        <v>2</v>
      </c>
      <c r="S3"/>
    </row>
    <row r="4" spans="1:19" x14ac:dyDescent="0.35">
      <c r="A4" s="25" t="s">
        <v>131</v>
      </c>
      <c r="B4" s="25">
        <v>7</v>
      </c>
      <c r="C4" s="26">
        <v>5118709000</v>
      </c>
      <c r="D4" s="25" t="s">
        <v>132</v>
      </c>
      <c r="H4" t="s">
        <v>140</v>
      </c>
      <c r="O4" s="2" t="s">
        <v>136</v>
      </c>
      <c r="P4" s="53" t="s">
        <v>137</v>
      </c>
      <c r="S4"/>
    </row>
    <row r="5" spans="1:19" x14ac:dyDescent="0.35">
      <c r="A5" s="9" t="s">
        <v>262</v>
      </c>
      <c r="B5" s="9">
        <v>5</v>
      </c>
      <c r="C5" s="26">
        <v>9298182200</v>
      </c>
      <c r="D5" s="9" t="s">
        <v>263</v>
      </c>
      <c r="F5" s="65" t="s">
        <v>138</v>
      </c>
      <c r="O5" s="2" t="s">
        <v>258</v>
      </c>
      <c r="P5" s="51"/>
      <c r="S5"/>
    </row>
    <row r="6" spans="1:19" ht="14.15" customHeight="1" x14ac:dyDescent="0.35">
      <c r="A6" s="9" t="s">
        <v>267</v>
      </c>
      <c r="B6" s="9">
        <v>3</v>
      </c>
      <c r="C6" s="26">
        <v>4981050800</v>
      </c>
      <c r="D6" s="9" t="s">
        <v>268</v>
      </c>
      <c r="O6" s="2" t="s">
        <v>259</v>
      </c>
      <c r="P6" s="51"/>
      <c r="S6"/>
    </row>
    <row r="7" spans="1:19" x14ac:dyDescent="0.35">
      <c r="A7" s="9" t="s">
        <v>269</v>
      </c>
      <c r="B7" s="9">
        <v>3</v>
      </c>
      <c r="C7" s="26">
        <v>905021020</v>
      </c>
      <c r="D7" s="9" t="s">
        <v>270</v>
      </c>
      <c r="P7" s="51"/>
      <c r="S7"/>
    </row>
    <row r="8" spans="1:19" s="18" customFormat="1" x14ac:dyDescent="0.35">
      <c r="A8" s="9" t="s">
        <v>272</v>
      </c>
      <c r="B8" s="9">
        <v>2</v>
      </c>
      <c r="C8" s="26">
        <v>1598559600</v>
      </c>
      <c r="D8" s="9" t="s">
        <v>273</v>
      </c>
      <c r="E8"/>
      <c r="F8"/>
      <c r="G8"/>
      <c r="H8"/>
      <c r="I8"/>
      <c r="J8"/>
      <c r="K8"/>
      <c r="L8"/>
      <c r="M8"/>
      <c r="N8"/>
      <c r="O8" s="2" t="s">
        <v>138</v>
      </c>
      <c r="P8" s="53" t="s">
        <v>142</v>
      </c>
    </row>
    <row r="9" spans="1:19" x14ac:dyDescent="0.35">
      <c r="A9" s="9" t="s">
        <v>274</v>
      </c>
      <c r="B9" s="9">
        <v>2</v>
      </c>
      <c r="C9" s="26">
        <v>3312103100</v>
      </c>
      <c r="D9" s="9" t="s">
        <v>127</v>
      </c>
      <c r="H9" t="s">
        <v>75</v>
      </c>
      <c r="O9" s="18"/>
      <c r="P9" s="51"/>
      <c r="S9"/>
    </row>
    <row r="10" spans="1:19" x14ac:dyDescent="0.35">
      <c r="A10" s="9" t="s">
        <v>275</v>
      </c>
      <c r="B10" s="9">
        <v>2</v>
      </c>
      <c r="C10" s="26">
        <v>3557342800</v>
      </c>
      <c r="D10" s="9" t="s">
        <v>276</v>
      </c>
      <c r="O10" s="2" t="s">
        <v>255</v>
      </c>
      <c r="P10" s="51">
        <v>8</v>
      </c>
      <c r="S10"/>
    </row>
    <row r="11" spans="1:19" x14ac:dyDescent="0.35">
      <c r="A11" s="9" t="s">
        <v>277</v>
      </c>
      <c r="B11" s="9">
        <v>2</v>
      </c>
      <c r="C11" s="26">
        <v>3095433800</v>
      </c>
      <c r="D11" s="9" t="s">
        <v>278</v>
      </c>
      <c r="F11" t="s">
        <v>75</v>
      </c>
      <c r="O11" s="2"/>
      <c r="P11" s="51"/>
      <c r="S11"/>
    </row>
    <row r="12" spans="1:19" x14ac:dyDescent="0.35">
      <c r="A12" s="9" t="s">
        <v>279</v>
      </c>
      <c r="B12" s="9">
        <v>2</v>
      </c>
      <c r="C12" s="26">
        <v>2654553300</v>
      </c>
      <c r="D12" s="9" t="s">
        <v>280</v>
      </c>
      <c r="E12" t="s">
        <v>75</v>
      </c>
      <c r="H12" t="s">
        <v>75</v>
      </c>
      <c r="O12" s="2"/>
      <c r="P12" s="51"/>
      <c r="S12"/>
    </row>
    <row r="13" spans="1:19" ht="17.600000000000001" x14ac:dyDescent="0.55000000000000004">
      <c r="A13" s="9" t="s">
        <v>130</v>
      </c>
      <c r="B13" s="9">
        <v>2</v>
      </c>
      <c r="C13" s="26">
        <v>10216947500</v>
      </c>
      <c r="D13" s="9" t="s">
        <v>484</v>
      </c>
      <c r="F13" t="s">
        <v>75</v>
      </c>
      <c r="O13" s="29" t="s">
        <v>76</v>
      </c>
      <c r="P13" s="51"/>
      <c r="S13"/>
    </row>
    <row r="14" spans="1:19" x14ac:dyDescent="0.35">
      <c r="A14" s="9" t="s">
        <v>282</v>
      </c>
      <c r="B14" s="9">
        <v>2</v>
      </c>
      <c r="C14" s="26">
        <v>4502516900</v>
      </c>
      <c r="D14" s="9" t="s">
        <v>283</v>
      </c>
      <c r="E14" s="63" t="s">
        <v>75</v>
      </c>
      <c r="O14" s="2" t="s">
        <v>139</v>
      </c>
      <c r="P14" s="51">
        <v>8</v>
      </c>
      <c r="S14"/>
    </row>
    <row r="15" spans="1:19" x14ac:dyDescent="0.35">
      <c r="A15" s="9" t="s">
        <v>284</v>
      </c>
      <c r="B15" s="9">
        <v>2</v>
      </c>
      <c r="C15" s="26">
        <v>840800000</v>
      </c>
      <c r="D15" s="9" t="s">
        <v>285</v>
      </c>
      <c r="O15" s="2" t="s">
        <v>140</v>
      </c>
      <c r="P15" s="51">
        <v>9</v>
      </c>
      <c r="Q15" t="s">
        <v>257</v>
      </c>
      <c r="S15"/>
    </row>
    <row r="16" spans="1:19" x14ac:dyDescent="0.35">
      <c r="A16" s="9" t="s">
        <v>286</v>
      </c>
      <c r="B16" s="9">
        <v>2</v>
      </c>
      <c r="C16" s="26">
        <v>39511384000</v>
      </c>
      <c r="D16" s="9" t="s">
        <v>287</v>
      </c>
      <c r="F16" t="s">
        <v>75</v>
      </c>
      <c r="O16" s="28" t="s">
        <v>141</v>
      </c>
      <c r="P16" s="54" t="s">
        <v>256</v>
      </c>
      <c r="S16"/>
    </row>
    <row r="17" spans="1:19" x14ac:dyDescent="0.35">
      <c r="A17" s="9" t="s">
        <v>288</v>
      </c>
      <c r="B17" s="9">
        <v>2</v>
      </c>
      <c r="C17" s="26">
        <v>5559225000</v>
      </c>
      <c r="D17" s="9" t="s">
        <v>289</v>
      </c>
      <c r="F17" t="s">
        <v>75</v>
      </c>
      <c r="O17" s="28" t="s">
        <v>265</v>
      </c>
      <c r="P17" s="54"/>
      <c r="S17"/>
    </row>
    <row r="18" spans="1:19" x14ac:dyDescent="0.35">
      <c r="A18" s="9" t="s">
        <v>290</v>
      </c>
      <c r="B18" s="9">
        <v>2</v>
      </c>
      <c r="C18" s="26">
        <v>23421648000</v>
      </c>
      <c r="D18" s="9" t="s">
        <v>291</v>
      </c>
      <c r="F18" t="s">
        <v>75</v>
      </c>
      <c r="O18" s="3" t="s">
        <v>266</v>
      </c>
      <c r="P18" s="51"/>
      <c r="S18"/>
    </row>
  </sheetData>
  <mergeCells count="2">
    <mergeCell ref="E1:N1"/>
    <mergeCell ref="A1:D1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92900B-33F3-403B-96E5-C33B5E881C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交易模式</vt:lpstr>
      <vt:lpstr>周期</vt:lpstr>
      <vt:lpstr>情绪</vt:lpstr>
      <vt:lpstr>0718</vt:lpstr>
      <vt:lpstr>0715</vt:lpstr>
      <vt:lpstr>0714</vt:lpstr>
      <vt:lpstr>0713</vt:lpstr>
      <vt:lpstr>0712</vt:lpstr>
      <vt:lpstr>0711</vt:lpstr>
      <vt:lpstr>0708</vt:lpstr>
      <vt:lpstr>0707</vt:lpstr>
      <vt:lpstr>0706</vt:lpstr>
      <vt:lpstr>0705</vt:lpstr>
      <vt:lpstr>0704</vt:lpstr>
      <vt:lpstr>龙头</vt:lpstr>
      <vt:lpstr>新能源</vt:lpstr>
      <vt:lpstr>个股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gao'guang</dc:creator>
  <cp:lastModifiedBy>gao'guang</cp:lastModifiedBy>
  <dcterms:created xsi:type="dcterms:W3CDTF">2015-06-05T18:19:34Z</dcterms:created>
  <dcterms:modified xsi:type="dcterms:W3CDTF">2022-07-18T10:14:40Z</dcterms:modified>
</cp:coreProperties>
</file>