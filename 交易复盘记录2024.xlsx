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583292D-27C4-4EC6-8B5B-403CCAD62707}"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17" sheetId="518" r:id="rId5"/>
    <sheet name="240116" sheetId="517" r:id="rId6"/>
    <sheet name="240115" sheetId="516" r:id="rId7"/>
    <sheet name="240112" sheetId="515" r:id="rId8"/>
    <sheet name="240111" sheetId="514" r:id="rId9"/>
    <sheet name="240110" sheetId="513" r:id="rId10"/>
    <sheet name="240109" sheetId="512" r:id="rId11"/>
    <sheet name="240108" sheetId="511" r:id="rId12"/>
    <sheet name="240105" sheetId="510" r:id="rId13"/>
    <sheet name="240104" sheetId="509" r:id="rId14"/>
    <sheet name="240103" sheetId="508" r:id="rId15"/>
    <sheet name="240102" sheetId="507" r:id="rId16"/>
    <sheet name="231229" sheetId="462" state="hidden" r:id="rId17"/>
    <sheet name="231228" sheetId="461" state="hidden" r:id="rId18"/>
    <sheet name="231227" sheetId="460" state="hidden" r:id="rId19"/>
    <sheet name="231226" sheetId="459" state="hidden" r:id="rId20"/>
    <sheet name="231225" sheetId="458" state="hidden" r:id="rId21"/>
    <sheet name="231222" sheetId="457" state="hidden" r:id="rId22"/>
    <sheet name="231221" sheetId="456" state="hidden" r:id="rId23"/>
    <sheet name="231220" sheetId="455" state="hidden" r:id="rId24"/>
    <sheet name="231219" sheetId="454" state="hidden" r:id="rId25"/>
    <sheet name="231218" sheetId="453" state="hidden" r:id="rId26"/>
    <sheet name="231215" sheetId="452" state="hidden" r:id="rId27"/>
    <sheet name="231214" sheetId="451" state="hidden" r:id="rId28"/>
    <sheet name="231213" sheetId="450" state="hidden" r:id="rId29"/>
    <sheet name="231212" sheetId="449" state="hidden" r:id="rId30"/>
    <sheet name="231211" sheetId="448" state="hidden" r:id="rId31"/>
    <sheet name="231208" sheetId="447" state="hidden" r:id="rId32"/>
    <sheet name="231207" sheetId="446" state="hidden" r:id="rId33"/>
    <sheet name="231206" sheetId="443" state="hidden" r:id="rId34"/>
    <sheet name="231205" sheetId="442" state="hidden" r:id="rId35"/>
    <sheet name="231204" sheetId="441" state="hidden" r:id="rId36"/>
    <sheet name="231201" sheetId="440" state="hidden" r:id="rId37"/>
    <sheet name="231130" sheetId="485" state="hidden" r:id="rId38"/>
    <sheet name="231129" sheetId="486" state="hidden" r:id="rId39"/>
    <sheet name="231128" sheetId="487" state="hidden" r:id="rId40"/>
    <sheet name="231127" sheetId="488" state="hidden" r:id="rId41"/>
    <sheet name="231124" sheetId="489" state="hidden" r:id="rId42"/>
    <sheet name="231123" sheetId="490" state="hidden" r:id="rId43"/>
    <sheet name="231122" sheetId="491" state="hidden" r:id="rId44"/>
    <sheet name="231121" sheetId="492" state="hidden" r:id="rId45"/>
    <sheet name="231120" sheetId="493" state="hidden" r:id="rId46"/>
    <sheet name="231117" sheetId="494" state="hidden" r:id="rId47"/>
    <sheet name="231116" sheetId="495" state="hidden" r:id="rId48"/>
    <sheet name="231115" sheetId="496" state="hidden" r:id="rId49"/>
    <sheet name="231114" sheetId="497" state="hidden" r:id="rId50"/>
    <sheet name="231113" sheetId="498" state="hidden" r:id="rId51"/>
    <sheet name="231110" sheetId="499" state="hidden" r:id="rId52"/>
    <sheet name="231109" sheetId="500" state="hidden" r:id="rId53"/>
    <sheet name="231108" sheetId="501" state="hidden" r:id="rId54"/>
    <sheet name="231107" sheetId="502" state="hidden" r:id="rId55"/>
    <sheet name="231106" sheetId="503" state="hidden" r:id="rId56"/>
    <sheet name="231103" sheetId="504" state="hidden" r:id="rId57"/>
    <sheet name="231102" sheetId="505" state="hidden" r:id="rId58"/>
    <sheet name="231101" sheetId="506" state="hidden" r:id="rId5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9" i="518" l="1"/>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<sst xmlns="http://schemas.openxmlformats.org/spreadsheetml/2006/main" count="20513" uniqueCount="5931">
  <si>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</si>
  <si>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</si>
  <si>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</si>
  <si>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</si>
  <si>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</si>
  <si>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</si>
  <si>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</si>
  <si>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</si>
  <si>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</si>
  <si>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</si>
  <si>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</si>
  <si>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</si>
  <si>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</si>
  <si>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</si>
  <si>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</si>
  <si>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</si>
  <si>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</si>
  <si>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</si>
  <si>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</si>
  <si>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</si>
  <si>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</si>
  <si>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</si>
  <si>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</si>
  <si>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</si>
  <si>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</si>
  <si>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</si>
  <si>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</si>
  <si>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</si>
  <si>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</si>
  <si>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</si>
  <si>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</si>
  <si>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</si>
  <si>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</si>
  <si>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</si>
  <si>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</si>
  <si>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</si>
  <si>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</si>
  <si>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</si>
  <si>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</si>
  <si>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</si>
  <si>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</si>
  <si>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</si>
  <si>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</si>
  <si>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</si>
  <si>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</si>
  <si>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</si>
  <si>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</si>
  <si>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</si>
  <si>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</si>
  <si>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</si>
  <si>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</si>
  <si>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</si>
  <si>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</si>
  <si>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</si>
  <si>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</si>
  <si>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</si>
  <si>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</si>
  <si>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</si>
  <si>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</si>
  <si>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</si>
  <si>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</si>
  <si>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</si>
  <si>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</si>
  <si>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</si>
  <si>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</si>
  <si>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</si>
  <si>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</si>
  <si>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</si>
  <si>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</si>
  <si>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</si>
  <si>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</si>
  <si>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</si>
  <si>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</si>
  <si>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</si>
  <si>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</si>
  <si>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</si>
  <si>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</si>
  <si>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</si>
  <si>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</si>
  <si>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</si>
  <si>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</si>
  <si>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</si>
  <si>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</si>
  <si>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</si>
  <si>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</si>
  <si>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</si>
  <si>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</si>
  <si>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</si>
  <si>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</si>
  <si>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</si>
  <si>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</si>
  <si>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</si>
  <si>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</si>
  <si>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</si>
  <si>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</si>
  <si>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</si>
  <si>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</si>
  <si>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</si>
  <si>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</si>
  <si>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</si>
  <si>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</si>
  <si>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</si>
  <si>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</si>
  <si>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</si>
  <si>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</si>
  <si>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</si>
  <si>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</si>
  <si>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</si>
  <si>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</si>
  <si>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</si>
  <si>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</si>
  <si>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</si>
  <si>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</si>
  <si>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</si>
  <si>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</si>
  <si>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</si>
  <si>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</si>
  <si>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</si>
  <si>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</si>
  <si>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</si>
  <si>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</si>
  <si>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</si>
  <si>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</si>
  <si>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</si>
  <si>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</si>
  <si>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</si>
  <si>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</si>
  <si>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</si>
  <si>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</si>
  <si>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</si>
  <si>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</si>
  <si>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</si>
  <si>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</si>
  <si>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</si>
  <si>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</si>
  <si>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</si>
  <si>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</si>
  <si>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</si>
  <si>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</si>
  <si>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</si>
  <si>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</si>
  <si>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</si>
  <si>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</si>
  <si>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</si>
  <si>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</si>
  <si>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</si>
  <si>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</si>
  <si>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</si>
  <si>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</si>
  <si>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</si>
  <si>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</si>
  <si>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</si>
  <si>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</si>
  <si>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</si>
  <si>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</si>
  <si>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</si>
  <si>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</si>
  <si>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</si>
  <si>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</si>
  <si>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</si>
  <si>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</si>
  <si>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</si>
  <si>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</si>
  <si>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</si>
  <si>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</si>
  <si>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</si>
  <si>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</si>
  <si>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</si>
  <si>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</si>
  <si>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</si>
  <si>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</si>
  <si>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</si>
  <si>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</si>
  <si>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</si>
  <si>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</si>
  <si>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</si>
  <si>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</si>
  <si>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</si>
  <si>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</si>
  <si>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</si>
  <si>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</si>
  <si>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</si>
  <si>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</si>
  <si>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</si>
  <si>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</si>
  <si>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</si>
  <si>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</si>
  <si>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</si>
  <si>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</si>
  <si>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</si>
  <si>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</si>
  <si>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</si>
  <si>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</si>
  <si>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</si>
  <si>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</si>
  <si>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</si>
  <si>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</si>
  <si>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</si>
  <si>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</si>
  <si>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</si>
  <si>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</si>
  <si>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</si>
  <si>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</si>
  <si>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</si>
  <si>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</si>
  <si>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</si>
  <si>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</si>
  <si>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</si>
  <si>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</si>
  <si>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</si>
  <si>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</si>
  <si>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</si>
  <si>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</si>
  <si>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</si>
  <si>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</si>
  <si>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</si>
  <si>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</si>
  <si>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</si>
  <si>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</si>
  <si>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</si>
  <si>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</si>
  <si>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</si>
  <si>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</si>
  <si>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</si>
  <si>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</si>
  <si>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</si>
  <si>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</si>
  <si>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</si>
  <si>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</si>
  <si>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</si>
  <si>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</si>
  <si>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</si>
  <si>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</si>
  <si>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</si>
  <si>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</si>
  <si>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</si>
  <si>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</si>
  <si>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</si>
  <si>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</si>
  <si>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</si>
  <si>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</si>
  <si>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</si>
  <si>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</si>
  <si>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</si>
  <si>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</si>
  <si>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</si>
  <si>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</si>
  <si>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</si>
  <si>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</si>
  <si>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</si>
  <si>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</si>
  <si>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</si>
  <si>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</si>
  <si>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</si>
  <si>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</si>
  <si>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</si>
  <si>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</si>
  <si>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</si>
  <si>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</si>
  <si>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</si>
  <si>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</si>
  <si>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</si>
  <si>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</si>
  <si>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</si>
  <si>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</si>
  <si>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</si>
  <si>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</si>
  <si>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</si>
  <si>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</si>
  <si>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</si>
  <si>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</si>
  <si>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</si>
  <si>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</si>
  <si>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</si>
  <si>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</si>
  <si>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</si>
  <si>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</si>
  <si>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</si>
  <si>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</si>
  <si>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</si>
  <si>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</si>
  <si>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</si>
  <si>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</si>
  <si>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</si>
  <si>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</si>
  <si>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</si>
  <si>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</si>
  <si>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</si>
  <si>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</si>
  <si>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</si>
  <si>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</si>
  <si>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</si>
  <si>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</si>
  <si>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</si>
  <si>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</si>
  <si>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</si>
  <si>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</si>
  <si>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</si>
  <si>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</si>
  <si>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</si>
  <si>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</si>
  <si>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</si>
  <si>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</si>
  <si>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</si>
  <si>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</si>
  <si>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</si>
  <si>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</si>
  <si>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</si>
  <si>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</si>
  <si>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</si>
  <si>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</si>
  <si>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</si>
  <si>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</si>
  <si>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</si>
  <si>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</si>
  <si>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</si>
  <si>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</si>
  <si>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</si>
  <si>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</si>
  <si>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</si>
  <si>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</si>
  <si>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</si>
  <si>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</si>
  <si>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</si>
  <si>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</si>
  <si>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</si>
  <si>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</si>
  <si>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</si>
  <si>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</si>
  <si>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</si>
  <si>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</si>
  <si>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</si>
  <si>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</si>
  <si>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</si>
  <si>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</si>
  <si>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</si>
  <si>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</si>
  <si>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</si>
  <si>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</si>
  <si>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</si>
  <si>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</si>
  <si>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</si>
  <si>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</si>
  <si>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</si>
  <si>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</si>
  <si>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</si>
  <si>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</si>
  <si>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</si>
  <si>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</si>
  <si>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</si>
  <si>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</si>
  <si>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</si>
  <si>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</si>
  <si>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</si>
  <si>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</si>
  <si>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</si>
  <si>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</si>
  <si>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</si>
  <si>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</si>
  <si>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</si>
  <si>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</si>
  <si>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</si>
  <si>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</si>
  <si>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</si>
  <si>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</si>
  <si>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</si>
  <si>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</si>
  <si>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</si>
  <si>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</si>
  <si>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</si>
  <si>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</si>
  <si>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</si>
  <si>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</si>
  <si>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</si>
  <si>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</si>
  <si>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</si>
  <si>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</si>
  <si>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</si>
  <si>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</si>
  <si>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</si>
  <si>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</si>
  <si>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</si>
  <si>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</si>
  <si>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</si>
  <si>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</si>
  <si>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</si>
  <si>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</si>
  <si>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</si>
  <si>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</si>
  <si>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</si>
  <si>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</si>
  <si>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</si>
  <si>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</si>
  <si>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</si>
  <si>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</si>
  <si>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</si>
  <si>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</si>
  <si>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</si>
  <si>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</si>
  <si>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</si>
  <si>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</si>
  <si>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</si>
  <si>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</si>
  <si>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</si>
  <si>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</si>
  <si>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</si>
  <si>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</si>
  <si>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</si>
  <si>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</si>
  <si>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</si>
  <si>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</si>
  <si>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</si>
  <si>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</si>
  <si>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</si>
  <si>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</si>
  <si>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</si>
  <si>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</si>
  <si>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</si>
  <si>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</si>
  <si>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</si>
  <si>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</si>
  <si>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</si>
  <si>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</si>
  <si>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</si>
  <si>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</si>
  <si>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</si>
  <si>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</si>
  <si>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</si>
  <si>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</si>
  <si>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</si>
  <si>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</si>
  <si>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</si>
  <si>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</si>
  <si>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</si>
  <si>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</si>
  <si>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</si>
  <si>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</si>
  <si>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</si>
  <si>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</si>
  <si>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</si>
  <si>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</si>
  <si>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</si>
  <si>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</si>
  <si>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</si>
  <si>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</si>
  <si>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</si>
  <si>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</si>
  <si>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</si>
  <si>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</si>
  <si>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</si>
  <si>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</si>
  <si>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</si>
  <si>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</si>
  <si>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</si>
  <si>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</si>
  <si>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</si>
  <si>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</si>
  <si>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</si>
  <si>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</si>
  <si>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</si>
  <si>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</si>
  <si>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</si>
  <si>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</si>
  <si>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</si>
  <si>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</si>
  <si>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</si>
  <si>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</si>
  <si>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</si>
  <si>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</si>
  <si>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</si>
  <si>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</si>
  <si>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</si>
  <si>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</si>
  <si>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</si>
  <si>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</si>
  <si>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</si>
  <si>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</si>
  <si>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</si>
  <si>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</si>
  <si>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</si>
  <si>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</si>
  <si>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</si>
  <si>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</si>
  <si>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</si>
  <si>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</si>
  <si>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</si>
  <si>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</si>
  <si>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</si>
  <si>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</si>
  <si>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</si>
  <si>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</si>
  <si>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</si>
  <si>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</si>
  <si>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</si>
  <si>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</si>
  <si>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</si>
  <si>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</si>
  <si>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</si>
  <si>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</si>
  <si>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</si>
  <si>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</si>
  <si>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</si>
  <si>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</si>
  <si>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</si>
  <si>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</si>
  <si>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</si>
  <si>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</si>
  <si>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</si>
  <si>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</si>
  <si>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</si>
  <si>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</si>
  <si>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</si>
  <si>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</si>
  <si>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</si>
  <si>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</si>
  <si>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</si>
  <si>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</si>
  <si>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</si>
  <si>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</si>
  <si>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</si>
  <si>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</si>
  <si>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</si>
  <si>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</si>
  <si>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</si>
  <si>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</si>
  <si>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</si>
  <si>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</si>
  <si>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</si>
  <si>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</si>
  <si>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</si>
  <si>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</si>
  <si>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</si>
  <si>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</si>
  <si>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</si>
  <si>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</si>
  <si>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</si>
  <si>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</si>
  <si>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</si>
  <si>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</si>
  <si>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</si>
  <si>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</si>
  <si>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</si>
  <si>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</si>
  <si>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</si>
  <si>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</si>
  <si>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</si>
  <si>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</si>
  <si>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</si>
  <si>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</si>
  <si>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</si>
  <si>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</si>
  <si>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</si>
  <si>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</si>
  <si>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</si>
  <si>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</si>
  <si>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</si>
  <si>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</si>
  <si>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</si>
  <si>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</si>
  <si>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</si>
  <si>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</si>
  <si>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</si>
  <si>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</si>
  <si>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</si>
  <si>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</si>
  <si>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</si>
  <si>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</si>
  <si>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</si>
  <si>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</si>
  <si>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</si>
  <si>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</si>
  <si>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</si>
  <si>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</si>
  <si>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</si>
  <si>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</si>
  <si>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</si>
  <si>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</si>
  <si>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</si>
  <si>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</si>
  <si>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</si>
  <si>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</si>
  <si>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</si>
  <si>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</si>
  <si>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</si>
  <si>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</si>
  <si>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</si>
  <si>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</si>
  <si>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</si>
  <si>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</si>
  <si>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</si>
  <si>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</si>
  <si>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</si>
  <si>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</si>
  <si>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</si>
  <si>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</si>
  <si>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</si>
  <si>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</si>
  <si>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</si>
  <si>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</si>
  <si>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</si>
  <si>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</si>
  <si>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</si>
  <si>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</si>
  <si>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</si>
  <si>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</si>
  <si>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</si>
  <si>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</si>
  <si>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</si>
  <si>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</si>
  <si>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</si>
  <si>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</si>
  <si>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</si>
  <si>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</si>
  <si>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</si>
  <si>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</si>
  <si>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</si>
  <si>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</si>
  <si>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</si>
  <si>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</si>
  <si>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</si>
  <si>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</si>
  <si>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</si>
  <si>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</si>
  <si>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</si>
  <si>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</si>
  <si>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</si>
  <si>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</si>
  <si>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</si>
  <si>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</si>
  <si>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</si>
  <si>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</si>
  <si>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</si>
  <si>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</si>
  <si>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</si>
  <si>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</si>
  <si>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</si>
  <si>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</si>
  <si>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</si>
  <si>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</si>
  <si>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</si>
  <si>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</si>
  <si>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</si>
  <si>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</si>
  <si>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</si>
  <si>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</si>
  <si>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</si>
  <si>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</si>
  <si>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</si>
  <si>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</si>
  <si>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</si>
  <si>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</si>
  <si>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</si>
  <si>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</si>
  <si>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</si>
  <si>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</si>
  <si>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</si>
  <si>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</si>
  <si>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</si>
  <si>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</si>
  <si>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</si>
  <si>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</si>
  <si>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</si>
  <si>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</si>
  <si>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</si>
  <si>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</si>
  <si>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</si>
  <si>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</si>
  <si>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</si>
  <si>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</si>
  <si>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</si>
  <si>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</si>
  <si>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</si>
  <si>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</si>
  <si>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</si>
  <si>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</si>
  <si>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</si>
  <si>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</si>
  <si>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</si>
  <si>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</si>
  <si>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</si>
  <si>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</si>
  <si>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</si>
  <si>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</si>
  <si>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</si>
  <si>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</si>
  <si>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</si>
  <si>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</si>
  <si>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</si>
  <si>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</si>
  <si>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</si>
  <si>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</si>
  <si>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</si>
  <si>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</si>
  <si>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</si>
  <si>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</si>
  <si>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</si>
  <si>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</si>
  <si>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</si>
  <si>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</si>
  <si>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</si>
  <si>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</si>
  <si>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</si>
  <si>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</si>
  <si>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</si>
  <si>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</si>
  <si>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</si>
  <si>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</si>
  <si>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</si>
  <si>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</si>
  <si>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</si>
  <si>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</si>
  <si>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</si>
  <si>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</si>
  <si>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</si>
  <si>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</si>
  <si>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</si>
  <si>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</si>
  <si>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</si>
  <si>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</si>
  <si>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</si>
  <si>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</si>
  <si>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</si>
  <si>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</si>
  <si>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</si>
  <si>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</si>
  <si>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</si>
  <si>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</si>
  <si>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</si>
  <si>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</si>
  <si>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</si>
  <si>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</si>
  <si>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</si>
  <si>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</si>
  <si>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</si>
  <si>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</si>
  <si>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</si>
  <si>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</si>
  <si>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</si>
  <si>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</si>
  <si>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</si>
  <si>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</si>
  <si>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</si>
  <si>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</si>
  <si>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</si>
  <si>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</si>
  <si>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</si>
  <si>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</si>
  <si>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</si>
  <si>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</si>
  <si>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</si>
  <si>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</si>
  <si>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</si>
  <si>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</si>
  <si>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</si>
  <si>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</si>
  <si>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</si>
  <si>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</si>
  <si>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</si>
  <si>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</si>
  <si>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</si>
  <si>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</si>
  <si>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</si>
  <si>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</si>
  <si>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</si>
  <si>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</si>
  <si>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</si>
  <si>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</si>
  <si>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</si>
  <si>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</si>
  <si>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</si>
  <si>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</si>
  <si>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</si>
  <si>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</si>
  <si>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</si>
  <si>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</si>
  <si>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</si>
  <si>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</si>
  <si>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</si>
  <si>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</si>
  <si>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</si>
  <si>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</si>
  <si>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</si>
  <si>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</si>
  <si>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</si>
  <si>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</si>
  <si>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</si>
  <si>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</si>
  <si>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</si>
  <si>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</si>
  <si>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</si>
  <si>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</si>
  <si>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</si>
  <si>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</si>
  <si>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</si>
  <si>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</si>
  <si>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</si>
  <si>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</si>
  <si>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</si>
  <si>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</si>
  <si>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</si>
  <si>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</si>
  <si>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</si>
  <si>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</si>
  <si>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</si>
  <si>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</si>
  <si>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</si>
  <si>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</si>
  <si>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</si>
  <si>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</si>
  <si>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</si>
  <si>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</si>
  <si>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</si>
  <si>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</si>
  <si>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</si>
  <si>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</si>
  <si>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</si>
  <si>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</si>
  <si>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</si>
  <si>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</si>
  <si>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</si>
  <si>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</si>
  <si>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</si>
  <si>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</si>
  <si>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</si>
  <si>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</si>
  <si>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</si>
  <si>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</si>
  <si>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</si>
  <si>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</si>
  <si>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</si>
  <si>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</si>
  <si>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</si>
  <si>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</si>
  <si>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</si>
  <si>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</si>
  <si>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</si>
  <si>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</si>
  <si>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</si>
  <si>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</si>
  <si>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</si>
  <si>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</si>
  <si>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</si>
  <si>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</si>
  <si>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</si>
  <si>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</si>
  <si>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</si>
  <si>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</si>
  <si>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</si>
  <si>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</si>
  <si>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</si>
  <si>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</si>
  <si>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</si>
  <si>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</si>
  <si>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</si>
  <si>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</si>
  <si>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</si>
  <si>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</si>
  <si>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</si>
  <si>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</si>
  <si>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</si>
  <si>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</si>
  <si>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</si>
  <si>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</si>
  <si>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</si>
  <si>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</si>
  <si>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</si>
  <si>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</si>
  <si>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</si>
  <si>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</si>
  <si>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</si>
  <si>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</si>
  <si>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</si>
  <si>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</si>
  <si>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</si>
  <si>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</si>
  <si>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</si>
  <si>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</si>
  <si>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</si>
  <si>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</si>
  <si>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</si>
  <si>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</si>
  <si>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</si>
  <si>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</si>
  <si>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</si>
  <si>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</si>
  <si>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</si>
  <si>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</si>
  <si>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</si>
  <si>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</si>
  <si>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</si>
  <si>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</si>
  <si>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</si>
  <si>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</si>
  <si>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</si>
  <si>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</si>
  <si>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</si>
  <si>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</si>
  <si>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</si>
  <si>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</si>
  <si>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</si>
  <si>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</si>
  <si>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</si>
  <si>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</si>
  <si>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</si>
  <si>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</si>
  <si>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</si>
  <si>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</si>
  <si>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</si>
  <si>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</si>
  <si>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</si>
  <si>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</si>
  <si>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</si>
  <si>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</si>
  <si>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</si>
  <si>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</si>
  <si>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</si>
  <si>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</si>
  <si>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</si>
  <si>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</si>
  <si>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</si>
  <si>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</si>
  <si>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</si>
  <si>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</si>
  <si>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</si>
  <si>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</si>
  <si>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</si>
  <si>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</si>
  <si>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</si>
  <si>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</si>
  <si>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</si>
  <si>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</si>
  <si>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</si>
  <si>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</si>
  <si>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</si>
  <si>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</si>
  <si>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</si>
  <si>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</si>
  <si>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</si>
  <si>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</si>
  <si>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</si>
  <si>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</si>
  <si>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</si>
  <si>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</si>
  <si>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</si>
  <si>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</si>
  <si>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</si>
  <si>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</si>
  <si>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</si>
  <si>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</si>
  <si>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</si>
  <si>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</si>
  <si>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</si>
  <si>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</si>
  <si>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</si>
  <si>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</si>
  <si>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</si>
  <si>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</si>
  <si>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</si>
  <si>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</si>
  <si>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</si>
  <si>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</si>
  <si>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</si>
  <si>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</si>
  <si>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</si>
  <si>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</si>
  <si>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</si>
  <si>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</si>
  <si>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</si>
  <si>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</si>
  <si>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</si>
  <si>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</si>
  <si>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</si>
  <si>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</si>
  <si>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</si>
  <si>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</si>
  <si>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</si>
  <si>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</si>
  <si>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</si>
  <si>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</si>
  <si>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</si>
  <si>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</si>
  <si>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</si>
  <si>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</si>
  <si>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</si>
  <si>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</si>
  <si>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</si>
  <si>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</si>
  <si>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</si>
  <si>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</si>
  <si>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</si>
  <si>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</si>
  <si>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</si>
  <si>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</si>
  <si>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</si>
  <si>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</si>
  <si>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</si>
  <si>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</si>
  <si>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</si>
  <si>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</si>
  <si>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</si>
  <si>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</si>
  <si>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</si>
  <si>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</si>
  <si>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</si>
  <si>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</si>
  <si>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</si>
  <si>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</si>
  <si>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</si>
  <si>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</si>
  <si>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</si>
  <si>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</si>
  <si>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</si>
  <si>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</si>
  <si>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</si>
  <si>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</si>
  <si>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</si>
  <si>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</si>
  <si>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</si>
  <si>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</si>
  <si>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</si>
  <si>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</si>
  <si>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</si>
  <si>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</si>
  <si>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</si>
  <si>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</si>
  <si>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</si>
  <si>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</si>
  <si>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</si>
  <si>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</si>
  <si>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</si>
  <si>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</si>
  <si>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</si>
  <si>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</si>
  <si>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</si>
  <si>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</si>
  <si>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</si>
  <si>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</si>
  <si>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</si>
  <si>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</si>
  <si>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</si>
  <si>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</si>
  <si>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</si>
  <si>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</si>
  <si>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</si>
  <si>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</si>
  <si>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</si>
  <si>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</si>
  <si>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</si>
  <si>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</si>
  <si>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</si>
  <si>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</si>
  <si>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</si>
  <si>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</si>
  <si>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</si>
  <si>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</si>
  <si>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</si>
  <si>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</si>
  <si>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</si>
  <si>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</si>
  <si>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</si>
  <si>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</si>
  <si>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</si>
  <si>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</si>
  <si>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</si>
  <si>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</si>
  <si>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</si>
  <si>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</si>
  <si>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</si>
  <si>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</si>
  <si>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</si>
  <si>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</si>
  <si>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</si>
  <si>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</si>
  <si>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</si>
  <si>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</si>
  <si>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</si>
  <si>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</si>
  <si>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</si>
  <si>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</si>
  <si>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</si>
  <si>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</si>
  <si>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</si>
  <si>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</si>
  <si>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</si>
  <si>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</si>
  <si>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</si>
  <si>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</si>
  <si>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</si>
  <si>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</si>
  <si>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</si>
  <si>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</si>
  <si>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</si>
  <si>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</si>
  <si>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</si>
  <si>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</si>
  <si>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</si>
  <si>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</si>
  <si>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</si>
  <si>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</si>
  <si>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</si>
  <si>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</si>
  <si>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</si>
  <si>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</si>
  <si>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</si>
  <si>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</si>
  <si>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</si>
  <si>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</si>
  <si>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</si>
  <si>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</si>
  <si>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</si>
  <si>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</si>
  <si>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</si>
  <si>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</si>
  <si>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</si>
  <si>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</si>
  <si>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</si>
  <si>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</si>
  <si>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</si>
  <si>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</si>
  <si>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</si>
  <si>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</si>
  <si>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</si>
  <si>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</si>
  <si>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</si>
  <si>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</si>
  <si>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</si>
  <si>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</si>
  <si>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</si>
  <si>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</si>
  <si>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</si>
  <si>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</si>
  <si>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</si>
  <si>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</si>
  <si>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</si>
  <si>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</si>
  <si>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</si>
  <si>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</si>
  <si>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</si>
  <si>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</si>
  <si>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</si>
  <si>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</si>
  <si>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</si>
  <si>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</si>
  <si>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</si>
  <si>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</si>
  <si>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</si>
  <si>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</si>
  <si>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</si>
  <si>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</si>
  <si>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</si>
  <si>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</si>
  <si>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</si>
  <si>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</si>
  <si>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</si>
  <si>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</si>
  <si>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</si>
  <si>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</si>
  <si>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</si>
  <si>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</si>
  <si>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</si>
  <si>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</si>
  <si>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</si>
  <si>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</si>
  <si>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</si>
  <si>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</si>
  <si>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</si>
  <si>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</si>
  <si>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</si>
  <si>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</si>
  <si>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</si>
  <si>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</si>
  <si>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</si>
  <si>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</si>
  <si>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</si>
  <si>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</si>
  <si>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</si>
  <si>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</si>
  <si>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</si>
  <si>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</si>
  <si>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</si>
  <si>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</si>
  <si>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</si>
  <si>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</si>
  <si>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</si>
  <si>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</si>
  <si>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</si>
  <si>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</si>
  <si>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</si>
  <si>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</si>
  <si>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</si>
  <si>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</si>
  <si>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</si>
  <si>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</si>
  <si>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</si>
  <si>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</si>
  <si>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</si>
  <si>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</si>
  <si>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</si>
  <si>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</si>
  <si>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</si>
  <si>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</si>
  <si>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</si>
  <si>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</si>
  <si>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</si>
  <si>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</si>
  <si>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</si>
  <si>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</si>
  <si>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</si>
  <si>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</si>
  <si>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</si>
  <si>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</si>
  <si>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</si>
  <si>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</si>
  <si>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</si>
  <si>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</si>
  <si>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</si>
  <si>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</si>
  <si>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</si>
  <si>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</si>
  <si>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</si>
  <si>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</si>
  <si>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</si>
  <si>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</si>
  <si>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</si>
  <si>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</si>
  <si>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</si>
  <si>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</si>
  <si>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</si>
  <si>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</si>
  <si>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</si>
  <si>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</si>
  <si>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</si>
  <si>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</si>
  <si>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</si>
  <si>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</si>
  <si>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</si>
  <si>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</si>
  <si>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</si>
  <si>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</si>
  <si>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</si>
  <si>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</si>
  <si>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</si>
  <si>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</si>
  <si>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</si>
  <si>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</si>
  <si>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</si>
  <si>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</si>
  <si>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</si>
  <si>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</si>
  <si>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</si>
  <si>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</si>
  <si>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</si>
  <si>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</si>
  <si>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</si>
  <si>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</si>
  <si>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</si>
  <si>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</si>
  <si>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</si>
  <si>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</si>
  <si>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</si>
  <si>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</si>
  <si>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</si>
  <si>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</si>
  <si>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</si>
  <si>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</si>
  <si>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</si>
  <si>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</si>
  <si>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</si>
  <si>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</si>
  <si>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</si>
  <si>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</si>
  <si>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</si>
  <si>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</si>
  <si>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</si>
  <si>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</si>
  <si>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</si>
  <si>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</si>
  <si>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</si>
  <si>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</si>
  <si>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</si>
  <si>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</si>
  <si>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</si>
  <si>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</si>
  <si>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</si>
  <si>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</si>
  <si>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</si>
  <si>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</si>
  <si>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</si>
  <si>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</si>
  <si>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</si>
  <si>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</si>
  <si>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</si>
  <si>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</si>
  <si>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</si>
  <si>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</si>
  <si>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</si>
  <si>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</si>
  <si>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</si>
  <si>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</si>
  <si>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</si>
  <si>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</si>
  <si>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</si>
  <si>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</si>
  <si>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</si>
  <si>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</si>
  <si>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</si>
  <si>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</si>
  <si>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</si>
  <si>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</si>
  <si>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</si>
  <si>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</si>
  <si>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</si>
  <si>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</si>
  <si>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</si>
  <si>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</si>
  <si>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</si>
  <si>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</si>
  <si>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</si>
  <si>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</si>
  <si>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</si>
  <si>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</si>
  <si>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</si>
  <si>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</si>
  <si>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</si>
  <si>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</si>
  <si>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</si>
  <si>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</si>
  <si>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</si>
  <si>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</si>
  <si>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</si>
  <si>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</si>
  <si>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</si>
  <si>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</si>
  <si>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</si>
  <si>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</si>
  <si>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</si>
  <si>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</si>
  <si>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</si>
  <si>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</si>
  <si>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</si>
  <si>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</si>
  <si>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</si>
  <si>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</si>
  <si>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</si>
  <si>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</si>
  <si>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</si>
  <si>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</si>
  <si>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</si>
  <si>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</si>
  <si>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</si>
  <si>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</si>
  <si>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</si>
  <si>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</si>
  <si>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</si>
  <si>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</si>
  <si>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</si>
  <si>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</si>
  <si>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</si>
  <si>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</si>
  <si>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</si>
  <si>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</si>
  <si>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</si>
  <si>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</si>
  <si>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</si>
  <si>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</si>
  <si>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</si>
  <si>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</si>
  <si>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</si>
  <si>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</si>
  <si>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</si>
  <si>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</si>
  <si>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</si>
  <si>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</si>
  <si>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</si>
  <si>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</si>
  <si>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</si>
  <si>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</si>
  <si>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</si>
  <si>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</si>
  <si>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</si>
  <si>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</si>
  <si>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</si>
  <si>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</si>
  <si>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</si>
  <si>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</si>
  <si>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</si>
  <si>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</si>
  <si>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</si>
  <si>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</si>
  <si>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</si>
  <si>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</si>
  <si>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</si>
  <si>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</si>
  <si>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</si>
  <si>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</si>
  <si>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</si>
  <si>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</si>
  <si>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</si>
  <si>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</si>
  <si>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</si>
  <si>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</si>
  <si>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</si>
  <si>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</si>
  <si>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</si>
  <si>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</si>
  <si>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</si>
  <si>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</si>
  <si>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</si>
  <si>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</si>
  <si>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</si>
  <si>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</si>
  <si>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</si>
  <si>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</si>
  <si>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</si>
  <si>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</si>
  <si>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</si>
  <si>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</si>
  <si>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</si>
  <si>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</si>
  <si>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</si>
  <si>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</si>
  <si>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</si>
  <si>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</si>
  <si>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</si>
  <si>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</si>
  <si>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</si>
  <si>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</si>
  <si>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</si>
  <si>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</si>
  <si>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</si>
  <si>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</si>
  <si>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</si>
  <si>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</si>
  <si>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</si>
  <si>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</si>
  <si>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</si>
  <si>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</si>
  <si>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</si>
  <si>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</si>
  <si>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</si>
  <si>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</si>
  <si>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</si>
  <si>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</si>
  <si>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</si>
  <si>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</si>
  <si>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</si>
  <si>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</si>
  <si>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</si>
  <si>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</si>
  <si>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</si>
  <si>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</si>
  <si>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</si>
  <si>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</si>
  <si>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</si>
  <si>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</si>
  <si>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</si>
  <si>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</si>
  <si>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</si>
  <si>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</si>
  <si>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</si>
  <si>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</si>
  <si>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</si>
  <si>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</si>
  <si>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</si>
  <si>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</si>
  <si>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</si>
  <si>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</si>
  <si>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</si>
  <si>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</si>
  <si>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</si>
  <si>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</si>
  <si>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</si>
  <si>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</si>
  <si>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</si>
  <si>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</si>
  <si>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</si>
  <si>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</si>
  <si>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</si>
  <si>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</si>
  <si>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</si>
  <si>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</si>
  <si>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</si>
  <si>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</si>
  <si>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</si>
  <si>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</si>
  <si>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</si>
  <si>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</si>
  <si>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</si>
  <si>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</si>
  <si>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</si>
  <si>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</si>
  <si>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</si>
  <si>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</si>
  <si>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</si>
  <si>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</si>
  <si>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</si>
  <si>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</si>
  <si>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</si>
  <si>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</si>
  <si>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</si>
  <si>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</si>
  <si>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</si>
  <si>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</si>
  <si>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</si>
  <si>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</si>
  <si>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</si>
  <si>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</si>
  <si>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</si>
  <si>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</si>
  <si>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</si>
  <si>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</si>
  <si>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</si>
  <si>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</si>
  <si>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</si>
  <si>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</si>
  <si>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</si>
  <si>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</si>
  <si>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</si>
  <si>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</si>
  <si>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</si>
  <si>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</si>
  <si>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</si>
  <si>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</si>
  <si>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</si>
  <si>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</si>
  <si>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</si>
  <si>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</si>
  <si>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</si>
  <si>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</si>
  <si>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</si>
  <si>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</si>
  <si>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</si>
  <si>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</si>
  <si>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</si>
  <si>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</si>
  <si>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</si>
  <si>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</si>
  <si>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</si>
  <si>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</si>
  <si>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</si>
  <si>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</si>
  <si>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</si>
  <si>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</si>
  <si>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</si>
  <si>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</si>
  <si>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</si>
  <si>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</si>
  <si>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</si>
  <si>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</si>
  <si>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</si>
  <si>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</si>
  <si>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</si>
  <si>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</si>
  <si>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</si>
  <si>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</si>
  <si>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</si>
  <si>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</si>
  <si>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</si>
  <si>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</si>
  <si>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</si>
  <si>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</si>
  <si>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</si>
  <si>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</si>
  <si>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</si>
  <si>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</si>
  <si>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</si>
  <si>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</si>
  <si>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</si>
  <si>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</si>
  <si>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</si>
  <si>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</si>
  <si>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</si>
  <si>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</si>
  <si>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</si>
  <si>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</si>
  <si>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</si>
  <si>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</si>
  <si>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</si>
  <si>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</si>
  <si>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</si>
  <si>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</si>
  <si>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</si>
  <si>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</si>
  <si>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</si>
  <si>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</si>
  <si>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</si>
  <si>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</si>
  <si>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</si>
  <si>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</si>
  <si>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</si>
  <si>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</si>
  <si>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</si>
  <si>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</si>
  <si>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</si>
  <si>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</si>
  <si>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</si>
  <si>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</si>
  <si>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</si>
  <si>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</si>
  <si>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</si>
  <si>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</si>
  <si>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</si>
  <si>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</si>
  <si>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</si>
  <si>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</si>
  <si>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</si>
  <si>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</si>
  <si>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</si>
  <si>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</si>
  <si>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</si>
  <si>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</si>
  <si>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</si>
  <si>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</si>
  <si>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</si>
  <si>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</si>
  <si>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</si>
  <si>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</si>
  <si>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</si>
  <si>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</si>
  <si>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</si>
  <si>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</si>
  <si>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</si>
  <si>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</si>
  <si>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</si>
  <si>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</si>
  <si>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</si>
  <si>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</si>
  <si>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</si>
  <si>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</si>
  <si>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</si>
  <si>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</si>
  <si>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</si>
  <si>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</si>
  <si>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</si>
  <si>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</si>
  <si>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</si>
  <si>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</si>
  <si>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</si>
  <si>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</si>
  <si>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</si>
  <si>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</si>
  <si>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</si>
  <si>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</si>
  <si>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</si>
  <si>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</si>
  <si>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</si>
  <si>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</si>
  <si>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</si>
  <si>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</si>
  <si>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</si>
  <si>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</si>
  <si>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</si>
  <si>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</si>
  <si>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</si>
  <si>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</si>
  <si>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</si>
  <si>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</si>
  <si>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</si>
  <si>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</si>
  <si>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</si>
  <si>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</si>
  <si>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</si>
  <si>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</si>
  <si>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</si>
  <si>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</si>
  <si>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</si>
  <si>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</si>
  <si>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</si>
  <si>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</si>
  <si>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</si>
  <si>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</si>
  <si>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</si>
  <si>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</si>
  <si>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</si>
  <si>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</si>
  <si>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</si>
  <si>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</si>
  <si>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</si>
  <si>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</si>
  <si>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</si>
  <si>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</si>
  <si>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</si>
  <si>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</si>
  <si>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</si>
  <si>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</si>
  <si>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</si>
  <si>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</si>
  <si>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</si>
  <si>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</si>
  <si>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</si>
  <si>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</si>
  <si>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</si>
  <si>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</si>
  <si>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</si>
  <si>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</si>
  <si>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</si>
  <si>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</si>
  <si>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</si>
  <si>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</si>
  <si>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</si>
  <si>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</si>
  <si>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</si>
  <si>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</si>
  <si>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</si>
  <si>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</si>
  <si>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</si>
  <si>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</si>
  <si>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</si>
  <si>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</si>
  <si>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</si>
  <si>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</si>
  <si>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</si>
  <si>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</si>
  <si>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</si>
  <si>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</si>
  <si>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</si>
  <si>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</si>
  <si>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</si>
  <si>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</si>
  <si>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</si>
  <si>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</si>
  <si>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</si>
  <si>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</si>
  <si>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</si>
  <si>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</si>
  <si>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</si>
  <si>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</si>
  <si>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</si>
  <si>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</si>
  <si>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</si>
  <si>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</si>
  <si>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</si>
  <si>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</si>
  <si>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</si>
  <si>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</si>
  <si>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</si>
  <si>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</si>
  <si>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</si>
  <si>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</si>
  <si>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</si>
  <si>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</si>
  <si>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</si>
  <si>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</si>
  <si>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</si>
  <si>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</si>
  <si>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</si>
  <si>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</si>
  <si>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</si>
  <si>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</si>
  <si>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</si>
  <si>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</si>
  <si>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</si>
  <si>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</si>
  <si>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</si>
  <si>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</si>
  <si>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</si>
  <si>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</si>
  <si>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</si>
  <si>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</si>
  <si>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</si>
  <si>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</si>
  <si>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</si>
  <si>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</si>
  <si>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</si>
  <si>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</si>
  <si>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</si>
  <si>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</si>
  <si>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</si>
  <si>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</si>
  <si>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</si>
  <si>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</si>
  <si>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</si>
  <si>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</si>
  <si>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</si>
  <si>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</si>
  <si>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</si>
  <si>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</si>
  <si>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</si>
  <si>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</si>
  <si>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</si>
  <si>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</si>
  <si>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</si>
  <si>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</si>
  <si>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</si>
  <si>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</si>
  <si>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</si>
  <si>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</si>
  <si>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</si>
  <si>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</si>
  <si>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</si>
  <si>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</si>
  <si>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</si>
  <si>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</si>
  <si>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</si>
  <si>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</si>
  <si>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</si>
  <si>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</si>
  <si>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</si>
  <si>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</si>
  <si>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</si>
  <si>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</si>
  <si>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</si>
  <si>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</si>
  <si>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</si>
  <si>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</si>
  <si>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</si>
  <si>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</si>
  <si>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</si>
  <si>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</si>
  <si>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</si>
  <si>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</si>
  <si>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</si>
  <si>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</si>
  <si>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</si>
  <si>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</si>
  <si>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</si>
  <si>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</si>
  <si>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</si>
  <si>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</si>
  <si>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</si>
  <si>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</si>
  <si>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</si>
  <si>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</si>
  <si>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</si>
  <si>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</si>
  <si>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</si>
  <si>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</si>
  <si>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</si>
  <si>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</si>
  <si>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</si>
  <si>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</si>
  <si>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</si>
  <si>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</si>
  <si>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</si>
  <si>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</si>
  <si>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</si>
  <si>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</si>
  <si>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</si>
  <si>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</si>
  <si>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</si>
  <si>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</si>
  <si>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</si>
  <si>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</si>
  <si>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</si>
  <si>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</si>
  <si>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</si>
  <si>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</si>
  <si>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</si>
  <si>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</si>
  <si>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</si>
  <si>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</si>
  <si>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</si>
  <si>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</si>
  <si>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</si>
  <si>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</si>
  <si>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</si>
  <si>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</si>
  <si>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</si>
  <si>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</si>
  <si>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</si>
  <si>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</si>
  <si>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</si>
  <si>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</si>
  <si>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</si>
  <si>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</si>
  <si>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</si>
  <si>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</si>
  <si>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</si>
  <si>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</si>
  <si>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</si>
  <si>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</si>
  <si>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</si>
  <si>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</si>
  <si>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</si>
  <si>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</si>
  <si>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</si>
  <si>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</si>
  <si>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</si>
  <si>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</si>
  <si>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</si>
  <si>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</si>
  <si>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</si>
  <si>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</si>
  <si>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</si>
  <si>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</si>
  <si>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</si>
  <si>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</si>
  <si>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</si>
  <si>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</si>
  <si>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</si>
  <si>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</si>
  <si>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</si>
  <si>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</si>
  <si>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</si>
  <si>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</si>
  <si>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</si>
  <si>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</si>
  <si>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</si>
  <si>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</si>
  <si>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</si>
  <si>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</si>
  <si>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</si>
  <si>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</si>
  <si>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</si>
  <si>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</si>
  <si>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</si>
  <si>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</si>
  <si>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</si>
  <si>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</si>
  <si>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</si>
  <si>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</si>
  <si>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</si>
  <si>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</si>
  <si>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</si>
  <si>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</si>
  <si>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</si>
  <si>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</si>
  <si>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</si>
  <si>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</si>
  <si>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</si>
  <si>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</si>
  <si>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</si>
  <si>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</si>
  <si>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</si>
  <si>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</si>
  <si>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</si>
  <si>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</si>
  <si>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</si>
  <si>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</si>
  <si>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</si>
  <si>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</si>
  <si>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</si>
  <si>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</si>
  <si>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</si>
  <si>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</si>
  <si>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</si>
  <si>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</si>
  <si>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</si>
  <si>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</si>
  <si>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</si>
  <si>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</si>
  <si>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</si>
  <si>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</si>
  <si>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</si>
  <si>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</si>
  <si>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</si>
  <si>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</si>
  <si>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</si>
  <si>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</si>
  <si>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</si>
  <si>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</si>
  <si>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</si>
  <si>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</si>
  <si>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</si>
  <si>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</si>
  <si>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</si>
  <si>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</si>
  <si>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</si>
  <si>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</si>
  <si>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</si>
  <si>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</si>
  <si>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</si>
  <si>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</si>
  <si>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</si>
  <si>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</si>
  <si>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</si>
  <si>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</si>
  <si>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</si>
  <si>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</si>
  <si>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</si>
  <si>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</si>
  <si>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</si>
  <si>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</si>
  <si>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</si>
  <si>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</si>
  <si>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</si>
  <si>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</si>
  <si>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</si>
  <si>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</si>
  <si>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</si>
  <si>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</si>
  <si>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</si>
  <si>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</si>
  <si>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</si>
  <si>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</si>
  <si>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</si>
  <si>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</si>
  <si>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</si>
  <si>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</si>
  <si>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</si>
  <si>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</si>
  <si>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</si>
  <si>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</si>
  <si>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</si>
  <si>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</si>
  <si>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</si>
  <si>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</si>
  <si>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</si>
  <si>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</si>
  <si>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</si>
  <si>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</si>
  <si>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</si>
  <si>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</si>
  <si>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</si>
  <si>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</si>
  <si>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</si>
  <si>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</si>
  <si>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</si>
  <si>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</si>
  <si>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</si>
  <si>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</si>
  <si>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</si>
  <si>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</si>
  <si>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</si>
  <si>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</si>
  <si>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</si>
  <si>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</si>
  <si>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</si>
  <si>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</si>
  <si>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</si>
  <si>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</si>
  <si>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</si>
  <si>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</si>
  <si>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</si>
  <si>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</si>
  <si>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</si>
  <si>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</si>
  <si>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</si>
  <si>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</si>
  <si>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</si>
  <si>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</si>
  <si>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</si>
  <si>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</si>
  <si>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</si>
  <si>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</si>
  <si>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</si>
  <si>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</si>
  <si>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</si>
  <si>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</si>
  <si>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</si>
  <si>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</si>
  <si>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</si>
  <si>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</si>
  <si>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</si>
  <si>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</si>
  <si>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</si>
  <si>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</si>
  <si>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</si>
  <si>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</si>
  <si>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</si>
  <si>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</si>
  <si>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</si>
  <si>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</si>
  <si>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</si>
  <si>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</si>
  <si>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</si>
  <si>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</si>
  <si>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</si>
  <si>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</si>
  <si>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</si>
  <si>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</si>
  <si>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</si>
  <si>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</si>
  <si>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</si>
  <si>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</si>
  <si>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</si>
  <si>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</si>
  <si>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</si>
  <si>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</si>
  <si>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</si>
  <si>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</si>
  <si>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</si>
  <si>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</si>
  <si>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</si>
  <si>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</si>
  <si>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</si>
  <si>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</si>
  <si>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</si>
  <si>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</si>
  <si>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</si>
  <si>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</si>
  <si>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</si>
  <si>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</si>
  <si>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</si>
  <si>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</si>
  <si>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</si>
  <si>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</si>
  <si>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</si>
  <si>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</si>
  <si>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</si>
  <si>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</si>
  <si>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</si>
  <si>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</si>
  <si>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</si>
  <si>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</si>
  <si>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</si>
  <si>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</si>
  <si>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</si>
  <si>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</si>
  <si>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</si>
  <si>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</si>
  <si>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</si>
  <si>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</si>
  <si>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</si>
  <si>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</si>
  <si>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</si>
  <si>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</si>
  <si>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</si>
  <si>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</si>
  <si>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</si>
  <si>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</si>
  <si>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</si>
  <si>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</si>
  <si>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</si>
  <si>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</si>
  <si>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</si>
  <si>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</si>
  <si>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</si>
  <si>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</si>
  <si>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</si>
  <si>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</si>
  <si>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</si>
  <si>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</si>
  <si>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</si>
  <si>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</si>
  <si>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</si>
  <si>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</si>
  <si>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</si>
  <si>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</si>
  <si>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</si>
  <si>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</si>
  <si>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</si>
  <si>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</si>
  <si>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</si>
  <si>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</si>
  <si>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</si>
  <si>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</si>
  <si>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</si>
  <si>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</si>
  <si>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</si>
  <si>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</si>
  <si>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</si>
  <si>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</si>
  <si>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</si>
  <si>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</si>
  <si>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</si>
  <si>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</si>
  <si>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</si>
  <si>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</si>
  <si>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</si>
  <si>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</si>
  <si>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</si>
  <si>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</si>
  <si>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</si>
  <si>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</si>
  <si>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</si>
  <si>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</si>
  <si>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</si>
  <si>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</si>
  <si>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</si>
  <si>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</si>
  <si>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</si>
  <si>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</si>
  <si>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</si>
  <si>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</si>
  <si>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</si>
  <si>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</si>
  <si>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</si>
  <si>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</si>
  <si>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</si>
  <si>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</si>
  <si>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</si>
  <si>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</si>
  <si>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</si>
  <si>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</si>
  <si>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</si>
  <si>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</si>
  <si>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</si>
  <si>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</si>
  <si>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</si>
  <si>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</si>
  <si>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</si>
  <si>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</si>
  <si>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</si>
  <si>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</si>
  <si>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</si>
  <si>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</si>
  <si>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</si>
  <si>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</si>
  <si>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</si>
  <si>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</si>
  <si>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</si>
  <si>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</si>
  <si>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</si>
  <si>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</si>
  <si>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</si>
  <si>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</si>
  <si>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</si>
  <si>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</si>
  <si>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</si>
  <si>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</si>
  <si>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</si>
  <si>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</si>
  <si>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</si>
  <si>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</si>
  <si>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</si>
  <si>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</si>
  <si>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</si>
  <si>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</si>
  <si>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</si>
  <si>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</si>
  <si>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</si>
  <si>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</si>
  <si>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</si>
  <si>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</si>
  <si>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</si>
  <si>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</si>
  <si>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</si>
  <si>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</si>
  <si>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</si>
  <si>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</si>
  <si>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</si>
  <si>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</si>
  <si>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</si>
  <si>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</si>
  <si>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</si>
  <si>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</si>
  <si>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</si>
  <si>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</si>
  <si>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</si>
  <si>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</si>
  <si>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</si>
  <si>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</si>
  <si>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</si>
  <si>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</si>
  <si>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</si>
  <si>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</si>
  <si>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</si>
  <si>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</si>
  <si>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</si>
  <si>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</si>
  <si>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</si>
  <si>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</si>
  <si>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</si>
  <si>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</si>
  <si>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</si>
  <si>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</si>
  <si>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</si>
  <si>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</si>
  <si>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</si>
  <si>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</si>
  <si>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</si>
  <si>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</si>
  <si>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</si>
  <si>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</si>
  <si>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</si>
  <si>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</si>
  <si>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</si>
  <si>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</si>
  <si>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</si>
  <si>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</si>
  <si>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</si>
  <si>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</si>
  <si>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</si>
  <si>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</si>
  <si>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</si>
  <si>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</si>
  <si>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</si>
  <si>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</si>
  <si>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</si>
  <si>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</si>
  <si>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</si>
  <si>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</si>
  <si>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</si>
  <si>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</si>
  <si>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</si>
  <si>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</si>
  <si>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</si>
  <si>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</si>
  <si>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</si>
  <si>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</si>
  <si>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</si>
  <si>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</si>
  <si>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</si>
  <si>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</si>
  <si>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</si>
  <si>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</si>
  <si>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</si>
  <si>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</si>
  <si>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</si>
  <si>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</si>
  <si>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</si>
  <si>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</si>
  <si>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</si>
  <si>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</si>
  <si>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</si>
  <si>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</si>
  <si>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</si>
  <si>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</si>
  <si>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</si>
  <si>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</si>
  <si>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</si>
  <si>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</si>
  <si>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</si>
  <si>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</si>
  <si>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</si>
  <si>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</si>
  <si>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</si>
  <si>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</si>
  <si>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</si>
  <si>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</si>
  <si>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</si>
  <si>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</si>
  <si>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</si>
  <si>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</si>
  <si>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</si>
  <si>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</si>
  <si>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</si>
  <si>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</si>
  <si>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</si>
  <si>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</si>
  <si>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</si>
  <si>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</si>
  <si>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</si>
  <si>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</si>
  <si>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</si>
  <si>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</si>
  <si>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</si>
  <si>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</si>
  <si>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</si>
  <si>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</si>
  <si>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</si>
  <si>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</si>
  <si>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</si>
  <si>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</si>
  <si>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</si>
  <si>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</si>
  <si>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</si>
  <si>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</si>
  <si>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</si>
  <si>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</si>
  <si>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</si>
  <si>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</si>
  <si>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</si>
  <si>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</si>
  <si>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</si>
  <si>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</si>
  <si>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</si>
  <si>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</si>
  <si>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</si>
  <si>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</si>
  <si>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</si>
  <si>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</si>
  <si>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</si>
  <si>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</si>
  <si>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</si>
  <si>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</si>
  <si>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</si>
  <si>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</si>
  <si>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</si>
  <si>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</si>
  <si>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</si>
  <si>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</si>
  <si>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</si>
  <si>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</si>
  <si>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</si>
  <si>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</si>
  <si>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</si>
  <si>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</si>
  <si>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</si>
  <si>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</si>
  <si>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</si>
  <si>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</si>
  <si>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</si>
  <si>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</si>
  <si>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</si>
  <si>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</si>
  <si>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</si>
  <si>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</si>
  <si>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</si>
  <si>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</si>
  <si>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</si>
  <si>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</si>
  <si>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</si>
  <si>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</si>
  <si>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</si>
  <si>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</si>
  <si>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</si>
  <si>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</si>
  <si>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</si>
  <si>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</si>
  <si>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</si>
  <si>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</si>
  <si>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</si>
  <si>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</si>
  <si>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</si>
  <si>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</si>
  <si>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</si>
  <si>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</si>
  <si>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</si>
  <si>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</si>
  <si>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</si>
  <si>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</si>
  <si>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</si>
  <si>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</si>
  <si>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</si>
  <si>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</si>
  <si>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</si>
  <si>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</si>
  <si>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</si>
  <si>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</si>
  <si>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</si>
  <si>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</si>
  <si>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</si>
  <si>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</si>
  <si>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</si>
  <si>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</si>
  <si>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</si>
  <si>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</si>
  <si>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</si>
  <si>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</si>
  <si>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</si>
  <si>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</si>
  <si>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</si>
  <si>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</si>
  <si>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</si>
  <si>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</si>
  <si>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</si>
  <si>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</si>
  <si>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</si>
  <si>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</si>
  <si>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</si>
  <si>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</si>
  <si>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</si>
  <si>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</si>
  <si>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</si>
  <si>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</si>
  <si>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</si>
  <si>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</si>
  <si>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</si>
  <si>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</si>
  <si>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</si>
  <si>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</si>
  <si>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</si>
  <si>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</si>
  <si>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</si>
  <si>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</si>
  <si>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</si>
  <si>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</si>
  <si>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</si>
  <si>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</si>
  <si>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</si>
  <si>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</si>
  <si>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</si>
  <si>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</si>
  <si>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</si>
  <si>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</si>
  <si>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</si>
  <si>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</si>
  <si>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</si>
  <si>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</si>
  <si>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</si>
  <si>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</si>
  <si>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</si>
  <si>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</si>
  <si>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</si>
  <si>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</si>
  <si>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</si>
  <si>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</si>
  <si>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</si>
  <si>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</si>
  <si>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</si>
  <si>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</si>
  <si>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</si>
  <si>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</si>
  <si>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</si>
  <si>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</si>
  <si>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</si>
  <si>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</si>
  <si>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</si>
  <si>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</si>
  <si>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</si>
  <si>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</si>
  <si>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</si>
  <si>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</si>
  <si>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</si>
  <si>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</si>
  <si>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</si>
  <si>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</si>
  <si>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</si>
  <si>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</si>
  <si>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</si>
  <si>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</si>
  <si>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</si>
  <si>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</si>
  <si>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</si>
  <si>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</si>
  <si>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</si>
  <si>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</si>
  <si>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</si>
  <si>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</si>
  <si>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</si>
  <si>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</si>
  <si>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</si>
  <si>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</si>
  <si>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</si>
  <si>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</si>
  <si>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</si>
  <si>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</si>
  <si>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</si>
  <si>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</si>
  <si>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</si>
  <si>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</si>
  <si>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</si>
  <si>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</si>
  <si>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</si>
  <si>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</si>
  <si>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</si>
  <si>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</si>
  <si>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</si>
  <si>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</si>
  <si>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</si>
  <si>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</si>
  <si>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</si>
  <si>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</si>
  <si>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</si>
  <si>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</si>
  <si>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</si>
  <si>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</si>
  <si>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</si>
  <si>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</si>
  <si>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</si>
  <si>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</si>
  <si>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</si>
  <si>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</si>
  <si>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</si>
  <si>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</si>
  <si>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</si>
  <si>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</si>
  <si>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</si>
  <si>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</si>
  <si>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</si>
  <si>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</si>
  <si>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</si>
  <si>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</si>
  <si>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</si>
  <si>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</si>
  <si>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</si>
  <si>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</si>
  <si>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</si>
  <si>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</si>
  <si>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</si>
  <si>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</si>
  <si>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</si>
  <si>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</si>
  <si>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</si>
  <si>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</si>
  <si>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</si>
  <si>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</si>
  <si>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</si>
  <si>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</si>
  <si>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</si>
  <si>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</si>
  <si>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</si>
  <si>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</si>
  <si>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</si>
  <si>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</si>
  <si>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</si>
  <si>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</si>
  <si>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</si>
  <si>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</si>
  <si>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</si>
  <si>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</si>
  <si>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</si>
  <si>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</si>
  <si>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</si>
  <si>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</si>
  <si>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</si>
  <si>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</si>
  <si>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</si>
  <si>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</si>
  <si>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</si>
  <si>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</si>
  <si>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</si>
  <si>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</si>
  <si>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</si>
  <si>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</si>
  <si>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</si>
  <si>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</si>
  <si>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</si>
  <si>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</si>
  <si>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</si>
  <si>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</si>
  <si>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</si>
  <si>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</si>
  <si>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</si>
  <si>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</si>
  <si>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</si>
  <si>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</si>
  <si>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</si>
  <si>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</si>
  <si>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</si>
  <si>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</si>
  <si>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</si>
  <si>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</si>
  <si>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</si>
  <si>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</si>
  <si>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</si>
  <si>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</si>
  <si>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</si>
  <si>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</si>
  <si>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</si>
  <si>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</si>
  <si>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</si>
  <si>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</si>
  <si>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</si>
  <si>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</si>
  <si>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</si>
  <si>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</si>
  <si>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</si>
  <si>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</si>
  <si>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</si>
  <si>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</si>
  <si>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</si>
  <si>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</si>
  <si>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</si>
  <si>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</si>
  <si>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</si>
  <si>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</si>
  <si>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</si>
  <si>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</si>
  <si>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</si>
  <si>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</si>
  <si>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</si>
  <si>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</si>
  <si>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</si>
  <si>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</si>
  <si>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</si>
  <si>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</si>
  <si>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</si>
  <si>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</si>
  <si>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</si>
  <si>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</si>
  <si>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</si>
  <si>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</si>
  <si>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</si>
  <si>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</si>
  <si>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</si>
  <si>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</si>
  <si>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</si>
  <si>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</si>
  <si>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</si>
  <si>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</si>
  <si>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</si>
  <si>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</si>
  <si>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</si>
  <si>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</si>
  <si>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</si>
  <si>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</si>
  <si>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</si>
  <si>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</si>
  <si>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</si>
  <si>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</si>
  <si>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</si>
  <si>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</si>
  <si>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</si>
  <si>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</si>
  <si>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</si>
  <si>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</si>
  <si>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</si>
  <si>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</si>
  <si>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</si>
  <si>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</si>
  <si>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</si>
  <si>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</si>
  <si>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</si>
  <si>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</si>
  <si>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</si>
  <si>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</si>
  <si>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</si>
  <si>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</si>
  <si>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</si>
  <si>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</si>
  <si>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</si>
  <si>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</si>
  <si>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</si>
  <si>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</si>
  <si>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</si>
  <si>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</si>
  <si>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</si>
  <si>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</si>
  <si>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</si>
  <si>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</si>
  <si>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</si>
  <si>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</si>
  <si>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</si>
  <si>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</si>
  <si>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</si>
  <si>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</si>
  <si>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</si>
  <si>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</si>
  <si>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</si>
  <si>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</si>
  <si>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</si>
  <si>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</si>
  <si>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</si>
  <si>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</si>
  <si>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</si>
  <si>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</si>
  <si>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</si>
  <si>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</si>
  <si>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</si>
  <si>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</si>
  <si>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</si>
  <si>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</si>
  <si>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</si>
  <si>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</si>
  <si>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</si>
  <si>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</si>
  <si>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</si>
  <si>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</si>
  <si>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</si>
  <si>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</si>
  <si>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</si>
  <si>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</si>
  <si>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</si>
  <si>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</si>
  <si>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</si>
  <si>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</si>
  <si>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</si>
  <si>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</si>
  <si>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</si>
  <si>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</si>
  <si>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</si>
  <si>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</si>
  <si>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</si>
  <si>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</si>
  <si>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</si>
  <si>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</si>
  <si>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</si>
  <si>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</si>
  <si>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</si>
  <si>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</si>
  <si>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</si>
  <si>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</si>
  <si>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</si>
  <si>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</si>
  <si>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</si>
  <si>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</si>
  <si>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</si>
  <si>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</si>
  <si>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</si>
  <si>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</si>
  <si>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</si>
  <si>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</si>
  <si>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</si>
  <si>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</si>
  <si>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</si>
  <si>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</si>
  <si>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</si>
  <si>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</si>
  <si>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</si>
  <si>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</si>
  <si>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</si>
  <si>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</si>
  <si>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</si>
  <si>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</si>
  <si>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</si>
  <si>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</si>
  <si>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</si>
  <si>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</si>
  <si>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</si>
  <si>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</si>
  <si>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</si>
  <si>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</si>
  <si>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</si>
  <si>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</si>
  <si>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</si>
  <si>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</si>
  <si>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</si>
  <si>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</si>
  <si>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</si>
  <si>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</si>
  <si>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</si>
  <si>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</si>
  <si>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</si>
  <si>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</si>
  <si>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</si>
  <si>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</si>
  <si>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</si>
  <si>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</si>
  <si>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</si>
  <si>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</si>
  <si>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</si>
  <si>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</si>
  <si>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</si>
  <si>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</si>
  <si>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</si>
  <si>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</si>
  <si>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</si>
  <si>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</si>
  <si>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</si>
  <si>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</si>
  <si>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</si>
  <si>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</si>
  <si>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</si>
  <si>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</si>
  <si>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</si>
  <si>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</si>
  <si>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</si>
  <si>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</si>
  <si>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</si>
  <si>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</si>
  <si>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</si>
  <si>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</si>
  <si>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</si>
  <si>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</si>
  <si>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</si>
  <si>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</si>
  <si>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</si>
  <si>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</si>
  <si>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</si>
  <si>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</si>
  <si>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</si>
  <si>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</si>
  <si>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</si>
  <si>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</si>
  <si>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</si>
  <si>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</si>
  <si>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</si>
  <si>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</si>
  <si>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</si>
  <si>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</si>
  <si>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</si>
  <si>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</si>
  <si>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</si>
  <si>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</si>
  <si>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</si>
  <si>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</si>
  <si>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</si>
  <si>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</si>
  <si>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</si>
  <si>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</si>
  <si>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</si>
  <si>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</si>
  <si>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</si>
  <si>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</si>
  <si>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</si>
  <si>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</si>
  <si>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</si>
  <si>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</si>
  <si>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</si>
  <si>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</si>
  <si>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</si>
  <si>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</si>
  <si>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</si>
  <si>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</si>
  <si>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</si>
  <si>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</si>
  <si>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</si>
  <si>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</si>
  <si>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</si>
  <si>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</si>
  <si>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</si>
  <si>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</si>
  <si>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</si>
  <si>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</si>
  <si>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</si>
  <si>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</si>
  <si>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</si>
  <si>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</si>
  <si>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</si>
  <si>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</si>
  <si>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</si>
  <si>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</si>
  <si>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</si>
  <si>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</si>
  <si>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</si>
  <si>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</si>
  <si>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</si>
  <si>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</si>
  <si>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</si>
  <si>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</si>
  <si>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</si>
  <si>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</si>
  <si>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</si>
  <si>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</si>
  <si>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</si>
  <si>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</si>
  <si>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</si>
  <si>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</si>
  <si>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</si>
  <si>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</si>
  <si>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</si>
  <si>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</si>
  <si>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</si>
  <si>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</si>
  <si>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</si>
  <si>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</si>
  <si>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</si>
  <si>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</si>
  <si>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</si>
  <si>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</si>
  <si>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</si>
  <si>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</si>
  <si>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</si>
  <si>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</si>
  <si>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</si>
  <si>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</si>
  <si>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</si>
  <si>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</si>
  <si>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</si>
  <si>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</si>
  <si>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</si>
  <si>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</si>
  <si>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</si>
  <si>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</si>
  <si>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</si>
  <si>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</si>
  <si>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</si>
  <si>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</si>
  <si>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</si>
  <si>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</si>
  <si>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</si>
  <si>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</si>
  <si>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</si>
  <si>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</si>
  <si>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</si>
  <si>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</si>
  <si>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</si>
  <si>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</si>
  <si>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</si>
  <si>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</si>
  <si>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</si>
  <si>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</si>
  <si>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</si>
  <si>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</si>
  <si>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</si>
  <si>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</si>
  <si>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</si>
  <si>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</si>
  <si>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</si>
  <si>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</si>
  <si>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</si>
  <si>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</si>
  <si>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</si>
  <si>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</si>
  <si>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</si>
  <si>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</si>
  <si>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</si>
  <si>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</si>
  <si>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</si>
  <si>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</si>
  <si>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</si>
  <si>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</si>
  <si>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</si>
  <si>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</si>
  <si>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</si>
  <si>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</si>
  <si>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</si>
  <si>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</si>
  <si>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</si>
  <si>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</si>
  <si>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</si>
  <si>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</si>
  <si>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</si>
  <si>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</si>
  <si>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</si>
  <si>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</si>
  <si>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</si>
  <si>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</si>
  <si>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</si>
  <si>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</si>
  <si>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</si>
  <si>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</si>
  <si>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</si>
  <si>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</si>
  <si>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</si>
  <si>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</si>
  <si>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</si>
  <si>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</si>
  <si>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</si>
  <si>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</si>
  <si>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</si>
  <si>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</si>
  <si>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</si>
  <si>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</si>
  <si>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</si>
  <si>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</si>
  <si>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</si>
  <si>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</si>
  <si>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</si>
  <si>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</si>
  <si>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</si>
  <si>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</si>
  <si>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</si>
  <si>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</si>
  <si>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</si>
  <si>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</si>
  <si>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</si>
  <si>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</si>
  <si>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</si>
  <si>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</si>
  <si>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</si>
  <si>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</si>
  <si>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</si>
  <si>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</si>
  <si>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</si>
  <si>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</si>
  <si>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</si>
  <si>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</si>
  <si>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</si>
  <si>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</si>
  <si>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</si>
  <si>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</si>
  <si>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</si>
  <si>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</si>
  <si>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</si>
  <si>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</si>
  <si>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</si>
  <si>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</si>
  <si>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</si>
  <si>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</si>
  <si>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</si>
  <si>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</si>
  <si>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</si>
  <si>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</si>
  <si>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</si>
  <si>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</si>
  <si>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</si>
  <si>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</si>
  <si>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</si>
  <si>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</si>
  <si>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</si>
  <si>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</si>
  <si>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</si>
  <si>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</si>
  <si>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</si>
  <si>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</si>
  <si>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</si>
  <si>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</si>
  <si>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</si>
  <si>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</si>
  <si>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</si>
  <si>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</si>
  <si>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</si>
  <si>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</si>
  <si>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</si>
  <si>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</si>
  <si>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</si>
  <si>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</si>
  <si>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</si>
  <si>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</si>
  <si>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</si>
  <si>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</si>
  <si>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</si>
  <si>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</si>
  <si>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</si>
  <si>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</si>
  <si>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</si>
  <si>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</si>
  <si>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</si>
  <si>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</si>
  <si>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</si>
  <si>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</si>
  <si>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</si>
  <si>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</si>
  <si>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</si>
  <si>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</si>
  <si>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</si>
  <si>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</si>
  <si>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</si>
  <si>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</si>
  <si>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</si>
  <si>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</si>
  <si>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</si>
  <si>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</si>
  <si>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</si>
  <si>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</si>
  <si>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</si>
  <si>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</si>
  <si>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</si>
  <si>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</si>
  <si>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</si>
  <si>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</si>
  <si>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</si>
  <si>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</si>
  <si>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</si>
  <si>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</si>
  <si>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</si>
  <si>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</si>
  <si>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</si>
  <si>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</si>
  <si>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</si>
  <si>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</si>
  <si>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</si>
  <si>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</si>
  <si>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</si>
  <si>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</si>
  <si>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</si>
  <si>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</si>
  <si>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</si>
  <si>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</si>
  <si>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</si>
  <si>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</si>
  <si>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</si>
  <si>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</si>
  <si>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</si>
  <si>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</si>
  <si>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</si>
  <si>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</si>
  <si>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</si>
  <si>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</si>
  <si>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</si>
  <si>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</si>
  <si>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</si>
  <si>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</si>
  <si>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</si>
  <si>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</si>
  <si>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</si>
  <si>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</si>
  <si>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</si>
  <si>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</si>
  <si>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</si>
  <si>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</si>
  <si>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</si>
  <si>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</si>
  <si>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</si>
  <si>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</si>
  <si>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</si>
  <si>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</si>
  <si>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</si>
  <si>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</si>
  <si>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</si>
  <si>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</si>
  <si>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</si>
  <si>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</si>
  <si>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</si>
  <si>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</si>
  <si>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</si>
  <si>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</si>
  <si>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</si>
  <si>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</si>
  <si>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</si>
  <si>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</si>
  <si>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</si>
  <si>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</si>
  <si>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</si>
  <si>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</si>
  <si>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</si>
  <si>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</si>
  <si>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</si>
  <si>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</si>
  <si>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</si>
  <si>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</si>
  <si>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</si>
  <si>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</si>
  <si>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</si>
  <si>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</si>
  <si>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</si>
  <si>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</si>
  <si>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</si>
  <si>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</si>
  <si>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</si>
  <si>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</si>
  <si>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</si>
  <si>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</si>
  <si>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</si>
  <si>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</si>
  <si>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</si>
  <si>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</si>
  <si>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</si>
  <si>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</si>
  <si>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</si>
  <si>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</si>
  <si>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</si>
  <si>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</si>
  <si>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</si>
  <si>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</si>
  <si>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</si>
  <si>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</si>
  <si>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</si>
  <si>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</si>
  <si>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</si>
  <si>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</si>
  <si>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</si>
  <si>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</si>
  <si>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</si>
  <si>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</si>
  <si>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</si>
  <si>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</si>
  <si>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</si>
  <si>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</si>
  <si>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</si>
  <si>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</si>
  <si>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</si>
  <si>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</si>
  <si>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</si>
  <si>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</si>
  <si>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</si>
  <si>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</si>
  <si>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</si>
  <si>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</si>
  <si>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</si>
  <si>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</si>
  <si>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</si>
  <si>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</si>
  <si>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</si>
  <si>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</si>
  <si>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</si>
  <si>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</si>
  <si>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</si>
  <si>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</si>
  <si>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</si>
  <si>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</si>
  <si>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</si>
  <si>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</si>
  <si>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</si>
  <si>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</si>
  <si>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</si>
  <si>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</si>
  <si>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</si>
  <si>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</si>
  <si>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</si>
  <si>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</si>
  <si>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</si>
  <si>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</si>
  <si>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</si>
  <si>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</si>
  <si>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</si>
  <si>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</si>
  <si>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</si>
  <si>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</si>
  <si>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</si>
  <si>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</si>
  <si>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</si>
  <si>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</si>
  <si>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</si>
  <si>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</si>
  <si>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</si>
  <si>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</si>
  <si>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</si>
  <si>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</si>
  <si>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</si>
  <si>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</si>
  <si>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</si>
  <si>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</si>
  <si>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</si>
  <si>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</si>
  <si>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</si>
  <si>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</si>
  <si>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</si>
  <si>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</si>
  <si>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</si>
  <si>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</si>
  <si>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</si>
  <si>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</si>
  <si>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</si>
  <si>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</si>
  <si>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</si>
  <si>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</si>
  <si>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</si>
  <si>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</si>
  <si>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</si>
  <si>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</si>
  <si>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</si>
  <si>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</si>
  <si>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</si>
  <si>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</si>
  <si>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</si>
  <si>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</si>
  <si>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</si>
  <si>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</si>
  <si>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</si>
  <si>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</si>
  <si>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</si>
  <si>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</si>
  <si>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</si>
  <si>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</si>
  <si>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</si>
  <si>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</si>
  <si>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</si>
  <si>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</si>
  <si>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</si>
  <si>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</si>
  <si>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</si>
  <si>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</si>
  <si>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</si>
  <si>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</si>
  <si>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</si>
  <si>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</si>
  <si>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</si>
  <si>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</si>
  <si>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</si>
  <si>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</si>
  <si>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</si>
  <si>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</si>
  <si>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</si>
  <si>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</si>
  <si>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</si>
  <si>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</si>
  <si>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</si>
  <si>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</si>
  <si>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</si>
  <si>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</si>
  <si>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</si>
  <si>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</si>
  <si>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</si>
  <si>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</si>
  <si>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</si>
  <si>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</si>
  <si>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</si>
  <si>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</si>
  <si>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</si>
  <si>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</si>
  <si>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</si>
  <si>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</si>
  <si>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</si>
  <si>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</si>
  <si>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</si>
  <si>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</si>
  <si>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</si>
  <si>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</si>
  <si>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</si>
  <si>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</si>
  <si>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</si>
  <si>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</si>
  <si>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</si>
  <si>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</si>
  <si>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</si>
  <si>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</si>
  <si>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</si>
  <si>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</si>
  <si>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</si>
  <si>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</si>
  <si>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</si>
  <si>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</si>
  <si>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</si>
  <si>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</si>
  <si>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</si>
  <si>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</si>
  <si>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</si>
  <si>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</si>
  <si>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</si>
  <si>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</si>
  <si>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</si>
  <si>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</si>
  <si>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</si>
  <si>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</si>
  <si>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</si>
  <si>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</si>
  <si>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</si>
  <si>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</si>
  <si>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</si>
  <si>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</si>
  <si>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</si>
  <si>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</si>
  <si>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</si>
  <si>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</si>
  <si>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</si>
  <si>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</si>
  <si>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</si>
  <si>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</si>
  <si>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</si>
  <si>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</si>
  <si>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</si>
  <si>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</si>
  <si>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</si>
  <si>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</si>
  <si>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</si>
  <si>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</si>
  <si>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</si>
  <si>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</si>
  <si>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</si>
  <si>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</si>
  <si>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</si>
  <si>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</si>
  <si>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</si>
  <si>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</si>
  <si>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</si>
  <si>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</si>
  <si>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</si>
  <si>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</si>
  <si>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</si>
  <si>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</si>
  <si>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</si>
  <si>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</si>
  <si>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</si>
  <si>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</si>
  <si>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</si>
  <si>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</si>
  <si>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</si>
  <si>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</si>
  <si>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</si>
  <si>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</si>
  <si>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</si>
  <si>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</si>
  <si>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</si>
  <si>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</si>
  <si>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</si>
  <si>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</si>
  <si>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</si>
  <si>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</si>
  <si>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</si>
  <si>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</si>
  <si>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</si>
  <si>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</si>
  <si>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</si>
  <si>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</si>
  <si>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</si>
  <si>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</si>
  <si>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</si>
  <si>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</si>
  <si>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</si>
  <si>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</si>
  <si>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</si>
  <si>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</si>
  <si>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</si>
  <si>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</si>
  <si>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</si>
  <si>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</si>
  <si>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</si>
  <si>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</si>
  <si>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</si>
  <si>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</si>
  <si>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</si>
  <si>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</si>
  <si>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</si>
  <si>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</si>
  <si>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</si>
  <si>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</si>
  <si>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</si>
  <si>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</si>
  <si>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</si>
  <si>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</si>
  <si>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</si>
  <si>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</si>
  <si>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</si>
  <si>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</si>
  <si>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</si>
  <si>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</si>
  <si>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</si>
  <si>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</si>
  <si>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</si>
  <si>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</si>
  <si>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</si>
  <si>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</si>
  <si>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</si>
  <si>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</si>
  <si>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</si>
  <si>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</si>
  <si>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</si>
  <si>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</si>
  <si>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</si>
  <si>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</si>
  <si>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</si>
  <si>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</si>
  <si>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</si>
  <si>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</si>
  <si>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</si>
  <si>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</si>
  <si>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</si>
  <si>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</si>
  <si>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</si>
  <si>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</si>
  <si>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</si>
  <si>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</si>
  <si>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</si>
  <si>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</si>
  <si>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</si>
  <si>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</si>
  <si>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</si>
  <si>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</si>
  <si>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</si>
  <si>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</si>
  <si>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</si>
  <si>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</si>
  <si>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</si>
  <si>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</si>
  <si>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</si>
  <si>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</si>
  <si>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</si>
  <si>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</si>
  <si>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</si>
  <si>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</si>
  <si>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</si>
  <si>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</si>
  <si>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</si>
  <si>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</si>
  <si>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</si>
  <si>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</si>
  <si>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</si>
  <si>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</si>
  <si>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</si>
  <si>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</si>
  <si>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</si>
  <si>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</si>
  <si>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</si>
  <si>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</si>
  <si>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</si>
  <si>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</si>
  <si>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</si>
  <si>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</si>
  <si>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</si>
  <si>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</si>
  <si>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</si>
  <si>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</si>
  <si>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</si>
  <si>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</si>
  <si>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</si>
  <si>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</si>
  <si>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</si>
  <si>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</si>
  <si>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</si>
  <si>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</si>
  <si>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</si>
  <si>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</si>
  <si>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</si>
  <si>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</si>
  <si>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</si>
  <si>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</si>
  <si>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</si>
  <si>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</si>
  <si>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</si>
  <si>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</si>
  <si>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</si>
  <si>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</si>
  <si>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</si>
  <si>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</si>
  <si>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</si>
  <si>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</si>
  <si>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</si>
  <si>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</si>
  <si>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</si>
  <si>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</si>
  <si>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</si>
  <si>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</si>
  <si>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</si>
  <si>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</si>
  <si>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</si>
  <si>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</si>
  <si>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</si>
  <si>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</si>
  <si>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</si>
  <si>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</si>
  <si>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</si>
  <si>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</si>
  <si>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</si>
  <si>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</si>
  <si>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</si>
  <si>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</si>
  <si>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</si>
  <si>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</si>
  <si>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</si>
  <si>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</si>
  <si>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</si>
  <si>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</si>
  <si>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</si>
  <si>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</si>
  <si>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</si>
  <si>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</si>
  <si>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</si>
  <si>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</si>
  <si>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</si>
  <si>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</si>
  <si>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</si>
  <si>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</si>
  <si>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</si>
  <si>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</si>
  <si>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</si>
  <si>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</si>
  <si>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</si>
  <si>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</si>
  <si>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</si>
  <si>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</si>
  <si>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</si>
  <si>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</si>
  <si>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</si>
  <si>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</si>
  <si>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</si>
  <si>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</si>
  <si>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</si>
  <si>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</si>
  <si>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</si>
  <si>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</si>
  <si>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</si>
  <si>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</si>
  <si>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</si>
  <si>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</si>
  <si>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</si>
  <si>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</si>
  <si>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</si>
  <si>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</si>
  <si>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</si>
  <si>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</si>
  <si>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</si>
  <si>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</si>
  <si>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</si>
  <si>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</si>
  <si>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</si>
  <si>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</si>
  <si>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</si>
  <si>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</si>
  <si>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</si>
  <si>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</si>
  <si>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</si>
  <si>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</si>
  <si>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</si>
  <si>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</si>
  <si>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</si>
  <si>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</si>
  <si>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</si>
  <si>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</si>
  <si>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</si>
  <si>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</si>
  <si>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</si>
  <si>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</si>
  <si>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</si>
  <si>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</si>
  <si>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</si>
  <si>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</si>
  <si>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</si>
  <si>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</si>
  <si>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</si>
  <si>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</si>
  <si>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</si>
  <si>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</si>
  <si>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</si>
  <si>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</si>
  <si>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</si>
  <si>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</si>
  <si>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</si>
  <si>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</si>
  <si>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</si>
  <si>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</si>
  <si>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</si>
  <si>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</si>
  <si>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</si>
  <si>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</si>
  <si>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</si>
  <si>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</si>
  <si>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</si>
  <si>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</si>
  <si>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</si>
  <si>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</si>
  <si>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</si>
  <si>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</si>
  <si>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</si>
  <si>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</si>
  <si>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</si>
  <si>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</si>
  <si>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</si>
  <si>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</si>
  <si>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</si>
  <si>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</si>
  <si>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</si>
  <si>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</si>
  <si>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</si>
  <si>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</si>
  <si>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</si>
  <si>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</si>
  <si>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</si>
  <si>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</si>
  <si>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</si>
  <si>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</si>
  <si>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</si>
  <si>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</si>
  <si>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</si>
  <si>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</si>
  <si>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</si>
  <si>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</si>
  <si>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</si>
  <si>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</si>
  <si>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</si>
  <si>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</si>
  <si>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</si>
  <si>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</si>
  <si>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</si>
  <si>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</si>
  <si>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</si>
  <si>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</si>
  <si>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</si>
  <si>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</si>
  <si>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</si>
  <si>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</si>
  <si>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</si>
  <si>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</si>
  <si>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</si>
  <si>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</si>
  <si>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</si>
  <si>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</si>
  <si>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</si>
  <si>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</si>
  <si>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</si>
  <si>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</si>
  <si>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</si>
  <si>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</si>
  <si>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</si>
  <si>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</si>
  <si>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</si>
  <si>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</si>
  <si>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</si>
  <si>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</si>
  <si>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</si>
  <si>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</si>
  <si>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</si>
  <si>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</si>
  <si>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</si>
  <si>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</si>
  <si>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</si>
  <si>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</si>
  <si>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</si>
  <si>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</si>
  <si>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</si>
  <si>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</si>
  <si>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</si>
  <si>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</si>
  <si>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</si>
  <si>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</si>
  <si>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</si>
  <si>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</si>
  <si>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</si>
  <si>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</si>
  <si>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</si>
  <si>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</si>
  <si>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</si>
  <si>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</si>
  <si>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</si>
  <si>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</si>
  <si>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</si>
  <si>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</si>
  <si>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</si>
  <si>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</si>
  <si>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</si>
  <si>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</si>
  <si>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</si>
  <si>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</si>
  <si>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</si>
  <si>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</si>
  <si>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</si>
  <si>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</si>
  <si>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</si>
  <si>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</si>
  <si>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</si>
  <si>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</si>
  <si>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</si>
  <si>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</si>
  <si>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</si>
  <si>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</si>
  <si>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</si>
  <si>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</si>
  <si>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</si>
  <si>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</si>
  <si>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</si>
  <si>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</si>
  <si>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</si>
  <si>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</si>
  <si>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</si>
  <si>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</si>
  <si>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</si>
  <si>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</si>
  <si>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</si>
  <si>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</si>
  <si>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</si>
  <si>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</si>
  <si>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</si>
  <si>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</si>
  <si>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</si>
  <si>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</si>
  <si>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</si>
  <si>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</si>
  <si>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</si>
  <si>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</si>
  <si>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</si>
  <si>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</si>
  <si>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</si>
  <si>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</si>
  <si>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</si>
  <si>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</si>
  <si>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</si>
  <si>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</si>
  <si>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</si>
  <si>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</si>
  <si>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</si>
  <si>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</si>
  <si>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</si>
  <si>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</si>
  <si>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</si>
  <si>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</si>
  <si>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</si>
  <si>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</si>
  <si>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</si>
  <si>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</si>
  <si>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</si>
  <si>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</si>
  <si>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</si>
  <si>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</si>
  <si>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</si>
  <si>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</si>
  <si>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</si>
  <si>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</si>
  <si>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</si>
  <si>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</si>
  <si>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</si>
  <si>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</si>
  <si>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</si>
  <si>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</si>
  <si>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</si>
  <si>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</si>
  <si>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</si>
  <si>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</si>
  <si>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</si>
  <si>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</si>
  <si>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</si>
  <si>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</si>
  <si>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</si>
  <si>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</si>
  <si>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</si>
  <si>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</si>
  <si>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</si>
  <si>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</si>
  <si>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</si>
  <si>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</si>
  <si>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</si>
  <si>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</si>
  <si>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</si>
  <si>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</si>
  <si>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</si>
  <si>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</si>
  <si>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</si>
  <si>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</si>
  <si>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</si>
  <si>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</si>
  <si>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</si>
  <si>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</si>
  <si>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</si>
  <si>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</si>
  <si>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</si>
  <si>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</si>
  <si>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</si>
  <si>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</si>
  <si>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</si>
  <si>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</si>
  <si>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</si>
  <si>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</si>
  <si>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</si>
  <si>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</si>
  <si>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</si>
  <si>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</si>
  <si>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</si>
  <si>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</si>
  <si>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</si>
  <si>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</si>
  <si>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</si>
  <si>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</si>
  <si>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</si>
  <si>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</si>
  <si>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</si>
  <si>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</si>
  <si>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</si>
  <si>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</si>
  <si>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</si>
  <si>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</si>
  <si>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</si>
  <si>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</si>
  <si>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</si>
  <si>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</si>
  <si>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</si>
  <si>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</si>
  <si>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</si>
  <si>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</si>
  <si>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</si>
  <si>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</si>
  <si>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</si>
  <si>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</si>
  <si>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</si>
  <si>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</si>
  <si>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</si>
  <si>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</si>
  <si>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</si>
  <si>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</si>
  <si>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</si>
  <si>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</si>
  <si>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</si>
  <si>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</si>
  <si>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</si>
  <si>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</si>
  <si>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</si>
  <si>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</si>
  <si>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</si>
  <si>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</si>
  <si>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</si>
  <si>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</si>
  <si>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</si>
  <si>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</si>
  <si>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</si>
  <si>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</si>
  <si>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</si>
  <si>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</si>
  <si>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</si>
  <si>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</si>
  <si>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</si>
  <si>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</si>
  <si>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</si>
  <si>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</si>
  <si>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</si>
  <si>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</si>
  <si>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</si>
  <si>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</si>
  <si>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</si>
  <si>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</si>
  <si>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</si>
  <si>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</si>
  <si>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</si>
  <si>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</si>
  <si>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</si>
  <si>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</si>
  <si>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</si>
  <si>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</si>
  <si>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</si>
  <si>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</si>
  <si>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</si>
  <si>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</si>
  <si>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</si>
  <si>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</si>
  <si>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</si>
  <si>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</si>
  <si>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</si>
  <si>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</si>
  <si>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</si>
  <si>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</si>
  <si>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</si>
  <si>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</si>
  <si>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</si>
  <si>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</si>
  <si>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</si>
  <si>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</si>
  <si>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</si>
  <si>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</si>
  <si>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</si>
  <si>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</si>
  <si>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</si>
  <si>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</si>
  <si>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</si>
  <si>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</si>
  <si>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</si>
  <si>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</si>
  <si>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</si>
  <si>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</si>
  <si>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</si>
  <si>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</si>
  <si>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</si>
  <si>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</si>
  <si>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</si>
  <si>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</si>
  <si>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</si>
  <si>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</si>
  <si>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</si>
  <si>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</si>
  <si>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</si>
  <si>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</si>
  <si>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</si>
  <si>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</si>
  <si>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</si>
  <si>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</si>
  <si>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</si>
  <si>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</si>
  <si>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</si>
  <si>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</si>
  <si>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</si>
  <si>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</si>
  <si>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</si>
  <si>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</si>
  <si>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</si>
  <si>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</si>
  <si>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</si>
  <si>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</si>
  <si>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</si>
  <si>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</si>
  <si>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</si>
  <si>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</si>
  <si>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</si>
  <si>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</si>
  <si>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</si>
  <si>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</si>
  <si>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</si>
  <si>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</si>
  <si>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</si>
  <si>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</si>
  <si>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</si>
  <si>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</si>
  <si>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</si>
  <si>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</si>
  <si>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</si>
  <si>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</si>
  <si>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</si>
  <si>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</si>
  <si>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</si>
  <si>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</si>
  <si>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</si>
  <si>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</si>
  <si>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</si>
  <si>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</si>
  <si>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</si>
  <si>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</si>
  <si>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</si>
  <si>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</si>
  <si>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</si>
  <si>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</si>
  <si>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</si>
  <si>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</si>
  <si>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</si>
  <si>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</si>
  <si>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</si>
  <si>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</si>
  <si>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</si>
  <si>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</si>
  <si>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</si>
  <si>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</si>
  <si>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</si>
  <si>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</si>
  <si>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</si>
  <si>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</si>
  <si>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</si>
  <si>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</si>
  <si>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</si>
  <si>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</si>
  <si>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</si>
  <si>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</si>
  <si>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</si>
  <si>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</si>
  <si>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</si>
  <si>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</si>
  <si>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</si>
  <si>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</si>
  <si>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</si>
  <si>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</si>
  <si>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</si>
  <si>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</si>
  <si>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</si>
  <si>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</si>
  <si>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</si>
  <si>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</si>
  <si>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</si>
  <si>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</si>
  <si>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</si>
  <si>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</si>
  <si>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</si>
  <si>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</si>
  <si>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</si>
  <si>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</si>
  <si>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</si>
  <si>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</si>
  <si>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</si>
  <si>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</si>
  <si>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</si>
  <si>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</si>
  <si>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</si>
  <si>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</si>
  <si>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</si>
  <si>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</si>
  <si>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</si>
  <si>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</si>
  <si>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</si>
  <si>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</si>
  <si>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</si>
  <si>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</si>
  <si>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</si>
  <si>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</si>
  <si>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</si>
  <si>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</si>
  <si>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</si>
  <si>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</si>
  <si>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</si>
  <si>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</si>
  <si>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</si>
  <si>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</si>
  <si>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</si>
  <si>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</si>
  <si>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</si>
  <si>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</si>
  <si>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</si>
  <si>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</si>
  <si>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</si>
  <si>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</si>
  <si>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</si>
  <si>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</si>
  <si>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</si>
  <si>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</si>
  <si>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</si>
  <si>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</si>
  <si>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</si>
  <si>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</si>
  <si>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</si>
  <si>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</si>
  <si>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</si>
  <si>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</si>
  <si>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</si>
  <si>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</si>
  <si>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</si>
  <si>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</si>
  <si>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</si>
  <si>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</si>
  <si>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</si>
  <si>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</si>
  <si>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</si>
  <si>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</si>
  <si>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</si>
  <si>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</si>
  <si>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</si>
  <si>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</si>
  <si>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</si>
  <si>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</si>
  <si>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</si>
  <si>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</si>
  <si>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</si>
  <si>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</si>
  <si>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</si>
  <si>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</si>
  <si>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</si>
  <si>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</si>
  <si>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</si>
  <si>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</si>
  <si>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</si>
  <si>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</si>
  <si>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</si>
  <si>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</si>
  <si>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</si>
  <si>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</si>
  <si>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</si>
  <si>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</si>
  <si>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</si>
  <si>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</si>
  <si>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</si>
  <si>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</si>
  <si>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</si>
  <si>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</si>
  <si>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</si>
  <si>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</si>
  <si>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</si>
  <si>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</si>
  <si>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</si>
  <si>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</si>
  <si>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</si>
  <si>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</si>
  <si>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</si>
  <si>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</si>
  <si>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</si>
  <si>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</si>
  <si>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</si>
  <si>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</si>
  <si>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</si>
  <si>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</si>
  <si>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</si>
  <si>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</si>
  <si>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</si>
  <si>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</si>
  <si>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</si>
  <si>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</si>
  <si>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</si>
  <si>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</si>
  <si>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</si>
  <si>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</si>
  <si>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</si>
  <si>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</si>
  <si>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</si>
  <si>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</si>
  <si>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</si>
  <si>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</si>
  <si>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</si>
  <si>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</si>
  <si>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</si>
  <si>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</si>
  <si>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</si>
  <si>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</si>
  <si>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</si>
  <si>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</si>
  <si>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</si>
  <si>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</si>
  <si>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</si>
  <si>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</si>
  <si>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</si>
  <si>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</si>
  <si>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</si>
  <si>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</si>
  <si>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</si>
  <si>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</si>
  <si>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</si>
  <si>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</si>
  <si>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</si>
  <si>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</si>
  <si>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</si>
  <si>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</si>
  <si>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</si>
  <si>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</si>
  <si>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</si>
  <si>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</si>
  <si>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</si>
  <si>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</si>
  <si>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</si>
  <si>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</si>
  <si>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</si>
  <si>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</si>
  <si>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</si>
  <si>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</si>
  <si>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</si>
  <si>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</si>
  <si>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</si>
  <si>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</si>
  <si>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</si>
  <si>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</si>
  <si>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</si>
  <si>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</si>
  <si>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</si>
  <si>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</si>
  <si>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</si>
  <si>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</si>
  <si>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</si>
  <si>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</si>
  <si>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</si>
  <si>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</si>
  <si>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</si>
  <si>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</si>
  <si>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</si>
  <si>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</si>
  <si>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</si>
  <si>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</si>
  <si>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</si>
  <si>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</si>
  <si>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</si>
  <si>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</si>
  <si>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</si>
  <si>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</si>
  <si>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</si>
  <si>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</si>
  <si>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</si>
  <si>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</si>
  <si>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</si>
  <si>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</si>
  <si>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</si>
  <si>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</si>
  <si>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</si>
  <si>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</si>
  <si>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</si>
  <si>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</si>
  <si>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</si>
  <si>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</si>
  <si>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</si>
  <si>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</si>
  <si>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</si>
  <si>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</si>
  <si>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</si>
  <si>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</si>
  <si>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</si>
  <si>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</si>
  <si>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</si>
  <si>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</si>
  <si>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</si>
  <si>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</si>
  <si>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</si>
  <si>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</si>
  <si>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</si>
  <si>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</si>
  <si>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</si>
  <si>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</si>
  <si>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</si>
  <si>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</si>
  <si>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</si>
  <si>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</si>
  <si>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</si>
  <si>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</si>
  <si>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</si>
  <si>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</si>
  <si>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</si>
  <si>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</si>
  <si>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</si>
  <si>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</si>
  <si>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</si>
  <si>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</si>
  <si>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</si>
  <si>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</si>
  <si>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</si>
  <si>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</si>
  <si>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</si>
  <si>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</si>
  <si>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</si>
  <si>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</si>
  <si>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</si>
  <si>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</si>
  <si>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</si>
  <si>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</si>
  <si>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</si>
  <si>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</si>
  <si>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</si>
  <si>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</si>
  <si>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</si>
  <si>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</si>
  <si>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</si>
  <si>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</si>
  <si>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</si>
  <si>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</si>
  <si>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</si>
  <si>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</si>
  <si>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</si>
  <si>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</si>
  <si>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</si>
  <si>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</si>
  <si>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</si>
  <si>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</si>
  <si>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</si>
  <si>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</si>
  <si>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</si>
  <si>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</si>
  <si>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</si>
  <si>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</si>
  <si>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</si>
  <si>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</si>
  <si>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</si>
  <si>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</si>
  <si>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</si>
  <si>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</si>
  <si>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</si>
  <si>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</si>
  <si>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</si>
  <si>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</si>
  <si>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</si>
  <si>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</si>
  <si>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</si>
  <si>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</si>
  <si>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</si>
  <si>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</si>
  <si>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</si>
  <si>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</si>
  <si>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</si>
  <si>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</si>
  <si>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</si>
  <si>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</si>
  <si>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</si>
  <si>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</si>
  <si>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</si>
  <si>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</si>
  <si>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</si>
  <si>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</si>
  <si>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</si>
  <si>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</si>
  <si>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</si>
  <si>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</si>
  <si>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</si>
  <si>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</si>
  <si>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</si>
  <si>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</si>
  <si>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</si>
  <si>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</si>
  <si>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</si>
  <si>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</si>
  <si>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</si>
  <si>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</si>
  <si>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</si>
  <si>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</si>
  <si>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</si>
  <si>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</si>
  <si>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</si>
  <si>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</si>
  <si>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</si>
  <si>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</si>
  <si>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</si>
  <si>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</si>
  <si>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</si>
  <si>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</si>
  <si>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</si>
  <si>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</si>
  <si>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</si>
  <si>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</si>
  <si>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</si>
  <si>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</si>
  <si>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</si>
  <si>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</si>
  <si>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</si>
  <si>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</si>
  <si>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</si>
  <si>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</si>
  <si>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</si>
  <si>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</si>
  <si>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</si>
  <si>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</si>
  <si>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</si>
  <si>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</si>
  <si>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</si>
  <si>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</si>
  <si>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</si>
  <si>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</si>
  <si>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</si>
  <si>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</si>
  <si>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</si>
  <si>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</si>
  <si>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</si>
  <si>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</si>
  <si>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</si>
  <si>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</si>
  <si>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</si>
  <si>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</si>
  <si>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</si>
  <si>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</si>
  <si>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</si>
  <si>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</si>
  <si>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</si>
  <si>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</si>
  <si>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</si>
  <si>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</si>
  <si>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</si>
  <si>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</si>
  <si>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</si>
  <si>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</si>
  <si>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</si>
  <si>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</si>
  <si>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</si>
  <si>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</si>
  <si>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</si>
  <si>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</si>
  <si>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</si>
  <si>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</si>
  <si>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</si>
  <si>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</si>
  <si>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</si>
  <si>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</si>
  <si>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</si>
  <si>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</si>
  <si>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</si>
  <si>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</si>
  <si>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</si>
  <si>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</si>
  <si>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</si>
  <si>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</si>
  <si>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</si>
  <si>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</si>
  <si>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</si>
  <si>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</si>
  <si>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</si>
  <si>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</si>
  <si>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</si>
  <si>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</si>
  <si>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</si>
  <si>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</si>
  <si>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</si>
  <si>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</si>
  <si>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</si>
  <si>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</si>
  <si>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</si>
  <si>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</si>
  <si>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</si>
  <si>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</si>
  <si>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</si>
  <si>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</si>
  <si>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</si>
  <si>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</si>
  <si>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</si>
  <si>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</si>
  <si>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</si>
  <si>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</si>
  <si>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</si>
  <si>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</si>
  <si>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</si>
  <si>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</si>
  <si>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</si>
  <si>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</si>
  <si>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</si>
  <si>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</si>
  <si>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</si>
  <si>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</si>
  <si>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</si>
  <si>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</si>
  <si>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</si>
  <si>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</si>
  <si>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</si>
  <si>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</si>
  <si>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</si>
  <si>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</si>
  <si>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</si>
  <si>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</si>
  <si>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</si>
  <si>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</si>
  <si>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</si>
  <si>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</si>
  <si>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</si>
  <si>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</si>
  <si>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</si>
  <si>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</si>
  <si>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</si>
  <si>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</si>
  <si>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</si>
  <si>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</si>
  <si>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</si>
  <si>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</si>
  <si>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</si>
  <si>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</si>
  <si>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</si>
  <si>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</si>
  <si>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</si>
  <si>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</si>
  <si>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</si>
  <si>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</si>
  <si>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</si>
  <si>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</si>
  <si>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</si>
  <si>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</si>
  <si>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</si>
  <si>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</si>
  <si>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</si>
  <si>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</si>
  <si>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</si>
  <si>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</si>
  <si>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</si>
  <si>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</si>
  <si>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</si>
  <si>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</si>
  <si>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</si>
  <si>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</si>
  <si>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</si>
  <si>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</si>
  <si>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</si>
  <si>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</si>
  <si>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</si>
  <si>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</si>
  <si>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</si>
  <si>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</si>
  <si>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</si>
  <si>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</si>
  <si>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</si>
  <si>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</si>
  <si>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</si>
  <si>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</si>
  <si>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</si>
  <si>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</si>
  <si>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</si>
  <si>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</si>
  <si>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</si>
  <si>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</si>
  <si>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</si>
  <si>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</si>
  <si>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</si>
  <si>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</si>
  <si>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</si>
  <si>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</si>
  <si>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</si>
  <si>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</si>
  <si>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</si>
  <si>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</si>
  <si>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</si>
  <si>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</si>
  <si>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</si>
  <si>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</si>
  <si>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</si>
  <si>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</si>
  <si>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</si>
  <si>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</si>
  <si>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</si>
  <si>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</si>
  <si>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</si>
  <si>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</si>
  <si>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</si>
  <si>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</si>
  <si>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</si>
  <si>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</si>
  <si>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</si>
  <si>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</si>
  <si>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</si>
  <si>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</si>
  <si>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</si>
  <si>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</si>
  <si>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</si>
  <si>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</si>
  <si>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</si>
  <si>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</si>
  <si>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</si>
  <si>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</si>
  <si>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</si>
  <si>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</si>
  <si>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</si>
  <si>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</si>
  <si>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</si>
  <si>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</si>
  <si>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</si>
  <si>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</si>
  <si>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</si>
  <si>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</si>
  <si>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</si>
  <si>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</si>
  <si>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</si>
  <si>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</si>
  <si>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</si>
  <si>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</si>
  <si>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</si>
  <si>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</si>
  <si>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</si>
  <si>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</si>
  <si>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</si>
  <si>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</si>
  <si>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</si>
  <si>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</si>
  <si>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</si>
  <si>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</si>
  <si>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</si>
  <si>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</si>
  <si>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</si>
  <si>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</si>
  <si>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</si>
  <si>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</si>
  <si>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</si>
  <si>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</si>
  <si>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</si>
  <si>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</si>
  <si>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</si>
  <si>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</si>
  <si>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</si>
  <si>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</si>
  <si>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</si>
  <si>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</si>
  <si>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</si>
  <si>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</si>
  <si>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</si>
  <si>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</si>
  <si>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</si>
  <si>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</si>
  <si>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</si>
  <si>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</si>
  <si>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</si>
  <si>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</si>
  <si>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</si>
  <si>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</si>
  <si>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</si>
  <si>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</si>
  <si>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</si>
  <si>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</si>
  <si>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</si>
  <si>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</si>
  <si>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</si>
  <si>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</si>
  <si>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</si>
  <si>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</si>
  <si>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</si>
  <si>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</si>
  <si>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</si>
  <si>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</si>
  <si>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</si>
  <si>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</si>
  <si>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</si>
  <si>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</si>
  <si>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</si>
  <si>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</si>
  <si>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</si>
  <si>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</si>
  <si>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</si>
  <si>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</si>
  <si>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</si>
  <si>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</si>
  <si>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</si>
  <si>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</si>
  <si>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</si>
  <si>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</si>
  <si>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</si>
  <si>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</si>
  <si>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</si>
  <si>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</si>
  <si>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</si>
  <si>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</si>
  <si>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</si>
  <si>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</si>
  <si>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</si>
  <si>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</si>
  <si>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</si>
  <si>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</si>
  <si>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</si>
  <si>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</si>
  <si>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</si>
  <si>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</si>
  <si>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</si>
  <si>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</si>
  <si>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</si>
  <si>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</si>
  <si>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</si>
  <si>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</si>
  <si>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</si>
  <si>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</si>
  <si>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</si>
  <si>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</si>
  <si>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</si>
  <si>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</si>
  <si>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</si>
  <si>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</si>
  <si>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</si>
  <si>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</si>
  <si>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</si>
  <si>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</si>
  <si>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</si>
  <si>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</si>
  <si>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</si>
  <si>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</si>
  <si>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</si>
  <si>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</si>
  <si>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</si>
  <si>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</si>
  <si>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</si>
  <si>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</si>
  <si>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</si>
  <si>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</si>
  <si>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</si>
  <si>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</si>
  <si>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</si>
  <si>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</si>
  <si>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</si>
  <si>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</si>
  <si>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</si>
  <si>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</si>
  <si>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</si>
  <si>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</si>
  <si>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</si>
  <si>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</si>
  <si>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</si>
  <si>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</si>
  <si>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</si>
  <si>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</si>
  <si>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</si>
  <si>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</si>
  <si>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</si>
  <si>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</si>
  <si>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</si>
  <si>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</si>
  <si>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</si>
  <si>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</si>
  <si>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</si>
  <si>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</si>
  <si>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</si>
  <si>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</si>
  <si>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</si>
  <si>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</si>
  <si>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</si>
  <si>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</si>
  <si>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</si>
  <si>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</si>
  <si>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</si>
  <si>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</si>
  <si>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</si>
  <si>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</si>
  <si>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</si>
  <si>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</si>
  <si>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</si>
  <si>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</si>
  <si>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</si>
  <si>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</si>
  <si>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</si>
  <si>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</si>
  <si>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</si>
  <si>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</si>
  <si>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</si>
  <si>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</si>
  <si>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</si>
  <si>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</si>
  <si>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</si>
  <si>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</si>
  <si>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</si>
  <si>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</si>
  <si>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</si>
  <si>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</si>
  <si>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</si>
  <si>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</si>
  <si>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</si>
  <si>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</si>
  <si>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</si>
  <si>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</si>
  <si>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</si>
  <si>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</si>
  <si>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</si>
  <si>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</si>
  <si>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</si>
  <si>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</si>
  <si>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</si>
  <si>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</si>
  <si>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</si>
  <si>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</si>
  <si>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</si>
  <si>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</si>
  <si>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</si>
  <si>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</si>
  <si>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</si>
  <si>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</si>
  <si>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</si>
  <si>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</si>
  <si>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</si>
  <si>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</si>
  <si>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</si>
  <si>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</si>
  <si>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</si>
  <si>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</si>
  <si>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</si>
  <si>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</si>
  <si>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</si>
  <si>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</si>
  <si>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</si>
  <si>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</si>
  <si>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</si>
  <si>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</si>
  <si>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</si>
  <si>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</si>
  <si>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</si>
  <si>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</si>
  <si>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</si>
  <si>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</si>
  <si>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</si>
  <si>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</si>
  <si>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</si>
  <si>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</si>
  <si>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</si>
  <si>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</si>
  <si>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</si>
  <si>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</si>
  <si>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</si>
  <si>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</si>
  <si>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</si>
  <si>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</si>
  <si>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</si>
  <si>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</si>
  <si>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</si>
  <si>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</si>
  <si>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</si>
  <si>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</si>
  <si>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</si>
  <si>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</si>
  <si>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</si>
  <si>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</si>
  <si>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</si>
  <si>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</si>
  <si>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</si>
  <si>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</si>
  <si>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</si>
  <si>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</si>
  <si>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</si>
  <si>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</si>
  <si>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</si>
  <si>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</si>
  <si>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</si>
  <si>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</si>
  <si>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</si>
  <si>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</si>
  <si>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</si>
  <si>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</si>
  <si>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</si>
  <si>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</si>
  <si>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</si>
  <si>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</si>
  <si>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</si>
  <si>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</si>
  <si>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</si>
  <si>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</si>
  <si>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</si>
  <si>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</si>
  <si>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</si>
  <si>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</si>
  <si>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</si>
  <si>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</si>
  <si>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</si>
  <si>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</si>
  <si>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</si>
  <si>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</si>
  <si>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</si>
  <si>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</si>
  <si>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</si>
  <si>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</si>
  <si>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</si>
  <si>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</si>
  <si>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</si>
  <si>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</si>
  <si>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</si>
  <si>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</si>
  <si>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</si>
  <si>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</si>
  <si>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</si>
  <si>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</si>
  <si>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</si>
  <si>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</si>
  <si>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</si>
  <si>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</si>
  <si>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</si>
  <si>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</si>
  <si>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</si>
  <si>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</si>
  <si>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</si>
  <si>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</si>
  <si>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</si>
  <si>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</si>
  <si>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</si>
  <si>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</si>
  <si>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</si>
  <si>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</si>
  <si>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</si>
  <si>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</si>
  <si>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</si>
  <si>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</si>
  <si>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</si>
  <si>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</si>
  <si>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</si>
  <si>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</si>
  <si>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</si>
  <si>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</si>
  <si>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</si>
  <si>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</si>
  <si>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</si>
  <si>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</si>
  <si>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</si>
  <si>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</si>
  <si>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</si>
  <si>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</si>
  <si>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</si>
  <si>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</si>
  <si>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</si>
  <si>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</si>
  <si>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</si>
  <si>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</si>
  <si>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</si>
  <si>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</si>
  <si>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</si>
  <si>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</si>
  <si>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</si>
  <si>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</si>
  <si>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</si>
  <si>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</si>
  <si>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</si>
  <si>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</si>
  <si>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</si>
  <si>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</si>
  <si>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</si>
  <si>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</si>
  <si>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</si>
  <si>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</si>
  <si>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</si>
  <si>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</si>
  <si>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</si>
  <si>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</si>
  <si>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</si>
  <si>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</si>
  <si>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</si>
  <si>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</si>
  <si>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</si>
  <si>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</si>
  <si>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</si>
  <si>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</si>
  <si>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</si>
  <si>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</si>
  <si>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</si>
  <si>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</si>
  <si>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</si>
  <si>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</si>
  <si>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</si>
  <si>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</si>
  <si>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</si>
  <si>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</si>
  <si>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</si>
  <si>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</si>
  <si>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</si>
  <si>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</si>
  <si>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</si>
  <si>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</si>
  <si>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</si>
  <si>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</si>
  <si>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</si>
  <si>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</si>
  <si>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</si>
  <si>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</si>
  <si>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</si>
  <si>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</si>
  <si>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</si>
  <si>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</si>
  <si>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</si>
  <si>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</si>
  <si>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</si>
  <si>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</si>
  <si>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</si>
  <si>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</si>
  <si>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</si>
  <si>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</si>
  <si>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</si>
  <si>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</si>
  <si>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</si>
  <si>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</si>
  <si>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</si>
  <si>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</si>
  <si>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</si>
  <si>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</si>
  <si>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</si>
  <si>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</si>
  <si>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</si>
  <si>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</si>
  <si>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</si>
  <si>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</si>
  <si>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</si>
  <si>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</si>
  <si>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</si>
  <si>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</si>
  <si>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</si>
  <si>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</si>
  <si>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</si>
  <si>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</si>
  <si>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</si>
  <si>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</si>
  <si>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</si>
  <si>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</si>
  <si>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</si>
  <si>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</si>
  <si>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</si>
  <si>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</si>
  <si>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</si>
  <si>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</si>
  <si>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</si>
  <si>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</si>
  <si>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</si>
  <si>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</si>
  <si>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</si>
  <si>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</si>
  <si>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</si>
  <si>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</si>
  <si>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</si>
  <si>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</si>
  <si>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</si>
  <si>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</si>
  <si>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</si>
  <si>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</si>
  <si>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</si>
  <si>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</si>
  <si>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</si>
  <si>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</si>
  <si>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</si>
  <si>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</si>
  <si>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</si>
  <si>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</si>
  <si>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</si>
  <si>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</si>
  <si>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</si>
  <si>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</si>
  <si>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</si>
  <si>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</si>
  <si>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</si>
  <si>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</si>
  <si>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</si>
  <si>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</si>
  <si>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</si>
  <si>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</si>
  <si>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</si>
  <si>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</si>
  <si>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</si>
  <si>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</si>
  <si>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</si>
  <si>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</si>
  <si>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</si>
  <si>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</si>
  <si>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</si>
  <si>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</si>
  <si>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</si>
  <si>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</si>
  <si>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</si>
  <si>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</si>
  <si>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</si>
  <si>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</si>
  <si>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</si>
  <si>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</si>
  <si>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</si>
  <si>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</si>
  <si>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</si>
  <si>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</si>
  <si>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</si>
  <si>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</si>
  <si>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</si>
  <si>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</si>
  <si>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</si>
  <si>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</si>
  <si>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</si>
  <si>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</si>
  <si>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</si>
  <si>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</si>
  <si>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</si>
  <si>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</si>
  <si>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</si>
  <si>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</si>
  <si>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</si>
  <si>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</si>
  <si>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</si>
  <si>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</si>
  <si>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</si>
  <si>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</si>
  <si>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</si>
  <si>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</si>
  <si>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</si>
  <si>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</si>
  <si>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</si>
  <si>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</si>
  <si>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</si>
  <si>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</si>
  <si>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</si>
  <si>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</si>
  <si>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</si>
  <si>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</si>
  <si>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</si>
  <si>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</si>
  <si>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</si>
  <si>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</si>
  <si>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</si>
  <si>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</si>
  <si>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</si>
  <si>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</si>
  <si>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</si>
  <si>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</si>
  <si>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</si>
  <si>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</si>
  <si>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</si>
  <si>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</si>
  <si>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</si>
  <si>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</si>
  <si>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</si>
  <si>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</si>
  <si>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</si>
  <si>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</si>
  <si>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</si>
  <si>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</si>
  <si>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</si>
  <si>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</si>
  <si>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</si>
  <si>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</si>
  <si>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</si>
  <si>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</si>
  <si>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</si>
  <si>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</si>
  <si>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</si>
  <si>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</si>
  <si>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</si>
  <si>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</si>
  <si>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</si>
  <si>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</si>
  <si>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</si>
  <si>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</si>
  <si>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</si>
  <si>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</si>
  <si>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</si>
  <si>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</si>
  <si>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</si>
  <si>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</si>
  <si>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</si>
  <si>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</si>
  <si>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</si>
  <si>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</si>
  <si>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</si>
  <si>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</si>
  <si>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</si>
  <si>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</si>
  <si>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</si>
  <si>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</si>
  <si>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</si>
  <si>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</si>
  <si>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</si>
  <si>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</si>
  <si>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</si>
  <si>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</si>
  <si>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</si>
  <si>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</si>
  <si>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</si>
  <si>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</si>
  <si>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</si>
  <si>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</si>
  <si>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</si>
  <si>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</si>
  <si>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</si>
  <si>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</si>
  <si>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</si>
  <si>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</si>
  <si>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</si>
  <si>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</si>
  <si>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</si>
  <si>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</si>
  <si>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</si>
  <si>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</si>
  <si>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</si>
  <si>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</si>
  <si>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</si>
  <si>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</si>
  <si>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</si>
  <si>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</si>
  <si>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</si>
  <si>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</si>
  <si>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</si>
  <si>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</si>
  <si>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</si>
  <si>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</si>
  <si>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</si>
  <si>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</si>
  <si>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</si>
  <si>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</si>
  <si>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</si>
  <si>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</si>
  <si>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</si>
  <si>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</si>
  <si>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</si>
  <si>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</si>
  <si>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</si>
  <si>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</si>
  <si>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</si>
  <si>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</si>
  <si>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</si>
  <si>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</si>
  <si>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</si>
  <si>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</si>
  <si>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</si>
  <si>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</si>
  <si>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</si>
  <si>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</si>
  <si>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</si>
  <si>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</si>
  <si>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</si>
  <si>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</si>
  <si>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</si>
  <si>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</si>
  <si>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</si>
  <si>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</si>
  <si>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</si>
  <si>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</si>
  <si>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</si>
  <si>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</si>
  <si>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</si>
  <si>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</si>
  <si>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</si>
  <si>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</si>
  <si>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</si>
  <si>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</si>
  <si>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</si>
  <si>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</si>
  <si>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</si>
  <si>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</si>
  <si>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</si>
  <si>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</si>
  <si>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</si>
  <si>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</si>
  <si>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</si>
  <si>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</si>
  <si>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</si>
  <si>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</si>
  <si>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</si>
  <si>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</si>
  <si>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</si>
  <si>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</si>
  <si>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</si>
  <si>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</si>
  <si>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</si>
  <si>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</si>
  <si>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</si>
  <si>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</si>
  <si>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</si>
  <si>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</si>
  <si>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</si>
  <si>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</si>
  <si>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</si>
  <si>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</si>
  <si>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</si>
  <si>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</si>
  <si>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</si>
  <si>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</si>
  <si>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</si>
  <si>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</si>
  <si>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</si>
  <si>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</si>
  <si>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</si>
  <si>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</si>
  <si>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</si>
  <si>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</si>
  <si>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</si>
  <si>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</si>
  <si>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</si>
  <si>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</si>
  <si>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</si>
  <si>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</si>
  <si>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</si>
  <si>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</si>
  <si>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</si>
  <si>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</si>
  <si>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</si>
  <si>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</si>
  <si>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</si>
  <si>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</si>
  <si>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</si>
  <si>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</si>
  <si>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</si>
  <si>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</si>
  <si>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</si>
  <si>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</si>
  <si>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</si>
  <si>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</si>
  <si>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</si>
  <si>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</si>
  <si>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</si>
  <si>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</si>
  <si>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</si>
  <si>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</si>
  <si>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</si>
  <si>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</si>
  <si>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</si>
  <si>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</si>
  <si>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</si>
  <si>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</si>
  <si>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</si>
  <si>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</si>
  <si>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</si>
  <si>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</si>
  <si>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</si>
  <si>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</si>
  <si>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</si>
  <si>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</si>
  <si>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</si>
  <si>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</si>
  <si>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</si>
  <si>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</si>
  <si>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</si>
  <si>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</si>
  <si>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</si>
  <si>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</si>
  <si>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</si>
  <si>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</si>
  <si>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</si>
  <si>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</si>
  <si>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</si>
  <si>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</si>
  <si>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</si>
  <si>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</si>
  <si>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</si>
  <si>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</si>
  <si>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</si>
  <si>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</si>
  <si>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</si>
  <si>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</si>
  <si>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</si>
  <si>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</si>
  <si>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</si>
  <si>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</si>
  <si>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</si>
  <si>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</si>
  <si>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</si>
  <si>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</si>
  <si>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</si>
  <si>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</si>
  <si>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</si>
  <si>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</si>
  <si>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</si>
  <si>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</si>
  <si>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</si>
  <si>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</si>
  <si>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</si>
  <si>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</si>
  <si>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</si>
  <si>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</si>
  <si>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</si>
  <si>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</si>
  <si>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</si>
  <si>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</si>
  <si>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</si>
  <si>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</si>
  <si>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</si>
  <si>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</si>
  <si>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</si>
  <si>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</si>
  <si>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</si>
  <si>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</si>
  <si>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</si>
  <si>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</si>
  <si>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</si>
  <si>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</si>
  <si>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</si>
  <si>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</si>
  <si>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</si>
  <si>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</si>
  <si>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</si>
  <si>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</si>
  <si>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</si>
  <si>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</si>
  <si>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</si>
  <si>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</si>
  <si>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</si>
  <si>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</si>
  <si>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</si>
  <si>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</si>
  <si>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</si>
  <si>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</si>
  <si>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</si>
  <si>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</si>
  <si>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</si>
  <si>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</si>
  <si>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</si>
  <si>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</si>
  <si>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</si>
  <si>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</si>
  <si>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</si>
  <si>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</si>
  <si>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</si>
  <si>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</si>
  <si>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</si>
  <si>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</si>
  <si>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</si>
  <si>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</si>
  <si>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</si>
  <si>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</si>
  <si>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</si>
  <si>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</si>
  <si>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</si>
  <si>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</si>
  <si>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</si>
  <si>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</si>
  <si>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</si>
  <si>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</si>
  <si>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</si>
  <si>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</si>
  <si>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</si>
  <si>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</si>
  <si>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</si>
  <si>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</si>
  <si>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</si>
  <si>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</si>
  <si>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</si>
  <si>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</si>
  <si>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</si>
  <si>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</si>
  <si>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</si>
  <si>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</si>
  <si>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</si>
  <si>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</si>
  <si>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</si>
  <si>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</si>
  <si>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</si>
  <si>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</si>
  <si>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</si>
  <si>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</si>
  <si>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</si>
  <si>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</si>
  <si>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</si>
  <si>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</si>
  <si>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</si>
  <si>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</si>
  <si>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</si>
  <si>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</si>
  <si>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</si>
  <si>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</si>
  <si>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</si>
  <si>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</si>
  <si>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</si>
  <si>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</si>
  <si>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</si>
  <si>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</si>
  <si>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</si>
  <si>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</si>
  <si>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</si>
  <si>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</si>
  <si>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</si>
  <si>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</si>
  <si>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</si>
  <si>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</si>
  <si>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</si>
  <si>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</si>
  <si>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</si>
  <si>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</si>
  <si>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</si>
  <si>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</si>
  <si>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</si>
  <si>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</si>
  <si>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</si>
  <si>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</si>
  <si>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</si>
  <si>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</si>
  <si>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</si>
  <si>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</si>
  <si>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</si>
  <si>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</si>
  <si>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</si>
  <si>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</si>
  <si>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</si>
  <si>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</si>
  <si>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</si>
  <si>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</si>
  <si>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</si>
  <si>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</si>
  <si>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</si>
  <si>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</si>
  <si>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</si>
  <si>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</si>
  <si>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</si>
  <si>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</si>
  <si>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</si>
  <si>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</si>
  <si>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</si>
  <si>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</si>
  <si>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</si>
  <si>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</si>
  <si>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</si>
  <si>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</si>
  <si>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</si>
  <si>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</si>
  <si>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</si>
  <si>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</si>
  <si>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</si>
  <si>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</si>
  <si>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</si>
  <si>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</si>
  <si>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</si>
  <si>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</si>
  <si>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</si>
  <si>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</si>
  <si>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</si>
  <si>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</si>
  <si>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</si>
  <si>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</si>
  <si>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</si>
  <si>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</si>
  <si>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</si>
  <si>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</si>
  <si>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</si>
  <si>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</si>
  <si>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</si>
  <si>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</si>
  <si>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</si>
  <si>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</si>
  <si>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</si>
  <si>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</si>
  <si>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</si>
  <si>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</si>
  <si>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</si>
  <si>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</si>
  <si>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</si>
  <si>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</si>
  <si>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</si>
  <si>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</si>
  <si>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</si>
  <si>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</si>
  <si>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</si>
  <si>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</si>
  <si>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</si>
  <si>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</si>
  <si>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</si>
  <si>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</si>
  <si>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</si>
  <si>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</si>
  <si>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</si>
  <si>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</si>
  <si>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</si>
  <si>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</si>
  <si>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</si>
  <si>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</si>
  <si>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</si>
  <si>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</si>
  <si>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</si>
  <si>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</si>
  <si>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</si>
  <si>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</si>
  <si>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</si>
  <si>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</si>
  <si>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</si>
  <si>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</si>
  <si>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</si>
  <si>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</si>
  <si>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</si>
  <si>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</si>
  <si>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</si>
  <si>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</si>
  <si>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</si>
  <si>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</si>
  <si>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</si>
  <si>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</si>
  <si>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</si>
  <si>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</si>
  <si>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</si>
  <si>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</si>
  <si>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</si>
  <si>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</si>
  <si>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</si>
  <si>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</si>
  <si>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</si>
  <si>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</si>
  <si>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</si>
  <si>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</si>
  <si>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</si>
  <si>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</si>
  <si>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</si>
  <si>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</si>
  <si>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</si>
  <si>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</si>
  <si>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</si>
  <si>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</si>
  <si>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</si>
  <si>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</si>
  <si>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</si>
  <si>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</si>
  <si>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</si>
  <si>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</si>
  <si>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</si>
  <si>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</si>
  <si>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</si>
  <si>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</si>
  <si>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</si>
  <si>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</si>
  <si>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</si>
  <si>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</si>
  <si>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</si>
  <si>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</si>
  <si>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</si>
  <si>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</si>
  <si>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</si>
  <si>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</si>
  <si>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</si>
  <si>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</si>
  <si>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</si>
  <si>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</si>
  <si>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</si>
  <si>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</si>
  <si>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</si>
  <si>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</si>
  <si>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</si>
  <si>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</si>
  <si>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</si>
  <si>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</si>
  <si>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</si>
  <si>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</si>
  <si>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</si>
  <si>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</si>
  <si>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</si>
  <si>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</si>
  <si>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</si>
  <si>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</si>
  <si>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</si>
  <si>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</si>
  <si>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</si>
  <si>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</si>
  <si>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</si>
  <si>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</si>
  <si>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</si>
  <si>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</si>
  <si>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</si>
  <si>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</si>
  <si>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</si>
  <si>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</si>
  <si>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</si>
  <si>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</si>
  <si>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旅游&amp;机器人</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</si>
  <si>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</si>
  <si>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</si>
  <si>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</si>
  <si>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</si>
  <si>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</si>
  <si>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</si>
  <si>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</si>
  <si>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</si>
  <si>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</si>
  <si>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</si>
  <si>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</si>
  <si>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</si>
  <si>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</si>
  <si>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</si>
  <si>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</si>
  <si>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</si>
  <si>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</si>
  <si>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</si>
  <si>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</si>
  <si>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</si>
  <si>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</si>
  <si>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</si>
  <si>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</si>
  <si>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</si>
  <si>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</si>
  <si>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</si>
  <si>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</si>
  <si>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</si>
  <si>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</si>
  <si>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</si>
  <si>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</si>
  <si>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</si>
  <si>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</si>
  <si>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</si>
  <si>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</si>
  <si>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</si>
  <si>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</si>
  <si>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</si>
  <si>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</si>
  <si>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</si>
  <si>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</si>
  <si>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</si>
  <si>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</si>
  <si>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</si>
  <si>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</si>
  <si>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</si>
  <si>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</si>
  <si>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</si>
  <si>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</si>
  <si>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</si>
  <si>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</si>
  <si>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</si>
  <si>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</si>
  <si>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</si>
  <si>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</si>
  <si>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</si>
  <si>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</si>
  <si>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</si>
  <si>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</si>
  <si>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</si>
  <si>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</si>
  <si>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</si>
  <si>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</si>
  <si>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</si>
  <si>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</si>
  <si>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</si>
  <si>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</si>
  <si>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</si>
  <si>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</si>
  <si>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</si>
  <si>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</si>
  <si>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</si>
  <si>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</si>
  <si>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</si>
  <si>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</si>
  <si>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</si>
  <si>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</si>
  <si>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</si>
  <si>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</si>
  <si>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</si>
  <si>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</si>
  <si>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</si>
  <si>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</si>
  <si>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</si>
  <si>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</si>
  <si>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</si>
  <si>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</si>
  <si>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</si>
  <si>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</si>
  <si>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</si>
  <si>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</si>
  <si>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</si>
  <si>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</si>
  <si>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</si>
  <si>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</si>
  <si>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</si>
  <si>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</si>
  <si>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</si>
  <si>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</si>
  <si>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</si>
  <si>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</si>
  <si>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</si>
  <si>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</si>
  <si>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</si>
  <si>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</si>
  <si>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</si>
  <si>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</si>
  <si>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</si>
  <si>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</si>
  <si>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</si>
  <si>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</si>
  <si>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</si>
  <si>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</si>
  <si>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</si>
  <si>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</si>
  <si>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</si>
  <si>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</si>
  <si>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</si>
  <si>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</si>
  <si>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</si>
  <si>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</si>
  <si>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</si>
  <si>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</si>
  <si>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</si>
  <si>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</si>
  <si>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</si>
  <si>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</si>
  <si>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</si>
  <si>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</si>
  <si>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</si>
  <si>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</si>
  <si>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</si>
  <si>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</si>
  <si>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</si>
  <si>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</si>
  <si>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</si>
  <si>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</si>
  <si>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</si>
  <si>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</si>
  <si>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</si>
  <si>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</si>
  <si>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</si>
  <si>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</si>
  <si>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</si>
  <si>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</si>
  <si>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</si>
  <si>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</si>
  <si>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</si>
  <si>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</si>
  <si>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</si>
  <si>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</si>
  <si>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</si>
  <si>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</si>
  <si>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</si>
  <si>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</si>
  <si>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</si>
  <si>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</si>
  <si>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</si>
  <si>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</si>
  <si>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</si>
  <si>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</si>
  <si>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</si>
  <si>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</si>
  <si>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</si>
  <si>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</si>
  <si>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</si>
  <si>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</si>
  <si>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</si>
  <si>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</si>
  <si>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</si>
  <si>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</si>
  <si>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</si>
  <si>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</si>
  <si>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</si>
  <si>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</si>
  <si>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</si>
  <si>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</si>
  <si>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</si>
  <si>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</si>
  <si>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</si>
  <si>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</si>
  <si>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</si>
  <si>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</si>
  <si>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</si>
  <si>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</si>
  <si>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</si>
  <si>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</si>
  <si>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</si>
  <si>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</si>
  <si>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</si>
  <si>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</si>
  <si>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</si>
  <si>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</si>
  <si>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</si>
  <si>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</si>
  <si>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</si>
  <si>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</si>
  <si>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</si>
  <si>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</si>
  <si>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</si>
  <si>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</si>
  <si>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</si>
  <si>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</si>
  <si>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</si>
  <si>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</si>
  <si>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</si>
  <si>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</si>
  <si>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</si>
  <si>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</si>
  <si>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</si>
  <si>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</si>
  <si>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</si>
  <si>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</si>
  <si>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</si>
  <si>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</si>
  <si>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</si>
  <si>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</si>
  <si>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</si>
  <si>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</si>
  <si>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</si>
  <si>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</si>
  <si>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</si>
  <si>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</si>
  <si>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</si>
  <si>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</si>
  <si>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</si>
  <si>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</si>
  <si>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</si>
  <si>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</si>
  <si>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</si>
  <si>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</si>
  <si>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</si>
  <si>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</si>
  <si>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</si>
  <si>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</si>
  <si>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</si>
  <si>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</si>
  <si>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</si>
  <si>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</si>
  <si>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</si>
  <si>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</si>
  <si>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</si>
  <si>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</si>
  <si>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</si>
  <si>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</si>
  <si>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</si>
  <si>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</si>
  <si>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</si>
  <si>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</si>
  <si>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</si>
  <si>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</si>
  <si>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</si>
  <si>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</si>
  <si>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</si>
  <si>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</si>
  <si>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</si>
  <si>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</si>
  <si>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</si>
  <si>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</si>
  <si>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</si>
  <si>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</si>
  <si>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</si>
  <si>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</si>
  <si>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</si>
  <si>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</si>
  <si>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</si>
  <si>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</si>
  <si>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</si>
  <si>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</si>
  <si>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</si>
  <si>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</si>
  <si>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</si>
  <si>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</si>
  <si>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</si>
  <si>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</si>
  <si>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</si>
  <si>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</si>
  <si>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</si>
  <si>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</si>
  <si>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</si>
  <si>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</si>
  <si>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高位盘顶，分化分歧，华字辈无厘头</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</si>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</sst>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connections" Target="connection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1" t="s">
        <v>2145</v>
      </c>
      <c r="B1" s="21" t="s">
        <v>0</v>
      </c>
      <c r="C1" s="21" t="s">
        <v>2205</v>
      </c>
      <c r="D1" s="20" t="s">
        <v>2209</v>
      </c>
      <c r="E1" s="20" t="s">
        <v>2208</v>
      </c>
      <c r="F1" s="21" t="s">
        <v>2149</v>
      </c>
      <c r="G1" s="21" t="s">
        <v>2147</v>
      </c>
      <c r="H1" s="21" t="s">
        <v>2148</v>
      </c>
      <c r="I1" s="21" t="s">
        <v>2146</v>
      </c>
      <c r="J1" s="70" t="s">
        <v>26</v>
      </c>
      <c r="K1" s="71"/>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1"/>
      <c r="B2" s="55" t="s">
        <v>2302</v>
      </c>
      <c r="C2" s="23" t="s">
        <v>2306</v>
      </c>
      <c r="D2" s="65" t="s">
        <v>2210</v>
      </c>
      <c r="E2" s="23"/>
      <c r="F2" s="60" t="s">
        <v>2213</v>
      </c>
      <c r="G2" s="60" t="s">
        <v>2230</v>
      </c>
      <c r="H2" s="60" t="s">
        <v>2199</v>
      </c>
      <c r="I2" s="60" t="s">
        <v>2153</v>
      </c>
      <c r="J2" s="72" t="s">
        <v>2359</v>
      </c>
      <c r="K2" s="73"/>
      <c r="L2" s="55" t="s">
        <v>2216</v>
      </c>
      <c r="M2" s="55" t="s">
        <v>2346</v>
      </c>
      <c r="N2" s="55" t="s">
        <v>2347</v>
      </c>
      <c r="O2" s="55" t="s">
        <v>2348</v>
      </c>
      <c r="P2" s="55" t="s">
        <v>2352</v>
      </c>
      <c r="Q2" s="55" t="s">
        <v>2349</v>
      </c>
      <c r="R2" s="55" t="s">
        <v>2350</v>
      </c>
      <c r="S2" s="55" t="s">
        <v>2351</v>
      </c>
      <c r="T2" s="55" t="s">
        <v>2353</v>
      </c>
      <c r="U2" s="55" t="s">
        <v>2311</v>
      </c>
      <c r="V2" s="55" t="s">
        <v>2318</v>
      </c>
      <c r="W2" s="59" t="s">
        <v>2317</v>
      </c>
      <c r="X2" s="59" t="s">
        <v>2308</v>
      </c>
    </row>
    <row r="3" spans="1:24" ht="20.100000000000001" customHeight="1" x14ac:dyDescent="0.2">
      <c r="A3" s="61"/>
      <c r="B3" s="56"/>
      <c r="C3" s="23" t="s">
        <v>2206</v>
      </c>
      <c r="D3" s="66"/>
      <c r="E3" s="23"/>
      <c r="F3" s="60"/>
      <c r="G3" s="60"/>
      <c r="H3" s="60"/>
      <c r="I3" s="60"/>
      <c r="J3" s="74"/>
      <c r="K3" s="75"/>
      <c r="L3" s="57"/>
      <c r="M3" s="56"/>
      <c r="N3" s="56"/>
      <c r="O3" s="56"/>
      <c r="P3" s="56"/>
      <c r="Q3" s="56"/>
      <c r="R3" s="56"/>
      <c r="S3" s="56"/>
      <c r="T3" s="56"/>
      <c r="U3" s="56"/>
      <c r="V3" s="56"/>
      <c r="W3" s="59"/>
      <c r="X3" s="59"/>
    </row>
    <row r="4" spans="1:24" ht="20.100000000000001" customHeight="1" x14ac:dyDescent="0.2">
      <c r="A4" s="61"/>
      <c r="B4" s="56"/>
      <c r="C4" s="23" t="s">
        <v>2181</v>
      </c>
      <c r="D4" s="66"/>
      <c r="E4" s="23"/>
      <c r="F4" s="63"/>
      <c r="G4" s="60"/>
      <c r="H4" s="60"/>
      <c r="I4" s="60"/>
      <c r="J4" s="74"/>
      <c r="K4" s="75"/>
      <c r="L4" s="55" t="s">
        <v>2218</v>
      </c>
      <c r="M4" s="56"/>
      <c r="N4" s="56"/>
      <c r="O4" s="56"/>
      <c r="P4" s="56"/>
      <c r="Q4" s="56"/>
      <c r="R4" s="56"/>
      <c r="S4" s="56"/>
      <c r="T4" s="56"/>
      <c r="U4" s="56"/>
      <c r="V4" s="56"/>
      <c r="W4" s="59"/>
      <c r="X4" s="59"/>
    </row>
    <row r="5" spans="1:24" ht="20.100000000000001" customHeight="1" x14ac:dyDescent="0.2">
      <c r="A5" s="61"/>
      <c r="B5" s="56"/>
      <c r="C5" s="23" t="s">
        <v>2207</v>
      </c>
      <c r="D5" s="67"/>
      <c r="E5" s="23"/>
      <c r="F5" s="63"/>
      <c r="G5" s="60"/>
      <c r="H5" s="60"/>
      <c r="I5" s="60"/>
      <c r="J5" s="74"/>
      <c r="K5" s="75"/>
      <c r="L5" s="57"/>
      <c r="M5" s="56"/>
      <c r="N5" s="56"/>
      <c r="O5" s="56"/>
      <c r="P5" s="56"/>
      <c r="Q5" s="56"/>
      <c r="R5" s="56"/>
      <c r="S5" s="56"/>
      <c r="T5" s="56"/>
      <c r="U5" s="57"/>
      <c r="V5" s="57"/>
      <c r="W5" s="59"/>
      <c r="X5" s="59"/>
    </row>
    <row r="6" spans="1:24" ht="42.75" customHeight="1" x14ac:dyDescent="0.2">
      <c r="A6" s="61"/>
      <c r="B6" s="56"/>
      <c r="C6" s="23" t="s">
        <v>2204</v>
      </c>
      <c r="D6" s="23" t="s">
        <v>2307</v>
      </c>
      <c r="E6" s="23"/>
      <c r="F6" s="63"/>
      <c r="G6" s="60"/>
      <c r="H6" s="60"/>
      <c r="I6" s="60"/>
      <c r="J6" s="74"/>
      <c r="K6" s="75"/>
      <c r="L6" s="22" t="s">
        <v>2217</v>
      </c>
      <c r="M6" s="56"/>
      <c r="N6" s="56"/>
      <c r="O6" s="56"/>
      <c r="P6" s="56"/>
      <c r="Q6" s="56"/>
      <c r="R6" s="56"/>
      <c r="S6" s="56"/>
      <c r="T6" s="56"/>
      <c r="U6" s="22" t="s">
        <v>2313</v>
      </c>
      <c r="V6" s="22" t="s">
        <v>2321</v>
      </c>
      <c r="W6" s="26" t="s">
        <v>2319</v>
      </c>
      <c r="X6" s="59"/>
    </row>
    <row r="7" spans="1:24" ht="20.100000000000001" customHeight="1" x14ac:dyDescent="0.2">
      <c r="A7" s="61"/>
      <c r="B7" s="56"/>
      <c r="C7" s="23" t="s">
        <v>2203</v>
      </c>
      <c r="D7" s="65" t="s">
        <v>2211</v>
      </c>
      <c r="E7" s="23"/>
      <c r="F7" s="63"/>
      <c r="G7" s="60"/>
      <c r="H7" s="60"/>
      <c r="I7" s="60"/>
      <c r="J7" s="74"/>
      <c r="K7" s="75"/>
      <c r="L7" s="55" t="s">
        <v>2305</v>
      </c>
      <c r="M7" s="56"/>
      <c r="N7" s="56"/>
      <c r="O7" s="56"/>
      <c r="P7" s="56"/>
      <c r="Q7" s="56"/>
      <c r="R7" s="56"/>
      <c r="S7" s="56"/>
      <c r="T7" s="56"/>
      <c r="U7" s="22" t="s">
        <v>2312</v>
      </c>
      <c r="V7" s="55" t="s">
        <v>2322</v>
      </c>
      <c r="W7" s="55" t="s">
        <v>2320</v>
      </c>
      <c r="X7" s="59"/>
    </row>
    <row r="8" spans="1:24" ht="28.5" customHeight="1" x14ac:dyDescent="0.2">
      <c r="A8" s="61"/>
      <c r="B8" s="56"/>
      <c r="C8" s="23" t="s">
        <v>2182</v>
      </c>
      <c r="D8" s="66"/>
      <c r="E8" s="23"/>
      <c r="F8" s="59" t="s">
        <v>2214</v>
      </c>
      <c r="G8" s="59"/>
      <c r="H8" s="59" t="s">
        <v>2200</v>
      </c>
      <c r="I8" s="59" t="s">
        <v>2151</v>
      </c>
      <c r="J8" s="74"/>
      <c r="K8" s="75"/>
      <c r="L8" s="57"/>
      <c r="M8" s="56"/>
      <c r="N8" s="56"/>
      <c r="O8" s="56"/>
      <c r="P8" s="56"/>
      <c r="Q8" s="56"/>
      <c r="R8" s="56"/>
      <c r="S8" s="56"/>
      <c r="T8" s="56"/>
      <c r="U8" s="22" t="s">
        <v>2315</v>
      </c>
      <c r="V8" s="57"/>
      <c r="W8" s="57"/>
      <c r="X8" s="59"/>
    </row>
    <row r="9" spans="1:24" ht="20.100000000000001" customHeight="1" x14ac:dyDescent="0.2">
      <c r="A9" s="61"/>
      <c r="B9" s="57"/>
      <c r="C9" s="23" t="s">
        <v>2180</v>
      </c>
      <c r="D9" s="67"/>
      <c r="E9" s="23"/>
      <c r="F9" s="64"/>
      <c r="G9" s="59"/>
      <c r="H9" s="59"/>
      <c r="I9" s="59"/>
      <c r="J9" s="76"/>
      <c r="K9" s="77"/>
      <c r="L9" s="22" t="s">
        <v>2314</v>
      </c>
      <c r="M9" s="57"/>
      <c r="N9" s="57"/>
      <c r="O9" s="57"/>
      <c r="P9" s="57"/>
      <c r="Q9" s="57"/>
      <c r="R9" s="57"/>
      <c r="S9" s="57"/>
      <c r="T9" s="57"/>
      <c r="U9" s="22" t="s">
        <v>2316</v>
      </c>
      <c r="V9" s="22" t="s">
        <v>2293</v>
      </c>
      <c r="W9" s="26" t="s">
        <v>2317</v>
      </c>
      <c r="X9" s="59"/>
    </row>
    <row r="10" spans="1:24" ht="96.75" customHeight="1" x14ac:dyDescent="0.2">
      <c r="A10" s="61"/>
      <c r="B10" s="58" t="s">
        <v>2303</v>
      </c>
      <c r="C10" s="24" t="s">
        <v>2198</v>
      </c>
      <c r="D10" s="68" t="s">
        <v>2202</v>
      </c>
      <c r="E10" s="24"/>
      <c r="F10" s="58" t="s">
        <v>2215</v>
      </c>
      <c r="G10" s="58" t="s">
        <v>2150</v>
      </c>
      <c r="H10" s="58" t="s">
        <v>2201</v>
      </c>
      <c r="I10" s="58" t="s">
        <v>2152</v>
      </c>
      <c r="J10" s="78" t="s">
        <v>2358</v>
      </c>
      <c r="K10" s="25" t="s">
        <v>2309</v>
      </c>
      <c r="L10" s="58" t="s">
        <v>2331</v>
      </c>
      <c r="M10" s="58" t="s">
        <v>2360</v>
      </c>
      <c r="N10" s="58" t="s">
        <v>2361</v>
      </c>
      <c r="O10" s="58" t="s">
        <v>2354</v>
      </c>
      <c r="P10" s="58" t="s">
        <v>2355</v>
      </c>
      <c r="Q10" s="58" t="s">
        <v>2362</v>
      </c>
      <c r="R10" s="58" t="s">
        <v>2356</v>
      </c>
      <c r="S10" s="58" t="s">
        <v>2363</v>
      </c>
      <c r="T10" s="58" t="s">
        <v>2357</v>
      </c>
      <c r="U10" s="25" t="s">
        <v>2327</v>
      </c>
      <c r="V10" s="25" t="s">
        <v>2329</v>
      </c>
      <c r="W10" s="25" t="s">
        <v>2304</v>
      </c>
      <c r="X10" s="58" t="s">
        <v>2337</v>
      </c>
    </row>
    <row r="11" spans="1:24" ht="75.75" customHeight="1" x14ac:dyDescent="0.2">
      <c r="A11" s="61"/>
      <c r="B11" s="58"/>
      <c r="C11" s="24" t="s">
        <v>2197</v>
      </c>
      <c r="D11" s="69"/>
      <c r="E11" s="24"/>
      <c r="F11" s="62"/>
      <c r="G11" s="58"/>
      <c r="H11" s="58"/>
      <c r="I11" s="58"/>
      <c r="J11" s="79"/>
      <c r="K11" s="25" t="s">
        <v>2310</v>
      </c>
      <c r="L11" s="58"/>
      <c r="M11" s="58"/>
      <c r="N11" s="58"/>
      <c r="O11" s="58"/>
      <c r="P11" s="58"/>
      <c r="Q11" s="58"/>
      <c r="R11" s="58"/>
      <c r="S11" s="58"/>
      <c r="T11" s="58"/>
      <c r="U11" s="25" t="s">
        <v>2326</v>
      </c>
      <c r="V11" s="25" t="s">
        <v>2330</v>
      </c>
      <c r="W11" s="25" t="s">
        <v>2328</v>
      </c>
      <c r="X11" s="58"/>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56"/>
  <sheetViews>
    <sheetView tabSelected="1" zoomScaleNormal="100" workbookViewId="0">
      <pane xSplit="1" ySplit="1" topLeftCell="S55" activePane="bottomRight" state="frozen"/>
      <selection activeCell="G38" sqref="G38"/>
      <selection pane="topRight" activeCell="G38" sqref="G38"/>
      <selection pane="bottomLeft" activeCell="G38" sqref="G38"/>
      <selection pane="bottomRight" activeCell="Z56" sqref="Z56"/>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3958</v>
      </c>
      <c r="S43" s="12" t="s">
        <v>3959</v>
      </c>
      <c r="T43" s="13" t="s">
        <v>3960</v>
      </c>
      <c r="U43" s="32" t="s">
        <v>3961</v>
      </c>
      <c r="V43" s="13" t="s">
        <v>3962</v>
      </c>
      <c r="W43" s="6">
        <v>1</v>
      </c>
      <c r="X43" s="6">
        <v>1</v>
      </c>
      <c r="Y43" s="6">
        <v>1</v>
      </c>
      <c r="Z43" s="6" t="s">
        <v>3963</v>
      </c>
    </row>
    <row r="44" spans="1:26" ht="114" x14ac:dyDescent="0.2">
      <c r="A44" s="10">
        <v>45289</v>
      </c>
      <c r="B44" s="2">
        <v>2974</v>
      </c>
      <c r="C44" s="2">
        <v>900</v>
      </c>
      <c r="O44" s="2">
        <v>9.11</v>
      </c>
      <c r="P44" s="2">
        <v>5.08</v>
      </c>
      <c r="R44" s="6" t="s">
        <v>4031</v>
      </c>
      <c r="S44" s="12" t="s">
        <v>4032</v>
      </c>
      <c r="T44" s="13" t="s">
        <v>4033</v>
      </c>
      <c r="U44" s="32" t="s">
        <v>4035</v>
      </c>
      <c r="V44" s="13" t="s">
        <v>4036</v>
      </c>
      <c r="W44" s="6">
        <v>1</v>
      </c>
      <c r="X44" s="6">
        <v>1</v>
      </c>
      <c r="Y44" s="6">
        <v>1</v>
      </c>
      <c r="Z44" s="6" t="s">
        <v>4037</v>
      </c>
    </row>
    <row r="45" spans="1:26" ht="128.25" x14ac:dyDescent="0.2">
      <c r="A45" s="10">
        <v>45293</v>
      </c>
      <c r="B45" s="2">
        <v>2962</v>
      </c>
      <c r="C45" s="2">
        <v>904</v>
      </c>
      <c r="O45" s="2">
        <v>4.3099999999999996</v>
      </c>
      <c r="P45" s="2">
        <v>2.2000000000000002</v>
      </c>
      <c r="R45" s="6" t="s">
        <v>4942</v>
      </c>
      <c r="S45" s="12" t="s">
        <v>4943</v>
      </c>
      <c r="T45" s="13" t="s">
        <v>4944</v>
      </c>
      <c r="U45" s="32" t="s">
        <v>4945</v>
      </c>
      <c r="V45" s="13" t="s">
        <v>4946</v>
      </c>
      <c r="W45" s="6" t="s">
        <v>4947</v>
      </c>
      <c r="X45" s="6" t="s">
        <v>4948</v>
      </c>
      <c r="Y45" s="6" t="s">
        <v>4949</v>
      </c>
      <c r="Z45" s="6" t="s">
        <v>4950</v>
      </c>
    </row>
    <row r="46" spans="1:26" ht="114" x14ac:dyDescent="0.2">
      <c r="A46" s="10">
        <v>45294</v>
      </c>
      <c r="B46" s="2">
        <v>2967</v>
      </c>
      <c r="C46" s="2">
        <v>898</v>
      </c>
      <c r="O46" s="2">
        <v>1.23</v>
      </c>
      <c r="P46" s="2">
        <v>0.62</v>
      </c>
      <c r="R46" s="6" t="s">
        <v>5020</v>
      </c>
      <c r="S46" s="12" t="s">
        <v>5021</v>
      </c>
      <c r="T46" s="13" t="s">
        <v>5023</v>
      </c>
      <c r="U46" s="32" t="s">
        <v>5022</v>
      </c>
      <c r="V46" s="13" t="s">
        <v>5024</v>
      </c>
      <c r="W46" s="6" t="s">
        <v>5025</v>
      </c>
      <c r="X46" s="6">
        <v>1</v>
      </c>
      <c r="Y46" s="6" t="s">
        <v>5026</v>
      </c>
      <c r="Z46" s="6" t="s">
        <v>5027</v>
      </c>
    </row>
    <row r="47" spans="1:26" ht="114" x14ac:dyDescent="0.2">
      <c r="A47" s="10">
        <v>45295</v>
      </c>
      <c r="B47" s="2">
        <v>2954</v>
      </c>
      <c r="C47" s="2">
        <v>894</v>
      </c>
      <c r="O47" s="2">
        <v>2.17</v>
      </c>
      <c r="P47" s="2">
        <v>0.6</v>
      </c>
      <c r="R47" s="6" t="s">
        <v>5109</v>
      </c>
      <c r="S47" s="12" t="s">
        <v>5110</v>
      </c>
      <c r="T47" s="13" t="s">
        <v>5111</v>
      </c>
      <c r="U47" s="32" t="s">
        <v>5112</v>
      </c>
      <c r="V47" s="13" t="s">
        <v>5113</v>
      </c>
      <c r="W47" s="6" t="s">
        <v>5114</v>
      </c>
      <c r="X47" s="6" t="s">
        <v>5115</v>
      </c>
      <c r="Y47" s="6" t="s">
        <v>5116</v>
      </c>
      <c r="Z47" s="6" t="s">
        <v>5117</v>
      </c>
    </row>
    <row r="48" spans="1:26" ht="99.75" x14ac:dyDescent="0.2">
      <c r="A48" s="10">
        <v>45296</v>
      </c>
      <c r="B48" s="2">
        <v>2929</v>
      </c>
      <c r="C48" s="2">
        <v>869</v>
      </c>
      <c r="O48" s="2">
        <v>0.93</v>
      </c>
      <c r="P48" s="2">
        <v>-0.16</v>
      </c>
      <c r="R48" s="6" t="s">
        <v>5183</v>
      </c>
      <c r="S48" s="12" t="s">
        <v>5185</v>
      </c>
      <c r="T48" s="13" t="s">
        <v>5186</v>
      </c>
      <c r="U48" s="32" t="s">
        <v>5184</v>
      </c>
      <c r="V48" s="13" t="s">
        <v>5187</v>
      </c>
      <c r="W48" s="6">
        <v>1</v>
      </c>
      <c r="X48" s="6">
        <v>1</v>
      </c>
      <c r="Y48" s="6">
        <v>1</v>
      </c>
      <c r="Z48" s="6" t="s">
        <v>5188</v>
      </c>
    </row>
    <row r="49" spans="1:26" ht="57" x14ac:dyDescent="0.2">
      <c r="A49" s="10">
        <v>45299</v>
      </c>
      <c r="B49" s="2">
        <v>2887</v>
      </c>
      <c r="C49" s="2">
        <v>858</v>
      </c>
      <c r="O49" s="2">
        <v>2.38</v>
      </c>
      <c r="P49" s="2">
        <v>1.96</v>
      </c>
      <c r="R49" s="6" t="s">
        <v>5258</v>
      </c>
      <c r="S49" s="12" t="s">
        <v>5259</v>
      </c>
      <c r="T49" s="13" t="s">
        <v>5260</v>
      </c>
      <c r="U49" s="32" t="s">
        <v>5261</v>
      </c>
      <c r="V49" s="13" t="s">
        <v>5262</v>
      </c>
      <c r="W49" s="6" t="s">
        <v>5263</v>
      </c>
      <c r="X49" s="6" t="s">
        <v>5264</v>
      </c>
      <c r="Y49" s="6" t="s">
        <v>5265</v>
      </c>
      <c r="Z49" s="6" t="s">
        <v>5266</v>
      </c>
    </row>
    <row r="50" spans="1:26" ht="99.75" x14ac:dyDescent="0.2">
      <c r="A50" s="10">
        <v>45300</v>
      </c>
      <c r="B50" s="2">
        <v>2893</v>
      </c>
      <c r="C50" s="2">
        <v>855</v>
      </c>
      <c r="O50" s="2">
        <v>0.88</v>
      </c>
      <c r="P50" s="2">
        <v>-0.08</v>
      </c>
      <c r="R50" s="6" t="s">
        <v>5355</v>
      </c>
      <c r="S50" s="12" t="s">
        <v>5356</v>
      </c>
      <c r="T50" s="13" t="s">
        <v>5357</v>
      </c>
      <c r="U50" s="32" t="s">
        <v>5358</v>
      </c>
      <c r="V50" s="13" t="s">
        <v>5359</v>
      </c>
      <c r="W50" s="6">
        <v>1</v>
      </c>
      <c r="X50" s="6">
        <v>1</v>
      </c>
      <c r="Y50" s="6">
        <v>1</v>
      </c>
      <c r="Z50" s="6" t="s">
        <v>5360</v>
      </c>
    </row>
    <row r="51" spans="1:26" ht="114" x14ac:dyDescent="0.2">
      <c r="A51" s="10">
        <v>45301</v>
      </c>
      <c r="B51" s="2">
        <v>2877</v>
      </c>
      <c r="C51" s="2">
        <v>841</v>
      </c>
      <c r="O51" s="2">
        <v>2.4300000000000002</v>
      </c>
      <c r="P51" s="2">
        <v>0.22</v>
      </c>
      <c r="R51" s="6" t="s">
        <v>5435</v>
      </c>
      <c r="S51" s="12" t="s">
        <v>5436</v>
      </c>
      <c r="T51" s="13" t="s">
        <v>5545</v>
      </c>
      <c r="U51" s="32" t="s">
        <v>5437</v>
      </c>
      <c r="V51" s="13" t="s">
        <v>5438</v>
      </c>
      <c r="W51" s="6" t="s">
        <v>5439</v>
      </c>
      <c r="X51" s="6" t="s">
        <v>5440</v>
      </c>
      <c r="Y51" s="50" t="s">
        <v>5441</v>
      </c>
      <c r="Z51" s="6" t="s">
        <v>5442</v>
      </c>
    </row>
    <row r="52" spans="1:26" ht="128.25" x14ac:dyDescent="0.2">
      <c r="A52" s="10">
        <v>45302</v>
      </c>
      <c r="B52" s="2">
        <v>2886</v>
      </c>
      <c r="C52" s="2">
        <v>858</v>
      </c>
      <c r="O52" s="2">
        <v>2.2400000000000002</v>
      </c>
      <c r="P52" s="2">
        <v>2.1</v>
      </c>
      <c r="R52" s="6" t="s">
        <v>5543</v>
      </c>
      <c r="S52" s="12" t="s">
        <v>5544</v>
      </c>
      <c r="T52" s="13" t="s">
        <v>5546</v>
      </c>
      <c r="U52" s="32" t="s">
        <v>5547</v>
      </c>
      <c r="V52" s="13" t="s">
        <v>5548</v>
      </c>
      <c r="W52" s="6" t="s">
        <v>5549</v>
      </c>
      <c r="X52" s="6" t="s">
        <v>5550</v>
      </c>
      <c r="Y52" s="50" t="s">
        <v>5551</v>
      </c>
      <c r="Z52" s="6" t="s">
        <v>5552</v>
      </c>
    </row>
    <row r="53" spans="1:26" ht="114" x14ac:dyDescent="0.2">
      <c r="A53" s="10">
        <v>45303</v>
      </c>
      <c r="B53" s="2">
        <v>2881</v>
      </c>
      <c r="C53" s="2">
        <v>845</v>
      </c>
      <c r="O53" s="2">
        <v>-1</v>
      </c>
      <c r="P53" s="2">
        <v>0.19</v>
      </c>
      <c r="R53" s="6" t="s">
        <v>5634</v>
      </c>
      <c r="S53" s="12" t="s">
        <v>5635</v>
      </c>
      <c r="T53" s="13" t="s">
        <v>5636</v>
      </c>
      <c r="U53" s="32" t="s">
        <v>5637</v>
      </c>
      <c r="V53" s="13" t="s">
        <v>5638</v>
      </c>
      <c r="W53" s="6">
        <v>1</v>
      </c>
      <c r="X53" s="6">
        <v>1</v>
      </c>
      <c r="Y53" s="6">
        <v>1</v>
      </c>
      <c r="Z53" s="6" t="s">
        <v>5639</v>
      </c>
    </row>
    <row r="54" spans="1:26" ht="128.25" x14ac:dyDescent="0.2">
      <c r="A54" s="10">
        <v>45306</v>
      </c>
      <c r="B54" s="2">
        <v>2886</v>
      </c>
      <c r="C54" s="2">
        <v>846</v>
      </c>
      <c r="O54" s="2">
        <v>3</v>
      </c>
      <c r="P54" s="2">
        <v>2.63</v>
      </c>
      <c r="R54" s="6" t="s">
        <v>5740</v>
      </c>
      <c r="S54" s="12" t="s">
        <v>5741</v>
      </c>
      <c r="T54" s="13" t="s">
        <v>5742</v>
      </c>
      <c r="U54" s="32" t="s">
        <v>5743</v>
      </c>
      <c r="V54" s="13" t="s">
        <v>5744</v>
      </c>
      <c r="W54" s="6" t="s">
        <v>5745</v>
      </c>
      <c r="X54" s="6">
        <v>1</v>
      </c>
      <c r="Y54" s="6" t="s">
        <v>5746</v>
      </c>
      <c r="Z54" s="6" t="s">
        <v>5747</v>
      </c>
    </row>
    <row r="55" spans="1:26" ht="99.75" x14ac:dyDescent="0.2">
      <c r="A55" s="10">
        <v>45307</v>
      </c>
      <c r="B55" s="2">
        <v>2893</v>
      </c>
      <c r="C55" s="2">
        <v>845</v>
      </c>
      <c r="O55" s="2">
        <v>4.08</v>
      </c>
      <c r="P55" s="2">
        <v>2.06</v>
      </c>
      <c r="R55" s="6" t="s">
        <v>5831</v>
      </c>
      <c r="S55" s="12" t="s">
        <v>5832</v>
      </c>
      <c r="T55" s="13" t="s">
        <v>5833</v>
      </c>
      <c r="U55" s="32" t="s">
        <v>5834</v>
      </c>
      <c r="V55" s="13" t="s">
        <v>5835</v>
      </c>
      <c r="W55" s="6">
        <v>1</v>
      </c>
      <c r="X55" s="6">
        <v>1</v>
      </c>
      <c r="Y55" s="6">
        <v>1</v>
      </c>
      <c r="Z55" s="6" t="s">
        <v>5836</v>
      </c>
    </row>
    <row r="56" spans="1:26" ht="128.25" x14ac:dyDescent="0.2">
      <c r="A56" s="10">
        <v>45308</v>
      </c>
      <c r="B56" s="2">
        <v>2833</v>
      </c>
      <c r="C56" s="2">
        <v>821</v>
      </c>
      <c r="O56" s="2">
        <v>0.68</v>
      </c>
      <c r="P56" s="2">
        <v>0.36</v>
      </c>
      <c r="R56" s="6" t="s">
        <v>5922</v>
      </c>
      <c r="S56" s="12" t="s">
        <v>5923</v>
      </c>
      <c r="T56" s="13" t="s">
        <v>5925</v>
      </c>
      <c r="U56" s="32" t="s">
        <v>5924</v>
      </c>
      <c r="V56" s="13" t="s">
        <v>5926</v>
      </c>
      <c r="W56" s="6" t="s">
        <v>5927</v>
      </c>
      <c r="X56" s="6" t="s">
        <v>5928</v>
      </c>
      <c r="Y56" s="6" t="s">
        <v>5929</v>
      </c>
      <c r="Z56" s="6" t="s">
        <v>5930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J339"/>
  <sheetViews>
    <sheetView zoomScale="85" zoomScaleNormal="85" workbookViewId="0">
      <pane xSplit="3" ySplit="1" topLeftCell="AS311" activePane="bottomRight" state="frozen"/>
      <selection activeCell="G38" sqref="G38"/>
      <selection pane="topRight" activeCell="G38" sqref="G38"/>
      <selection pane="bottomLeft" activeCell="G38" sqref="G38"/>
      <selection pane="bottomRight" activeCell="BC337" sqref="BC33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62"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5701</v>
      </c>
      <c r="BG1" s="37" t="s">
        <v>5702</v>
      </c>
      <c r="BH1" s="37" t="s">
        <v>5703</v>
      </c>
      <c r="BI1" s="37" t="s">
        <v>5704</v>
      </c>
      <c r="BJ1" s="37" t="s">
        <v>5705</v>
      </c>
    </row>
    <row r="2" spans="1:62" ht="18" customHeight="1" thickBot="1" x14ac:dyDescent="0.25">
      <c r="C2" s="4">
        <v>45229</v>
      </c>
      <c r="D2" s="36" t="s">
        <v>2510</v>
      </c>
      <c r="E2" s="40">
        <v>2</v>
      </c>
      <c r="F2" s="35">
        <v>4.8000000000000001E-2</v>
      </c>
      <c r="G2" s="40" t="s">
        <v>2476</v>
      </c>
      <c r="H2" s="19">
        <v>-6.8000000000000005E-2</v>
      </c>
      <c r="I2" s="35">
        <v>2.7E-2</v>
      </c>
    </row>
    <row r="3" spans="1:62"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62" ht="18" customHeight="1" thickBot="1" x14ac:dyDescent="0.25">
      <c r="B4" s="13" t="s">
        <v>2507</v>
      </c>
      <c r="D4" s="36" t="s">
        <v>2409</v>
      </c>
      <c r="E4" s="40">
        <v>2</v>
      </c>
      <c r="F4" s="17">
        <v>3</v>
      </c>
      <c r="G4" s="17" t="s">
        <v>2525</v>
      </c>
      <c r="H4" s="19" t="s">
        <v>2456</v>
      </c>
      <c r="I4" s="34">
        <v>-1.9E-2</v>
      </c>
    </row>
    <row r="5" spans="1:62" ht="18" customHeight="1" thickBot="1" x14ac:dyDescent="0.25">
      <c r="D5" s="36" t="s">
        <v>2512</v>
      </c>
      <c r="E5" s="17">
        <v>2</v>
      </c>
      <c r="F5" s="18" t="s">
        <v>2509</v>
      </c>
      <c r="G5" s="34"/>
      <c r="I5" s="17">
        <v>1</v>
      </c>
    </row>
    <row r="6" spans="1:62" ht="18" customHeight="1" thickBot="1" x14ac:dyDescent="0.25">
      <c r="D6" s="36" t="s">
        <v>2513</v>
      </c>
      <c r="E6" s="17">
        <v>2</v>
      </c>
      <c r="F6" s="34">
        <v>-3.5999999999999997E-2</v>
      </c>
    </row>
    <row r="7" spans="1:62" ht="18" customHeight="1" thickBot="1" x14ac:dyDescent="0.25">
      <c r="C7" s="4">
        <v>45230</v>
      </c>
      <c r="D7" s="44" t="s">
        <v>2516</v>
      </c>
      <c r="E7" s="36" t="s">
        <v>2515</v>
      </c>
      <c r="F7" s="40">
        <v>2</v>
      </c>
      <c r="G7" s="18" t="s">
        <v>2526</v>
      </c>
      <c r="I7" s="17" t="s">
        <v>2397</v>
      </c>
      <c r="J7" s="34">
        <v>-2.1999999999999999E-2</v>
      </c>
      <c r="K7" s="34">
        <v>0</v>
      </c>
    </row>
    <row r="8" spans="1:62"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62"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62" ht="18" customHeight="1" thickBot="1" x14ac:dyDescent="0.25">
      <c r="E10" s="44" t="s">
        <v>2530</v>
      </c>
      <c r="F10" s="36" t="s">
        <v>2531</v>
      </c>
      <c r="G10" s="17">
        <v>2</v>
      </c>
      <c r="H10" s="34">
        <v>-0.04</v>
      </c>
      <c r="I10" s="35">
        <v>2.5000000000000001E-2</v>
      </c>
    </row>
    <row r="11" spans="1:62" ht="18" customHeight="1" thickBot="1" x14ac:dyDescent="0.25">
      <c r="E11" s="44" t="s">
        <v>2543</v>
      </c>
      <c r="F11" s="36" t="s">
        <v>2559</v>
      </c>
      <c r="G11" s="40" t="s">
        <v>2458</v>
      </c>
      <c r="H11" s="35">
        <v>6.7000000000000004E-2</v>
      </c>
      <c r="I11" s="40" t="s">
        <v>2476</v>
      </c>
      <c r="J11" s="40" t="s">
        <v>2527</v>
      </c>
      <c r="L11" s="34"/>
    </row>
    <row r="12" spans="1:62" ht="18" customHeight="1" thickBot="1" x14ac:dyDescent="0.25">
      <c r="B12" t="s">
        <v>2542</v>
      </c>
      <c r="C12" s="4">
        <v>45232</v>
      </c>
      <c r="F12" s="44" t="s">
        <v>2135</v>
      </c>
      <c r="G12" s="36" t="s">
        <v>2323</v>
      </c>
      <c r="H12" s="17" t="s">
        <v>2378</v>
      </c>
      <c r="I12" s="18" t="s">
        <v>2399</v>
      </c>
      <c r="J12" s="34">
        <v>-2.3E-2</v>
      </c>
    </row>
    <row r="13" spans="1:62"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62"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62"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62"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51" t="s">
        <v>5721</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51" t="s">
        <v>5722</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51" t="s">
        <v>5723</v>
      </c>
      <c r="AQ248" s="52" t="s">
        <v>5727</v>
      </c>
      <c r="AR248" s="54" t="s">
        <v>5729</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52" t="s">
        <v>5728</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51" t="s">
        <v>5724</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52" t="s">
        <v>5726</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60" ht="18" customHeight="1" thickBot="1" x14ac:dyDescent="0.25">
      <c r="A273" t="s">
        <v>2856</v>
      </c>
      <c r="B273">
        <v>2024</v>
      </c>
      <c r="C273" s="4">
        <v>45293</v>
      </c>
      <c r="AV273" s="47" t="s">
        <v>5008</v>
      </c>
      <c r="AW273" s="36" t="s">
        <v>3807</v>
      </c>
      <c r="AX273" s="40">
        <v>2</v>
      </c>
      <c r="AY273" s="19" t="s">
        <v>2456</v>
      </c>
      <c r="AZ273" s="34">
        <v>-0.05</v>
      </c>
      <c r="BB273" s="17">
        <v>1</v>
      </c>
    </row>
    <row r="274" spans="1:60" ht="18" customHeight="1" thickBot="1" x14ac:dyDescent="0.25">
      <c r="B274" t="s">
        <v>4938</v>
      </c>
      <c r="AV274" s="47" t="s">
        <v>5013</v>
      </c>
      <c r="AW274" s="36" t="s">
        <v>5014</v>
      </c>
      <c r="AX274" s="17">
        <v>2</v>
      </c>
      <c r="AY274" s="18" t="s">
        <v>5098</v>
      </c>
      <c r="AZ274" s="35">
        <v>4.5999999999999999E-2</v>
      </c>
    </row>
    <row r="275" spans="1:60" ht="18" customHeight="1" thickBot="1" x14ac:dyDescent="0.25">
      <c r="AV275" s="47" t="s">
        <v>5009</v>
      </c>
      <c r="AW275" s="36" t="s">
        <v>5010</v>
      </c>
      <c r="AX275" s="17">
        <v>2</v>
      </c>
      <c r="AY275" s="35">
        <v>3.2000000000000001E-2</v>
      </c>
      <c r="AZ275" s="34">
        <v>-4.4999999999999998E-2</v>
      </c>
    </row>
    <row r="276" spans="1:60" ht="18" customHeight="1" thickBot="1" x14ac:dyDescent="0.25">
      <c r="AV276" s="47" t="s">
        <v>2251</v>
      </c>
      <c r="AW276" s="36" t="s">
        <v>5018</v>
      </c>
      <c r="AX276" s="17">
        <v>2</v>
      </c>
      <c r="AY276" s="34">
        <v>-0.09</v>
      </c>
      <c r="AZ276" s="34">
        <v>-0.08</v>
      </c>
    </row>
    <row r="277" spans="1:60" ht="18" customHeight="1" thickBot="1" x14ac:dyDescent="0.25">
      <c r="AV277" s="47" t="s">
        <v>5011</v>
      </c>
      <c r="AW277" s="36" t="s">
        <v>5012</v>
      </c>
      <c r="AX277" s="17">
        <v>2</v>
      </c>
      <c r="AY277" s="34">
        <v>-5.7000000000000002E-2</v>
      </c>
      <c r="AZ277" s="34">
        <v>-0.06</v>
      </c>
    </row>
    <row r="278" spans="1:60" ht="18" customHeight="1" thickBot="1" x14ac:dyDescent="0.25">
      <c r="AV278" s="47" t="s">
        <v>2430</v>
      </c>
      <c r="AW278" s="36" t="s">
        <v>2431</v>
      </c>
      <c r="AX278" s="17">
        <v>2</v>
      </c>
      <c r="AY278" s="35">
        <v>7.0000000000000001E-3</v>
      </c>
      <c r="AZ278" s="34">
        <v>-0.01</v>
      </c>
    </row>
    <row r="279" spans="1:60" ht="18" customHeight="1" thickBot="1" x14ac:dyDescent="0.25">
      <c r="AV279" s="47" t="s">
        <v>5015</v>
      </c>
      <c r="AW279" s="36" t="s">
        <v>5016</v>
      </c>
      <c r="AX279" s="17">
        <v>2</v>
      </c>
      <c r="AY279" s="17">
        <v>3</v>
      </c>
      <c r="AZ279" s="19" t="s">
        <v>2456</v>
      </c>
      <c r="BA279" s="19">
        <v>-9.1999999999999998E-2</v>
      </c>
    </row>
    <row r="280" spans="1:60" ht="18" customHeight="1" thickBot="1" x14ac:dyDescent="0.25">
      <c r="AU280" s="52" t="s">
        <v>5720</v>
      </c>
      <c r="AV280" s="48" t="s">
        <v>5107</v>
      </c>
      <c r="AW280" s="36" t="s">
        <v>5017</v>
      </c>
      <c r="AX280" s="17">
        <v>2</v>
      </c>
      <c r="AY280" s="17">
        <v>3</v>
      </c>
      <c r="AZ280" s="17">
        <v>4</v>
      </c>
      <c r="BA280" s="17" t="s">
        <v>5245</v>
      </c>
      <c r="BB280" s="40">
        <v>6</v>
      </c>
      <c r="BC280" s="17">
        <v>7</v>
      </c>
      <c r="BD280" s="35">
        <v>1.7000000000000001E-2</v>
      </c>
      <c r="BE280" s="35">
        <v>0.06</v>
      </c>
      <c r="BF280" s="17" t="s">
        <v>5706</v>
      </c>
      <c r="BG280" s="18" t="s">
        <v>5812</v>
      </c>
      <c r="BH280" s="17" t="s">
        <v>5895</v>
      </c>
    </row>
    <row r="281" spans="1:60" ht="18" customHeight="1" thickBot="1" x14ac:dyDescent="0.25">
      <c r="A281" t="s">
        <v>2869</v>
      </c>
      <c r="C281" s="4">
        <v>45294</v>
      </c>
      <c r="AM281" s="52" t="s">
        <v>5725</v>
      </c>
      <c r="AQ281" s="54" t="s">
        <v>5730</v>
      </c>
      <c r="AR281" s="54" t="s">
        <v>5730</v>
      </c>
      <c r="AU281" s="38"/>
      <c r="AW281" s="47" t="s">
        <v>2144</v>
      </c>
      <c r="AX281" s="36" t="s">
        <v>5099</v>
      </c>
      <c r="AY281" s="40">
        <v>2</v>
      </c>
      <c r="AZ281" s="17" t="s">
        <v>2495</v>
      </c>
      <c r="BA281" s="19" t="s">
        <v>2456</v>
      </c>
      <c r="BB281" s="19" t="s">
        <v>2480</v>
      </c>
      <c r="BC281" s="34">
        <v>-0.08</v>
      </c>
      <c r="BE281" s="18" t="s">
        <v>5614</v>
      </c>
    </row>
    <row r="282" spans="1:60"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60"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c r="BG283" s="19">
        <v>-4.2000000000000003E-2</v>
      </c>
      <c r="BH283" s="34">
        <v>-0.08</v>
      </c>
    </row>
    <row r="284" spans="1:60" ht="18" customHeight="1" thickBot="1" x14ac:dyDescent="0.25">
      <c r="AW284" s="47" t="s">
        <v>5101</v>
      </c>
      <c r="AX284" s="36" t="s">
        <v>5102</v>
      </c>
      <c r="AY284" s="17">
        <v>2</v>
      </c>
      <c r="AZ284" s="17">
        <v>3</v>
      </c>
      <c r="BA284" s="17">
        <v>4</v>
      </c>
      <c r="BB284" s="19" t="s">
        <v>2456</v>
      </c>
      <c r="BC284" s="19">
        <v>-0.09</v>
      </c>
      <c r="BD284" s="18" t="s">
        <v>5419</v>
      </c>
      <c r="BE284" s="34">
        <v>-0.03</v>
      </c>
    </row>
    <row r="285" spans="1:60" ht="18" hidden="1" customHeight="1" thickBot="1" x14ac:dyDescent="0.25">
      <c r="AW285" s="47" t="s">
        <v>5103</v>
      </c>
      <c r="AX285" s="36" t="s">
        <v>5104</v>
      </c>
      <c r="AY285" s="17">
        <v>2</v>
      </c>
      <c r="AZ285" s="19" t="s">
        <v>2456</v>
      </c>
      <c r="BA285" s="34">
        <v>-0.01</v>
      </c>
      <c r="BB285" s="35">
        <v>5.6000000000000001E-2</v>
      </c>
      <c r="BC285" s="17">
        <v>1</v>
      </c>
    </row>
    <row r="286" spans="1:60" ht="18" hidden="1" customHeight="1" thickBot="1" x14ac:dyDescent="0.25">
      <c r="AW286" s="47" t="s">
        <v>5105</v>
      </c>
      <c r="AX286" s="36" t="s">
        <v>5106</v>
      </c>
      <c r="AY286" s="40">
        <v>2</v>
      </c>
      <c r="AZ286" s="34">
        <v>-5.7000000000000002E-2</v>
      </c>
      <c r="BA286" s="19">
        <v>-9.1999999999999998E-2</v>
      </c>
    </row>
    <row r="287" spans="1:60" ht="18" customHeight="1" thickBot="1" x14ac:dyDescent="0.25">
      <c r="AW287" s="48" t="s">
        <v>5107</v>
      </c>
      <c r="AX287" s="36" t="s">
        <v>3030</v>
      </c>
      <c r="AY287" s="17">
        <v>2</v>
      </c>
      <c r="AZ287" s="40">
        <v>3</v>
      </c>
      <c r="BA287" s="17">
        <v>4</v>
      </c>
      <c r="BB287" s="17" t="s">
        <v>5245</v>
      </c>
      <c r="BC287" s="34">
        <v>-0.06</v>
      </c>
      <c r="BD287" s="34">
        <v>-0.03</v>
      </c>
      <c r="BE287" s="34">
        <v>-0.08</v>
      </c>
      <c r="BF287" s="17">
        <v>1</v>
      </c>
      <c r="BG287" s="17">
        <v>2</v>
      </c>
      <c r="BH287" s="35">
        <v>3.2000000000000001E-2</v>
      </c>
    </row>
    <row r="288" spans="1:60"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c r="BG288" s="35">
        <v>0.02</v>
      </c>
      <c r="BH288" s="35">
        <v>0.02</v>
      </c>
    </row>
    <row r="289" spans="1:60"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c r="BG289" s="35">
        <v>3.2000000000000001E-2</v>
      </c>
      <c r="BH289" s="35">
        <v>0.02</v>
      </c>
    </row>
    <row r="290" spans="1:60" ht="18" customHeight="1" thickBot="1" x14ac:dyDescent="0.25">
      <c r="AR290" s="54" t="s">
        <v>5731</v>
      </c>
      <c r="AX290" s="47" t="s">
        <v>5179</v>
      </c>
      <c r="AY290" s="36" t="s">
        <v>5246</v>
      </c>
      <c r="AZ290" s="17" t="s">
        <v>2490</v>
      </c>
      <c r="BA290" s="34">
        <v>-0.08</v>
      </c>
      <c r="BB290" s="35">
        <v>7.0000000000000001E-3</v>
      </c>
      <c r="BC290" s="34">
        <v>-0.13</v>
      </c>
      <c r="BD290" s="17" t="s">
        <v>5530</v>
      </c>
      <c r="BE290" s="18" t="s">
        <v>2432</v>
      </c>
      <c r="BF290" s="17">
        <v>16.350000000000001</v>
      </c>
      <c r="BG290" s="34">
        <v>-0.03</v>
      </c>
      <c r="BH290" s="35">
        <v>4.2000000000000003E-2</v>
      </c>
    </row>
    <row r="291" spans="1:60" ht="18" customHeight="1" thickBot="1" x14ac:dyDescent="0.25">
      <c r="AX291" s="47" t="s">
        <v>5251</v>
      </c>
      <c r="AY291" s="36" t="s">
        <v>5180</v>
      </c>
      <c r="AZ291" s="17">
        <v>2</v>
      </c>
      <c r="BA291" s="17">
        <v>3</v>
      </c>
      <c r="BB291" s="17" t="s">
        <v>5348</v>
      </c>
      <c r="BC291" s="18" t="s">
        <v>2432</v>
      </c>
      <c r="BD291" s="19">
        <v>-5.7000000000000002E-2</v>
      </c>
      <c r="BE291" s="19" t="s">
        <v>2456</v>
      </c>
      <c r="BF291" s="34">
        <v>-0.03</v>
      </c>
      <c r="BG291" s="35">
        <v>3.2000000000000001E-2</v>
      </c>
      <c r="BH291" s="19">
        <v>-9.5000000000000001E-2</v>
      </c>
    </row>
    <row r="292" spans="1:60"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60"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60" ht="18" customHeight="1" thickBot="1" x14ac:dyDescent="0.25">
      <c r="AY294" s="47" t="s">
        <v>5248</v>
      </c>
      <c r="AZ294" s="36" t="s">
        <v>5247</v>
      </c>
      <c r="BA294" s="17">
        <v>2</v>
      </c>
      <c r="BB294" s="18" t="s">
        <v>5349</v>
      </c>
      <c r="BC294" s="34">
        <v>-5.7000000000000002E-2</v>
      </c>
      <c r="BD294" s="34">
        <v>-0.01</v>
      </c>
      <c r="BE294" s="34">
        <v>-0.03</v>
      </c>
      <c r="BF294" s="34">
        <v>-0.03</v>
      </c>
    </row>
    <row r="295" spans="1:60" ht="18" customHeight="1" thickBot="1" x14ac:dyDescent="0.25">
      <c r="AY295" s="3" t="s">
        <v>5249</v>
      </c>
      <c r="AZ295" s="36" t="s">
        <v>5250</v>
      </c>
      <c r="BA295" s="17">
        <v>2</v>
      </c>
      <c r="BB295" s="34">
        <v>-4.7E-2</v>
      </c>
      <c r="BC295" s="17" t="s">
        <v>2476</v>
      </c>
      <c r="BD295" s="17" t="s">
        <v>2527</v>
      </c>
      <c r="BE295" s="18" t="s">
        <v>2473</v>
      </c>
      <c r="BF295" s="17" t="s">
        <v>2385</v>
      </c>
      <c r="BG295" s="34">
        <v>-0.03</v>
      </c>
      <c r="BH295" s="19" t="s">
        <v>2456</v>
      </c>
    </row>
    <row r="296" spans="1:60" ht="18" customHeight="1" thickBot="1" x14ac:dyDescent="0.25">
      <c r="AQ296" s="52" t="s">
        <v>5724</v>
      </c>
      <c r="AY296" s="38" t="s">
        <v>2135</v>
      </c>
      <c r="AZ296" s="36" t="s">
        <v>5252</v>
      </c>
      <c r="BA296" s="17">
        <v>2</v>
      </c>
      <c r="BB296" s="40">
        <v>3</v>
      </c>
      <c r="BC296" s="17">
        <v>4</v>
      </c>
      <c r="BD296" s="19" t="s">
        <v>2456</v>
      </c>
      <c r="BE296" s="19" t="s">
        <v>2480</v>
      </c>
      <c r="BF296" s="34">
        <v>-0.06</v>
      </c>
      <c r="BG296" s="35">
        <v>3.2000000000000001E-2</v>
      </c>
      <c r="BH296" s="19">
        <v>-9.5000000000000001E-2</v>
      </c>
    </row>
    <row r="297" spans="1:60" ht="18" hidden="1" customHeight="1" thickBot="1" x14ac:dyDescent="0.25">
      <c r="AY297" s="38" t="s">
        <v>5255</v>
      </c>
      <c r="AZ297" s="36" t="s">
        <v>5256</v>
      </c>
      <c r="BA297" s="17">
        <v>2</v>
      </c>
      <c r="BB297" s="34">
        <v>-0.08</v>
      </c>
      <c r="BC297" s="35">
        <v>1.7000000000000001E-2</v>
      </c>
    </row>
    <row r="298" spans="1:60" ht="18" customHeight="1" thickBot="1" x14ac:dyDescent="0.25">
      <c r="A298" t="s">
        <v>2905</v>
      </c>
      <c r="C298" s="4">
        <v>45299</v>
      </c>
      <c r="AU298" s="52" t="s">
        <v>5723</v>
      </c>
      <c r="AZ298" s="38" t="s">
        <v>5350</v>
      </c>
      <c r="BA298" s="36" t="s">
        <v>5351</v>
      </c>
      <c r="BB298" s="40">
        <v>2</v>
      </c>
      <c r="BC298" s="17">
        <v>3</v>
      </c>
      <c r="BD298" s="17" t="s">
        <v>5531</v>
      </c>
      <c r="BE298" s="18" t="s">
        <v>5616</v>
      </c>
      <c r="BF298" s="18" t="s">
        <v>5419</v>
      </c>
      <c r="BG298" s="19" t="s">
        <v>2456</v>
      </c>
      <c r="BH298" s="19" t="s">
        <v>2480</v>
      </c>
    </row>
    <row r="299" spans="1:60" ht="18" customHeight="1" thickBot="1" x14ac:dyDescent="0.25">
      <c r="B299" t="s">
        <v>5257</v>
      </c>
      <c r="AZ299" s="3" t="s">
        <v>2135</v>
      </c>
      <c r="BA299" s="36" t="s">
        <v>5352</v>
      </c>
      <c r="BB299" s="17" t="s">
        <v>2458</v>
      </c>
      <c r="BC299" s="18" t="s">
        <v>2806</v>
      </c>
      <c r="BD299" s="19">
        <v>-1.4999999999999999E-2</v>
      </c>
      <c r="BE299" s="34">
        <v>-0.06</v>
      </c>
      <c r="BF299" s="34">
        <v>-0.04</v>
      </c>
      <c r="BG299" s="34">
        <v>-0.04</v>
      </c>
      <c r="BH299" s="19">
        <v>-9.5000000000000001E-2</v>
      </c>
    </row>
    <row r="300" spans="1:60" ht="18" customHeight="1" thickBot="1" x14ac:dyDescent="0.25">
      <c r="A300" t="s">
        <v>5354</v>
      </c>
      <c r="B300" t="s">
        <v>5641</v>
      </c>
      <c r="C300" s="4">
        <v>45300</v>
      </c>
      <c r="AQ300" s="52" t="s">
        <v>5737</v>
      </c>
      <c r="BA300" s="44" t="s">
        <v>5617</v>
      </c>
      <c r="BB300" s="36" t="s">
        <v>5420</v>
      </c>
      <c r="BC300" s="40">
        <v>2</v>
      </c>
      <c r="BD300" s="40">
        <v>3</v>
      </c>
      <c r="BE300" s="40">
        <v>4</v>
      </c>
      <c r="BF300" s="17">
        <v>5</v>
      </c>
      <c r="BG300" s="40">
        <v>6</v>
      </c>
      <c r="BH300" s="17">
        <v>7</v>
      </c>
    </row>
    <row r="301" spans="1:60" ht="18" customHeight="1" thickBot="1" x14ac:dyDescent="0.25">
      <c r="B301" t="s">
        <v>5353</v>
      </c>
      <c r="BA301" s="44" t="s">
        <v>5618</v>
      </c>
      <c r="BB301" s="36" t="s">
        <v>5421</v>
      </c>
      <c r="BC301" s="17">
        <v>2</v>
      </c>
      <c r="BD301" s="40">
        <v>3</v>
      </c>
      <c r="BE301" s="40">
        <v>4</v>
      </c>
      <c r="BF301" s="18" t="s">
        <v>5707</v>
      </c>
      <c r="BG301" s="19">
        <v>-9.5000000000000001E-2</v>
      </c>
      <c r="BH301" s="19">
        <v>-9.5000000000000001E-2</v>
      </c>
    </row>
    <row r="302" spans="1:60" ht="18" hidden="1" customHeight="1" thickBot="1" x14ac:dyDescent="0.25">
      <c r="BA302" s="44" t="s">
        <v>5430</v>
      </c>
      <c r="BB302" s="36" t="s">
        <v>5431</v>
      </c>
      <c r="BC302" s="17">
        <v>2</v>
      </c>
      <c r="BD302" s="34">
        <v>-0.02</v>
      </c>
    </row>
    <row r="303" spans="1:60" ht="18" hidden="1" customHeight="1" thickBot="1" x14ac:dyDescent="0.25">
      <c r="BA303" s="44" t="s">
        <v>5422</v>
      </c>
      <c r="BB303" s="36" t="s">
        <v>5423</v>
      </c>
      <c r="BC303" s="17">
        <v>2</v>
      </c>
      <c r="BD303" s="34">
        <v>-0.08</v>
      </c>
      <c r="BE303" s="34">
        <v>-7.3999999999999996E-2</v>
      </c>
    </row>
    <row r="304" spans="1:60" ht="18" hidden="1" customHeight="1" thickBot="1" x14ac:dyDescent="0.25">
      <c r="BA304" s="44" t="s">
        <v>5424</v>
      </c>
      <c r="BB304" s="36" t="s">
        <v>5425</v>
      </c>
      <c r="BC304" s="17">
        <v>2</v>
      </c>
      <c r="BD304" s="17">
        <v>3</v>
      </c>
      <c r="BE304" s="34">
        <v>-0.02</v>
      </c>
    </row>
    <row r="305" spans="1:60" ht="18" customHeight="1" thickBot="1" x14ac:dyDescent="0.25">
      <c r="BA305" s="44" t="s">
        <v>5426</v>
      </c>
      <c r="BB305" s="36" t="s">
        <v>5427</v>
      </c>
      <c r="BC305" s="17">
        <v>2</v>
      </c>
      <c r="BD305" s="18" t="s">
        <v>5349</v>
      </c>
      <c r="BE305" s="35">
        <v>0.03</v>
      </c>
    </row>
    <row r="306" spans="1:60" ht="18" customHeight="1" thickBot="1" x14ac:dyDescent="0.25">
      <c r="BA306" s="44" t="s">
        <v>5428</v>
      </c>
      <c r="BB306" s="36" t="s">
        <v>5429</v>
      </c>
      <c r="BC306" s="17">
        <v>2</v>
      </c>
      <c r="BD306" s="34">
        <v>-0.02</v>
      </c>
    </row>
    <row r="307" spans="1:60" ht="18" customHeight="1" thickBot="1" x14ac:dyDescent="0.25">
      <c r="BA307" s="47" t="s">
        <v>4931</v>
      </c>
      <c r="BB307" s="36" t="s">
        <v>2299</v>
      </c>
      <c r="BC307" s="17">
        <v>2</v>
      </c>
      <c r="BD307" s="17">
        <v>3</v>
      </c>
      <c r="BE307" s="19" t="s">
        <v>2456</v>
      </c>
      <c r="BF307" s="19" t="s">
        <v>2480</v>
      </c>
      <c r="BG307" s="17" t="s">
        <v>5813</v>
      </c>
      <c r="BH307" s="34">
        <v>-0.06</v>
      </c>
    </row>
    <row r="308" spans="1:60" ht="18" customHeight="1" thickBot="1" x14ac:dyDescent="0.25">
      <c r="BA308" s="44" t="s">
        <v>5432</v>
      </c>
      <c r="BB308" s="36" t="s">
        <v>5433</v>
      </c>
      <c r="BC308" s="17">
        <v>2</v>
      </c>
      <c r="BD308" s="35">
        <v>7.0000000000000001E-3</v>
      </c>
      <c r="BE308" s="34">
        <v>-0.08</v>
      </c>
    </row>
    <row r="309" spans="1:60" ht="18" customHeight="1" thickBot="1" x14ac:dyDescent="0.25">
      <c r="A309" t="s">
        <v>2856</v>
      </c>
      <c r="C309" s="4">
        <v>45301</v>
      </c>
      <c r="BB309" s="44" t="s">
        <v>5532</v>
      </c>
      <c r="BC309" s="36" t="s">
        <v>5533</v>
      </c>
      <c r="BD309" s="17">
        <v>2</v>
      </c>
      <c r="BE309" s="18" t="s">
        <v>5619</v>
      </c>
      <c r="BF309" s="35">
        <v>0.03</v>
      </c>
    </row>
    <row r="310" spans="1:60" ht="18" customHeight="1" thickBot="1" x14ac:dyDescent="0.25">
      <c r="B310" t="s">
        <v>5434</v>
      </c>
      <c r="BB310" s="44" t="s">
        <v>2135</v>
      </c>
      <c r="BC310" s="36" t="s">
        <v>5534</v>
      </c>
      <c r="BD310" s="17">
        <v>2</v>
      </c>
      <c r="BE310" s="34">
        <v>-0.04</v>
      </c>
      <c r="BF310" s="34">
        <v>-0.04</v>
      </c>
    </row>
    <row r="311" spans="1:60" ht="18" customHeight="1" thickBot="1" x14ac:dyDescent="0.25">
      <c r="BA311" s="52" t="s">
        <v>5739</v>
      </c>
      <c r="BB311" s="48" t="s">
        <v>5535</v>
      </c>
      <c r="BC311" s="36" t="s">
        <v>5536</v>
      </c>
      <c r="BD311" s="17">
        <v>2</v>
      </c>
      <c r="BE311" s="17" t="s">
        <v>5620</v>
      </c>
      <c r="BF311" s="18" t="s">
        <v>2432</v>
      </c>
      <c r="BG311" s="17" t="s">
        <v>2527</v>
      </c>
      <c r="BH311" s="34">
        <v>-0.02</v>
      </c>
    </row>
    <row r="312" spans="1:60" ht="18" customHeight="1" thickBot="1" x14ac:dyDescent="0.25">
      <c r="BB312" s="44" t="s">
        <v>5537</v>
      </c>
      <c r="BC312" s="36" t="s">
        <v>5538</v>
      </c>
      <c r="BD312" s="17">
        <v>2</v>
      </c>
      <c r="BE312" s="34">
        <v>-0.08</v>
      </c>
    </row>
    <row r="313" spans="1:60" ht="18" customHeight="1" thickBot="1" x14ac:dyDescent="0.25">
      <c r="BB313" s="44" t="s">
        <v>5539</v>
      </c>
      <c r="BC313" s="36" t="s">
        <v>5540</v>
      </c>
      <c r="BD313" s="17">
        <v>2</v>
      </c>
      <c r="BE313" s="34">
        <v>-6.4000000000000001E-2</v>
      </c>
    </row>
    <row r="314" spans="1:60" ht="18" customHeight="1" thickBot="1" x14ac:dyDescent="0.25">
      <c r="BB314" s="44" t="s">
        <v>5541</v>
      </c>
      <c r="BC314" s="36" t="s">
        <v>5177</v>
      </c>
      <c r="BD314" s="17">
        <v>2</v>
      </c>
      <c r="BE314" s="18" t="s">
        <v>5621</v>
      </c>
      <c r="BF314" s="34">
        <v>-0.02</v>
      </c>
      <c r="BG314" s="35">
        <v>0.03</v>
      </c>
      <c r="BH314" s="19" t="s">
        <v>2456</v>
      </c>
    </row>
    <row r="315" spans="1:60" ht="18" customHeight="1" thickBot="1" x14ac:dyDescent="0.25">
      <c r="BB315" s="44" t="s">
        <v>5249</v>
      </c>
      <c r="BC315" s="36" t="s">
        <v>5250</v>
      </c>
      <c r="BD315" s="17">
        <v>2</v>
      </c>
      <c r="BE315" s="18" t="s">
        <v>2473</v>
      </c>
      <c r="BF315" s="17" t="s">
        <v>5708</v>
      </c>
      <c r="BG315" s="34">
        <v>-0.03</v>
      </c>
      <c r="BH315" s="19" t="s">
        <v>2456</v>
      </c>
    </row>
    <row r="316" spans="1:60" ht="18" customHeight="1" thickBot="1" x14ac:dyDescent="0.25">
      <c r="A316" t="s">
        <v>2855</v>
      </c>
      <c r="C316" s="4">
        <v>45302</v>
      </c>
      <c r="AR316" s="54" t="s">
        <v>5732</v>
      </c>
      <c r="BC316" s="48" t="s">
        <v>5622</v>
      </c>
      <c r="BD316" s="36" t="s">
        <v>3290</v>
      </c>
      <c r="BE316" s="40">
        <v>2</v>
      </c>
      <c r="BF316" s="17">
        <v>3</v>
      </c>
      <c r="BG316" s="19">
        <v>-8.5000000000000006E-2</v>
      </c>
      <c r="BH316" s="17" t="s">
        <v>5896</v>
      </c>
    </row>
    <row r="317" spans="1:60" ht="18" customHeight="1" thickBot="1" x14ac:dyDescent="0.25">
      <c r="B317" t="s">
        <v>5542</v>
      </c>
      <c r="BC317" s="44" t="s">
        <v>5631</v>
      </c>
      <c r="BD317" s="36" t="s">
        <v>2510</v>
      </c>
      <c r="BE317" s="17">
        <v>2</v>
      </c>
      <c r="BF317" s="34">
        <v>-0.02</v>
      </c>
    </row>
    <row r="318" spans="1:60" ht="18" customHeight="1" thickBot="1" x14ac:dyDescent="0.25">
      <c r="BC318" s="44" t="s">
        <v>5623</v>
      </c>
      <c r="BD318" s="36" t="s">
        <v>5624</v>
      </c>
      <c r="BE318" s="40">
        <v>2</v>
      </c>
      <c r="BF318" s="3" t="s">
        <v>5709</v>
      </c>
    </row>
    <row r="319" spans="1:60" ht="18" customHeight="1" thickBot="1" x14ac:dyDescent="0.25">
      <c r="BC319" s="48" t="s">
        <v>5625</v>
      </c>
      <c r="BD319" s="36" t="s">
        <v>5626</v>
      </c>
      <c r="BE319" s="17">
        <v>2</v>
      </c>
      <c r="BF319" s="40">
        <v>3</v>
      </c>
      <c r="BG319" s="17">
        <v>4</v>
      </c>
      <c r="BH319" s="34">
        <v>-5.3999999999999999E-2</v>
      </c>
    </row>
    <row r="320" spans="1:60" ht="18" customHeight="1" thickBot="1" x14ac:dyDescent="0.25">
      <c r="BC320" s="44" t="s">
        <v>5627</v>
      </c>
      <c r="BD320" s="36" t="s">
        <v>5628</v>
      </c>
      <c r="BE320" s="17">
        <v>2</v>
      </c>
      <c r="BF320" s="17" t="s">
        <v>5710</v>
      </c>
      <c r="BG320" s="35">
        <v>0.03</v>
      </c>
      <c r="BH320" s="19" t="s">
        <v>2456</v>
      </c>
    </row>
    <row r="321" spans="1:60" ht="18" customHeight="1" thickBot="1" x14ac:dyDescent="0.25">
      <c r="BA321" s="38"/>
      <c r="BC321" s="44" t="s">
        <v>5629</v>
      </c>
      <c r="BD321" s="36" t="s">
        <v>5711</v>
      </c>
      <c r="BE321" s="17">
        <v>2</v>
      </c>
      <c r="BF321" s="34">
        <v>-0.04</v>
      </c>
    </row>
    <row r="322" spans="1:60" ht="18" customHeight="1" thickBot="1" x14ac:dyDescent="0.25">
      <c r="BC322" s="44" t="s">
        <v>5625</v>
      </c>
      <c r="BD322" s="36" t="s">
        <v>5630</v>
      </c>
      <c r="BE322" s="17">
        <v>2</v>
      </c>
      <c r="BF322" s="34">
        <v>-0.02</v>
      </c>
      <c r="BG322" s="17" t="s">
        <v>5814</v>
      </c>
      <c r="BH322" s="19">
        <v>-5.5E-2</v>
      </c>
    </row>
    <row r="323" spans="1:60" ht="18" customHeight="1" thickBot="1" x14ac:dyDescent="0.25">
      <c r="A323" t="s">
        <v>5632</v>
      </c>
      <c r="C323" s="4">
        <v>45303</v>
      </c>
      <c r="BD323" s="44" t="s">
        <v>5625</v>
      </c>
      <c r="BE323" s="36" t="s">
        <v>5712</v>
      </c>
      <c r="BF323" s="40">
        <v>2</v>
      </c>
      <c r="BG323" s="17">
        <v>3</v>
      </c>
      <c r="BH323" s="34">
        <v>-0.02</v>
      </c>
    </row>
    <row r="324" spans="1:60" ht="18" customHeight="1" thickBot="1" x14ac:dyDescent="0.25">
      <c r="B324" t="s">
        <v>5633</v>
      </c>
      <c r="BD324" s="44" t="s">
        <v>5714</v>
      </c>
      <c r="BE324" s="36" t="s">
        <v>5715</v>
      </c>
      <c r="BF324" s="17">
        <v>2</v>
      </c>
      <c r="BG324" s="34">
        <v>-0.04</v>
      </c>
      <c r="BH324" s="34">
        <v>-0.04</v>
      </c>
    </row>
    <row r="325" spans="1:60" ht="18" customHeight="1" thickBot="1" x14ac:dyDescent="0.25">
      <c r="BD325" s="44" t="s">
        <v>5716</v>
      </c>
      <c r="BE325" s="36" t="s">
        <v>5717</v>
      </c>
      <c r="BF325" s="17">
        <v>2</v>
      </c>
      <c r="BG325" s="17" t="s">
        <v>5815</v>
      </c>
      <c r="BH325" s="18" t="s">
        <v>5897</v>
      </c>
    </row>
    <row r="326" spans="1:60" ht="18" customHeight="1" thickBot="1" x14ac:dyDescent="0.25">
      <c r="BD326" s="44" t="s">
        <v>5816</v>
      </c>
      <c r="BE326" s="36" t="s">
        <v>5713</v>
      </c>
      <c r="BF326" s="17">
        <v>2</v>
      </c>
      <c r="BG326" s="18" t="s">
        <v>5817</v>
      </c>
      <c r="BH326" s="34">
        <v>-7.3999999999999996E-2</v>
      </c>
    </row>
    <row r="327" spans="1:60" ht="18" customHeight="1" thickBot="1" x14ac:dyDescent="0.25">
      <c r="BD327" s="44" t="s">
        <v>5818</v>
      </c>
      <c r="BE327" s="36" t="s">
        <v>5718</v>
      </c>
      <c r="BF327" s="17" t="s">
        <v>5719</v>
      </c>
      <c r="BG327" s="17">
        <v>3</v>
      </c>
      <c r="BH327" s="18" t="s">
        <v>5898</v>
      </c>
    </row>
    <row r="328" spans="1:60" ht="18" customHeight="1" thickBot="1" x14ac:dyDescent="0.25">
      <c r="A328" t="s">
        <v>2855</v>
      </c>
      <c r="C328" s="4">
        <v>45306</v>
      </c>
      <c r="AM328" s="54" t="s">
        <v>5733</v>
      </c>
      <c r="AN328" s="53" t="s">
        <v>5734</v>
      </c>
      <c r="AQ328" s="54" t="s">
        <v>5738</v>
      </c>
      <c r="AR328" s="54" t="s">
        <v>5735</v>
      </c>
      <c r="AU328" s="54" t="s">
        <v>5736</v>
      </c>
      <c r="BA328" s="54" t="s">
        <v>5829</v>
      </c>
      <c r="BD328" s="54" t="s">
        <v>5899</v>
      </c>
      <c r="BE328" s="44" t="s">
        <v>5819</v>
      </c>
      <c r="BF328" s="36" t="s">
        <v>5820</v>
      </c>
      <c r="BG328" s="40">
        <v>2</v>
      </c>
      <c r="BH328" s="40">
        <v>3</v>
      </c>
    </row>
    <row r="329" spans="1:60" ht="18" customHeight="1" thickBot="1" x14ac:dyDescent="0.25">
      <c r="BE329" s="44" t="s">
        <v>5821</v>
      </c>
      <c r="BF329" s="36" t="s">
        <v>5822</v>
      </c>
      <c r="BG329" s="17">
        <v>2</v>
      </c>
      <c r="BH329" s="34">
        <v>-5.3999999999999999E-2</v>
      </c>
    </row>
    <row r="330" spans="1:60" ht="18" customHeight="1" thickBot="1" x14ac:dyDescent="0.25">
      <c r="BE330" s="44" t="s">
        <v>5821</v>
      </c>
      <c r="BF330" s="36" t="s">
        <v>3030</v>
      </c>
      <c r="BG330" s="17">
        <v>2</v>
      </c>
      <c r="BH330" s="35">
        <v>0.03</v>
      </c>
    </row>
    <row r="331" spans="1:60" ht="18" customHeight="1" thickBot="1" x14ac:dyDescent="0.25">
      <c r="BE331" s="44" t="s">
        <v>5900</v>
      </c>
      <c r="BF331" s="36" t="s">
        <v>5823</v>
      </c>
      <c r="BG331" s="17">
        <v>2</v>
      </c>
      <c r="BH331" s="17">
        <v>3</v>
      </c>
    </row>
    <row r="332" spans="1:60" ht="18" customHeight="1" thickBot="1" x14ac:dyDescent="0.25">
      <c r="A332" t="s">
        <v>2855</v>
      </c>
      <c r="C332" s="4">
        <v>45307</v>
      </c>
      <c r="AM332" s="54" t="s">
        <v>5824</v>
      </c>
      <c r="AN332" s="54" t="s">
        <v>5825</v>
      </c>
      <c r="AQ332" s="54" t="s">
        <v>5826</v>
      </c>
      <c r="AR332" s="54" t="s">
        <v>5827</v>
      </c>
      <c r="AU332" s="54" t="s">
        <v>5828</v>
      </c>
      <c r="BA332" s="54" t="s">
        <v>5830</v>
      </c>
      <c r="BE332" s="54" t="s">
        <v>5917</v>
      </c>
      <c r="BF332" s="44" t="s">
        <v>5901</v>
      </c>
      <c r="BG332" s="36" t="s">
        <v>5902</v>
      </c>
      <c r="BH332" s="40">
        <v>2</v>
      </c>
    </row>
    <row r="333" spans="1:60" ht="18" customHeight="1" thickBot="1" x14ac:dyDescent="0.25">
      <c r="BE333" s="54" t="s">
        <v>5918</v>
      </c>
      <c r="BF333" s="44" t="s">
        <v>5907</v>
      </c>
      <c r="BG333" s="36" t="s">
        <v>5908</v>
      </c>
      <c r="BH333" s="17">
        <v>2</v>
      </c>
    </row>
    <row r="334" spans="1:60" ht="18" customHeight="1" thickBot="1" x14ac:dyDescent="0.25">
      <c r="BF334" s="44" t="s">
        <v>5903</v>
      </c>
      <c r="BG334" s="36" t="s">
        <v>5904</v>
      </c>
      <c r="BH334" s="40">
        <v>2</v>
      </c>
    </row>
    <row r="335" spans="1:60" ht="18" customHeight="1" thickBot="1" x14ac:dyDescent="0.25">
      <c r="AU335" s="54" t="s">
        <v>5920</v>
      </c>
      <c r="BF335" s="44" t="s">
        <v>5909</v>
      </c>
      <c r="BG335" s="36" t="s">
        <v>2474</v>
      </c>
      <c r="BH335" s="17">
        <v>2</v>
      </c>
    </row>
    <row r="336" spans="1:60" ht="18" customHeight="1" thickBot="1" x14ac:dyDescent="0.25">
      <c r="BD336" s="3">
        <v>1</v>
      </c>
      <c r="BF336" s="44" t="s">
        <v>5905</v>
      </c>
      <c r="BG336" s="36" t="s">
        <v>5906</v>
      </c>
      <c r="BH336" s="40">
        <v>2</v>
      </c>
    </row>
    <row r="337" spans="1:60" ht="18" customHeight="1" thickBot="1" x14ac:dyDescent="0.25">
      <c r="BD337" s="3">
        <v>1</v>
      </c>
      <c r="BF337" s="44" t="s">
        <v>5905</v>
      </c>
      <c r="BG337" s="36" t="s">
        <v>5910</v>
      </c>
      <c r="BH337" s="17">
        <v>2</v>
      </c>
    </row>
    <row r="338" spans="1:60" ht="18" customHeight="1" thickBot="1" x14ac:dyDescent="0.25">
      <c r="BF338" s="44" t="s">
        <v>5911</v>
      </c>
      <c r="BG338" s="36" t="s">
        <v>2434</v>
      </c>
      <c r="BH338" s="17">
        <v>2</v>
      </c>
    </row>
    <row r="339" spans="1:60" ht="18" customHeight="1" thickBot="1" x14ac:dyDescent="0.25">
      <c r="A339" t="s">
        <v>2966</v>
      </c>
      <c r="C339" s="4">
        <v>45308</v>
      </c>
      <c r="AN339" s="54" t="s">
        <v>5912</v>
      </c>
      <c r="AQ339" s="54" t="s">
        <v>5913</v>
      </c>
      <c r="AR339" s="54" t="s">
        <v>5914</v>
      </c>
      <c r="AU339" s="54" t="s">
        <v>5921</v>
      </c>
      <c r="BA339" s="54" t="s">
        <v>5915</v>
      </c>
      <c r="BD339" s="54" t="s">
        <v>5916</v>
      </c>
      <c r="BE339" s="54" t="s">
        <v>5919</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J61" sqref="J61"/>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5894</v>
      </c>
      <c r="F1" s="2" t="s">
        <v>2269</v>
      </c>
      <c r="G1" s="2" t="s">
        <v>2268</v>
      </c>
      <c r="H1" s="2" t="s">
        <v>2267</v>
      </c>
      <c r="I1" s="28" t="s">
        <v>5893</v>
      </c>
      <c r="J1" s="28" t="s">
        <v>5892</v>
      </c>
      <c r="K1" s="28" t="s">
        <v>36</v>
      </c>
      <c r="L1" s="28" t="s">
        <v>5891</v>
      </c>
      <c r="M1" s="28" t="s">
        <v>230</v>
      </c>
      <c r="N1" s="28" t="s">
        <v>263</v>
      </c>
      <c r="O1" s="28" t="s">
        <v>259</v>
      </c>
      <c r="P1" s="28" t="s">
        <v>5890</v>
      </c>
      <c r="Q1" s="28" t="s">
        <v>5889</v>
      </c>
      <c r="R1" s="28" t="s">
        <v>5888</v>
      </c>
    </row>
    <row r="2" spans="1:18" x14ac:dyDescent="0.2">
      <c r="A2" s="28" t="s">
        <v>5313</v>
      </c>
      <c r="B2" s="28" t="s">
        <v>5312</v>
      </c>
      <c r="C2" s="29">
        <v>9.9599999999999994E-2</v>
      </c>
      <c r="D2" s="28">
        <v>8.7200000000000006</v>
      </c>
      <c r="E2" s="30">
        <v>0.39601851851851855</v>
      </c>
      <c r="I2" s="30">
        <v>0.39653935185185185</v>
      </c>
      <c r="J2" s="28">
        <v>7</v>
      </c>
      <c r="K2" s="28">
        <v>2642028900</v>
      </c>
      <c r="L2" s="28" t="s">
        <v>5606</v>
      </c>
      <c r="M2" s="28" t="s">
        <v>231</v>
      </c>
      <c r="N2" s="28">
        <v>458759</v>
      </c>
      <c r="O2" s="28">
        <v>22.48</v>
      </c>
      <c r="P2" s="28">
        <v>100</v>
      </c>
      <c r="Q2" s="28">
        <v>12.93</v>
      </c>
      <c r="R2" s="28">
        <v>28.06</v>
      </c>
    </row>
    <row r="3" spans="1:18" x14ac:dyDescent="0.2">
      <c r="A3" s="28" t="s">
        <v>5690</v>
      </c>
      <c r="B3" s="28" t="s">
        <v>5689</v>
      </c>
      <c r="C3" s="29">
        <v>9.98E-2</v>
      </c>
      <c r="D3" s="28">
        <v>5.4</v>
      </c>
      <c r="E3" s="30">
        <v>0.39583333333333331</v>
      </c>
      <c r="I3" s="30">
        <v>0.39583333333333331</v>
      </c>
      <c r="J3" s="28">
        <v>3</v>
      </c>
      <c r="K3" s="28">
        <v>2334356700</v>
      </c>
      <c r="L3" s="28" t="s">
        <v>5688</v>
      </c>
      <c r="M3" s="28" t="s">
        <v>233</v>
      </c>
      <c r="N3" s="28">
        <v>196611</v>
      </c>
      <c r="O3" s="28">
        <v>37.96</v>
      </c>
      <c r="P3" s="28">
        <v>100</v>
      </c>
      <c r="Q3" s="28">
        <v>1.65</v>
      </c>
      <c r="R3" s="28">
        <v>365.62</v>
      </c>
    </row>
    <row r="4" spans="1:18" x14ac:dyDescent="0.2">
      <c r="A4" s="28" t="s">
        <v>5677</v>
      </c>
      <c r="B4" s="28" t="s">
        <v>5676</v>
      </c>
      <c r="C4" s="29">
        <v>9.9900000000000003E-2</v>
      </c>
      <c r="D4" s="28">
        <v>16.62</v>
      </c>
      <c r="E4" s="30">
        <v>0.40504629629629635</v>
      </c>
      <c r="I4" s="30">
        <v>0.61481481481481481</v>
      </c>
      <c r="J4" s="28">
        <v>3</v>
      </c>
      <c r="K4" s="28">
        <v>3010968800</v>
      </c>
      <c r="L4" s="28" t="s">
        <v>5887</v>
      </c>
      <c r="M4" s="28" t="s">
        <v>231</v>
      </c>
      <c r="N4" s="28">
        <v>196611</v>
      </c>
      <c r="O4" s="28">
        <v>65.849999999999994</v>
      </c>
      <c r="P4" s="28">
        <v>100</v>
      </c>
      <c r="Q4" s="28">
        <v>17.100000000000001</v>
      </c>
      <c r="R4" s="28">
        <v>2.0699999999999998</v>
      </c>
    </row>
    <row r="5" spans="1:18" x14ac:dyDescent="0.2">
      <c r="A5" s="28" t="s">
        <v>266</v>
      </c>
      <c r="B5" s="28" t="s">
        <v>267</v>
      </c>
      <c r="C5" s="29">
        <v>0.10009999999999999</v>
      </c>
      <c r="D5" s="28">
        <v>18.91</v>
      </c>
      <c r="E5" s="30">
        <v>0.57584490740740735</v>
      </c>
      <c r="I5" s="30">
        <v>0.57584490740740735</v>
      </c>
      <c r="J5" s="28">
        <v>2</v>
      </c>
      <c r="K5" s="28">
        <v>2461333600</v>
      </c>
      <c r="L5" s="28" t="s">
        <v>5790</v>
      </c>
      <c r="M5" s="28" t="s">
        <v>231</v>
      </c>
      <c r="N5" s="28">
        <v>131074</v>
      </c>
      <c r="O5" s="28">
        <v>2.38</v>
      </c>
      <c r="P5" s="28">
        <v>95.7</v>
      </c>
      <c r="Q5" s="28">
        <v>21.91</v>
      </c>
      <c r="R5" s="28">
        <v>10.14</v>
      </c>
    </row>
    <row r="6" spans="1:18" x14ac:dyDescent="0.2">
      <c r="A6" s="28" t="s">
        <v>5127</v>
      </c>
      <c r="B6" s="28" t="s">
        <v>5126</v>
      </c>
      <c r="C6" s="29">
        <v>0.1003</v>
      </c>
      <c r="D6" s="28">
        <v>15.69</v>
      </c>
      <c r="E6" s="30">
        <v>0.39601851851851855</v>
      </c>
      <c r="I6" s="30">
        <v>0.40574074074074074</v>
      </c>
      <c r="J6" s="28">
        <v>2</v>
      </c>
      <c r="K6" s="28">
        <v>5390295500</v>
      </c>
      <c r="L6" s="28" t="s">
        <v>5886</v>
      </c>
      <c r="M6" s="28" t="s">
        <v>231</v>
      </c>
      <c r="N6" s="28">
        <v>131074</v>
      </c>
      <c r="O6" s="28">
        <v>51.15</v>
      </c>
      <c r="P6" s="28">
        <v>100</v>
      </c>
      <c r="Q6" s="28">
        <v>19.27</v>
      </c>
      <c r="R6" s="28">
        <v>6.78</v>
      </c>
    </row>
    <row r="7" spans="1:18" x14ac:dyDescent="0.2">
      <c r="A7" s="28" t="s">
        <v>5778</v>
      </c>
      <c r="B7" s="28" t="s">
        <v>5777</v>
      </c>
      <c r="C7" s="29">
        <v>9.98E-2</v>
      </c>
      <c r="D7" s="28">
        <v>15.32</v>
      </c>
      <c r="E7" s="30">
        <v>0.39583333333333331</v>
      </c>
      <c r="I7" s="30">
        <v>0.39583333333333331</v>
      </c>
      <c r="J7" s="28">
        <v>2</v>
      </c>
      <c r="K7" s="28">
        <v>4777965900</v>
      </c>
      <c r="L7" s="28" t="s">
        <v>5776</v>
      </c>
      <c r="M7" s="28" t="s">
        <v>233</v>
      </c>
      <c r="N7" s="28">
        <v>131074</v>
      </c>
      <c r="O7" s="28">
        <v>71.55</v>
      </c>
      <c r="P7" s="28">
        <v>86.03</v>
      </c>
      <c r="Q7" s="28">
        <v>0.86</v>
      </c>
      <c r="R7" s="28">
        <v>165.79</v>
      </c>
    </row>
    <row r="8" spans="1:18" x14ac:dyDescent="0.2">
      <c r="A8" s="28" t="s">
        <v>5775</v>
      </c>
      <c r="B8" s="28" t="s">
        <v>5774</v>
      </c>
      <c r="C8" s="29">
        <v>0.10059999999999999</v>
      </c>
      <c r="D8" s="28">
        <v>9.85</v>
      </c>
      <c r="E8" s="30">
        <v>0.39636574074074077</v>
      </c>
      <c r="I8" s="30">
        <v>0.46530092592592592</v>
      </c>
      <c r="J8" s="28">
        <v>2</v>
      </c>
      <c r="K8" s="28">
        <v>5971186500</v>
      </c>
      <c r="L8" s="28" t="s">
        <v>5773</v>
      </c>
      <c r="M8" s="28" t="s">
        <v>231</v>
      </c>
      <c r="N8" s="28">
        <v>131074</v>
      </c>
      <c r="O8" s="28">
        <v>61.14</v>
      </c>
      <c r="P8" s="28">
        <v>100</v>
      </c>
      <c r="Q8" s="28">
        <v>7.28</v>
      </c>
      <c r="R8" s="28">
        <v>4.4400000000000004</v>
      </c>
    </row>
    <row r="9" spans="1:18" x14ac:dyDescent="0.2">
      <c r="A9" s="28" t="s">
        <v>1224</v>
      </c>
      <c r="B9" s="28" t="s">
        <v>1225</v>
      </c>
      <c r="C9" s="29">
        <v>0.1002</v>
      </c>
      <c r="D9" s="28">
        <v>10.98</v>
      </c>
      <c r="E9" s="30">
        <v>0.39583333333333331</v>
      </c>
      <c r="I9" s="30">
        <v>0.39583333333333331</v>
      </c>
      <c r="J9" s="28">
        <v>2</v>
      </c>
      <c r="K9" s="28">
        <v>2408572800</v>
      </c>
      <c r="L9" s="28" t="s">
        <v>5772</v>
      </c>
      <c r="M9" s="28" t="s">
        <v>233</v>
      </c>
      <c r="N9" s="28">
        <v>131074</v>
      </c>
      <c r="O9" s="28">
        <v>68.06</v>
      </c>
      <c r="P9" s="28">
        <v>99.82</v>
      </c>
      <c r="Q9" s="28">
        <v>0.28000000000000003</v>
      </c>
      <c r="R9" s="28">
        <v>1132.6500000000001</v>
      </c>
    </row>
    <row r="10" spans="1:18" x14ac:dyDescent="0.2">
      <c r="A10" s="28" t="s">
        <v>98</v>
      </c>
      <c r="B10" s="28" t="s">
        <v>99</v>
      </c>
      <c r="C10" s="29">
        <v>0.1003</v>
      </c>
      <c r="D10" s="28">
        <v>16.45</v>
      </c>
      <c r="E10" s="30">
        <v>0.45453703703703702</v>
      </c>
      <c r="I10" s="30">
        <v>0.45453703703703702</v>
      </c>
      <c r="J10" s="28">
        <v>2</v>
      </c>
      <c r="K10" s="28">
        <v>6988973300</v>
      </c>
      <c r="L10" s="28" t="s">
        <v>3775</v>
      </c>
      <c r="M10" s="28" t="s">
        <v>231</v>
      </c>
      <c r="N10" s="28">
        <v>131074</v>
      </c>
      <c r="O10" s="28">
        <v>32.58</v>
      </c>
      <c r="P10" s="28">
        <v>98.73</v>
      </c>
      <c r="Q10" s="28">
        <v>27.18</v>
      </c>
      <c r="R10" s="28">
        <v>7.36</v>
      </c>
    </row>
    <row r="11" spans="1:18" x14ac:dyDescent="0.2">
      <c r="A11" s="28" t="s">
        <v>2088</v>
      </c>
      <c r="B11" s="28" t="s">
        <v>2089</v>
      </c>
      <c r="C11" s="29">
        <v>9.9699999999999997E-2</v>
      </c>
      <c r="D11" s="28">
        <v>8.7100000000000009</v>
      </c>
      <c r="E11" s="30">
        <v>0.39583333333333331</v>
      </c>
      <c r="I11" s="30">
        <v>0.39583333333333331</v>
      </c>
      <c r="J11" s="28">
        <v>2</v>
      </c>
      <c r="K11" s="28">
        <v>4465857700</v>
      </c>
      <c r="L11" s="28" t="s">
        <v>5759</v>
      </c>
      <c r="M11" s="28" t="s">
        <v>233</v>
      </c>
      <c r="N11" s="28">
        <v>131074</v>
      </c>
      <c r="O11" s="28">
        <v>32.380000000000003</v>
      </c>
      <c r="P11" s="28">
        <v>100</v>
      </c>
      <c r="Q11" s="28">
        <v>3.44</v>
      </c>
      <c r="R11" s="28">
        <v>129.91</v>
      </c>
    </row>
    <row r="12" spans="1:18" x14ac:dyDescent="0.2">
      <c r="A12" s="28" t="s">
        <v>5885</v>
      </c>
      <c r="B12" s="28" t="s">
        <v>5884</v>
      </c>
      <c r="C12" s="29">
        <v>9.9900000000000003E-2</v>
      </c>
      <c r="D12" s="28">
        <v>19.7</v>
      </c>
      <c r="E12" s="30">
        <v>0.40487268518518515</v>
      </c>
      <c r="I12" s="30">
        <v>0.40487268518518515</v>
      </c>
      <c r="J12" s="28">
        <v>1</v>
      </c>
      <c r="K12" s="28">
        <v>1313484700</v>
      </c>
      <c r="L12" s="28" t="s">
        <v>5883</v>
      </c>
      <c r="M12" s="28" t="s">
        <v>231</v>
      </c>
      <c r="N12" s="28">
        <v>65537</v>
      </c>
      <c r="O12" s="28">
        <v>16.760000000000002</v>
      </c>
      <c r="P12" s="28">
        <v>89.47</v>
      </c>
      <c r="Q12" s="28">
        <v>7.93</v>
      </c>
      <c r="R12" s="28">
        <v>113.61</v>
      </c>
    </row>
    <row r="13" spans="1:18" x14ac:dyDescent="0.2">
      <c r="A13" s="28" t="s">
        <v>5755</v>
      </c>
      <c r="B13" s="28" t="s">
        <v>5754</v>
      </c>
      <c r="C13" s="29">
        <v>0.10009999999999999</v>
      </c>
      <c r="D13" s="28">
        <v>12.75</v>
      </c>
      <c r="E13" s="30">
        <v>0.39601851851851855</v>
      </c>
      <c r="I13" s="30">
        <v>0.39879629629629632</v>
      </c>
      <c r="J13" s="28">
        <v>1</v>
      </c>
      <c r="K13" s="28">
        <v>3102977900</v>
      </c>
      <c r="L13" s="28" t="s">
        <v>5882</v>
      </c>
      <c r="M13" s="28" t="s">
        <v>231</v>
      </c>
      <c r="N13" s="28">
        <v>65537</v>
      </c>
      <c r="O13" s="28">
        <v>8.35</v>
      </c>
      <c r="P13" s="28">
        <v>84.04</v>
      </c>
      <c r="Q13" s="28">
        <v>7.99</v>
      </c>
      <c r="R13" s="28">
        <v>14.98</v>
      </c>
    </row>
    <row r="14" spans="1:18" x14ac:dyDescent="0.2">
      <c r="A14" s="28" t="s">
        <v>5881</v>
      </c>
      <c r="B14" s="28" t="s">
        <v>5880</v>
      </c>
      <c r="C14" s="29">
        <v>9.9699999999999997E-2</v>
      </c>
      <c r="D14" s="28">
        <v>8.7100000000000009</v>
      </c>
      <c r="E14" s="30">
        <v>0.39983796296296298</v>
      </c>
      <c r="I14" s="30">
        <v>0.39983796296296298</v>
      </c>
      <c r="J14" s="28">
        <v>1</v>
      </c>
      <c r="K14" s="28">
        <v>3841177900</v>
      </c>
      <c r="L14" s="28" t="s">
        <v>5879</v>
      </c>
      <c r="M14" s="28" t="s">
        <v>231</v>
      </c>
      <c r="N14" s="28">
        <v>65537</v>
      </c>
      <c r="O14" s="28">
        <v>7.33</v>
      </c>
      <c r="P14" s="28">
        <v>100</v>
      </c>
      <c r="Q14" s="28">
        <v>8.5500000000000007</v>
      </c>
      <c r="R14" s="28">
        <v>25.26</v>
      </c>
    </row>
    <row r="15" spans="1:18" x14ac:dyDescent="0.2">
      <c r="A15" s="28" t="s">
        <v>5651</v>
      </c>
      <c r="B15" s="28" t="s">
        <v>5650</v>
      </c>
      <c r="C15" s="29">
        <v>9.9699999999999997E-2</v>
      </c>
      <c r="D15" s="28">
        <v>8.6</v>
      </c>
      <c r="E15" s="30">
        <v>0.39810185185185182</v>
      </c>
      <c r="I15" s="30">
        <v>0.62262731481481481</v>
      </c>
      <c r="J15" s="28">
        <v>1</v>
      </c>
      <c r="K15" s="28">
        <v>2695909000</v>
      </c>
      <c r="L15" s="28" t="s">
        <v>5878</v>
      </c>
      <c r="M15" s="28" t="s">
        <v>231</v>
      </c>
      <c r="N15" s="28">
        <v>65537</v>
      </c>
      <c r="O15" s="28">
        <v>32.22</v>
      </c>
      <c r="P15" s="28">
        <v>100</v>
      </c>
      <c r="Q15" s="28">
        <v>34.61</v>
      </c>
      <c r="R15" s="28">
        <v>0.34</v>
      </c>
    </row>
    <row r="16" spans="1:18" x14ac:dyDescent="0.2">
      <c r="A16" s="28" t="s">
        <v>5877</v>
      </c>
      <c r="B16" s="28" t="s">
        <v>5876</v>
      </c>
      <c r="C16" s="29">
        <v>9.9400000000000002E-2</v>
      </c>
      <c r="D16" s="28">
        <v>7.19</v>
      </c>
      <c r="E16" s="30">
        <v>0.56751157407407404</v>
      </c>
      <c r="I16" s="30">
        <v>0.56751157407407404</v>
      </c>
      <c r="J16" s="28">
        <v>1</v>
      </c>
      <c r="K16" s="28">
        <v>2894428700</v>
      </c>
      <c r="L16" s="28" t="s">
        <v>5875</v>
      </c>
      <c r="M16" s="28" t="s">
        <v>231</v>
      </c>
      <c r="N16" s="28">
        <v>65537</v>
      </c>
      <c r="O16" s="28">
        <v>63.28</v>
      </c>
      <c r="P16" s="28">
        <v>95.78</v>
      </c>
      <c r="Q16" s="28">
        <v>9.9700000000000006</v>
      </c>
      <c r="R16" s="28">
        <v>2.82</v>
      </c>
    </row>
    <row r="17" spans="1:18" x14ac:dyDescent="0.2">
      <c r="A17" s="28" t="s">
        <v>5153</v>
      </c>
      <c r="B17" s="28" t="s">
        <v>5152</v>
      </c>
      <c r="C17" s="29">
        <v>0.10050000000000001</v>
      </c>
      <c r="D17" s="28">
        <v>4.38</v>
      </c>
      <c r="E17" s="30">
        <v>0.55501157407407409</v>
      </c>
      <c r="I17" s="30">
        <v>0.55501157407407409</v>
      </c>
      <c r="J17" s="28">
        <v>1</v>
      </c>
      <c r="K17" s="28">
        <v>3351891300</v>
      </c>
      <c r="L17" s="28" t="s">
        <v>5874</v>
      </c>
      <c r="M17" s="28" t="s">
        <v>231</v>
      </c>
      <c r="N17" s="28">
        <v>65537</v>
      </c>
      <c r="O17" s="28">
        <v>32.950000000000003</v>
      </c>
      <c r="P17" s="28">
        <v>98.94</v>
      </c>
      <c r="Q17" s="28">
        <v>16.510000000000002</v>
      </c>
      <c r="R17" s="28">
        <v>12.54</v>
      </c>
    </row>
    <row r="18" spans="1:18" x14ac:dyDescent="0.2">
      <c r="A18" s="28" t="s">
        <v>1299</v>
      </c>
      <c r="B18" s="28" t="s">
        <v>1300</v>
      </c>
      <c r="C18" s="29">
        <v>0.10050000000000001</v>
      </c>
      <c r="D18" s="28">
        <v>8.76</v>
      </c>
      <c r="E18" s="30">
        <v>0.4236226851851852</v>
      </c>
      <c r="I18" s="30">
        <v>0.4236226851851852</v>
      </c>
      <c r="J18" s="28">
        <v>1</v>
      </c>
      <c r="K18" s="28">
        <v>3303178600</v>
      </c>
      <c r="L18" s="28" t="s">
        <v>5873</v>
      </c>
      <c r="M18" s="28" t="s">
        <v>231</v>
      </c>
      <c r="N18" s="28">
        <v>131075</v>
      </c>
      <c r="O18" s="28">
        <v>17.920000000000002</v>
      </c>
      <c r="P18" s="28">
        <v>99.66</v>
      </c>
      <c r="Q18" s="28">
        <v>25.65</v>
      </c>
      <c r="R18" s="28">
        <v>2.2999999999999998</v>
      </c>
    </row>
    <row r="19" spans="1:18" x14ac:dyDescent="0.2">
      <c r="A19" s="28" t="s">
        <v>39</v>
      </c>
      <c r="B19" s="28" t="s">
        <v>40</v>
      </c>
      <c r="C19" s="29">
        <v>0.1003</v>
      </c>
      <c r="D19" s="28">
        <v>10.64</v>
      </c>
      <c r="E19" s="30">
        <v>0.40487268518518515</v>
      </c>
      <c r="H19" s="28"/>
      <c r="I19" s="30">
        <v>0.40487268518518515</v>
      </c>
      <c r="J19" s="28">
        <v>1</v>
      </c>
      <c r="K19" s="28">
        <v>4252865200</v>
      </c>
      <c r="L19" s="28" t="s">
        <v>5872</v>
      </c>
      <c r="M19" s="28" t="s">
        <v>231</v>
      </c>
      <c r="N19" s="28">
        <v>65537</v>
      </c>
      <c r="O19" s="28">
        <v>37.020000000000003</v>
      </c>
      <c r="P19" s="28">
        <v>89.25</v>
      </c>
      <c r="Q19" s="28">
        <v>4.66</v>
      </c>
      <c r="R19" s="28">
        <v>31.46</v>
      </c>
    </row>
    <row r="20" spans="1:18" x14ac:dyDescent="0.2">
      <c r="A20" s="28" t="s">
        <v>5871</v>
      </c>
      <c r="B20" s="28" t="s">
        <v>5870</v>
      </c>
      <c r="C20" s="29">
        <v>0.10009999999999999</v>
      </c>
      <c r="D20" s="28">
        <v>14.4</v>
      </c>
      <c r="E20" s="30">
        <v>0.40956018518518517</v>
      </c>
      <c r="I20" s="30">
        <v>0.40956018518518517</v>
      </c>
      <c r="J20" s="28">
        <v>1</v>
      </c>
      <c r="K20" s="28">
        <v>906720480</v>
      </c>
      <c r="L20" s="28" t="s">
        <v>5869</v>
      </c>
      <c r="M20" s="28" t="s">
        <v>231</v>
      </c>
      <c r="N20" s="28">
        <v>65537</v>
      </c>
      <c r="O20" s="28">
        <v>4.1900000000000004</v>
      </c>
      <c r="P20" s="28">
        <v>100</v>
      </c>
      <c r="Q20" s="28">
        <v>7.24</v>
      </c>
      <c r="R20" s="28">
        <v>89.75</v>
      </c>
    </row>
    <row r="21" spans="1:18" x14ac:dyDescent="0.2">
      <c r="A21" s="28" t="s">
        <v>5276</v>
      </c>
      <c r="B21" s="28" t="s">
        <v>5275</v>
      </c>
      <c r="C21" s="29">
        <v>0.1013</v>
      </c>
      <c r="D21" s="28">
        <v>2.61</v>
      </c>
      <c r="E21" s="30">
        <v>0.46460648148148148</v>
      </c>
      <c r="I21" s="30">
        <v>0.61655092592592597</v>
      </c>
      <c r="J21" s="28">
        <v>1</v>
      </c>
      <c r="K21" s="28">
        <v>4995375300</v>
      </c>
      <c r="L21" s="28" t="s">
        <v>5868</v>
      </c>
      <c r="M21" s="28" t="s">
        <v>231</v>
      </c>
      <c r="N21" s="28">
        <v>65537</v>
      </c>
      <c r="O21" s="28">
        <v>18.39</v>
      </c>
      <c r="P21" s="28">
        <v>77.05</v>
      </c>
      <c r="Q21" s="28">
        <v>12.68</v>
      </c>
      <c r="R21" s="28">
        <v>0.78</v>
      </c>
    </row>
    <row r="22" spans="1:18" x14ac:dyDescent="0.2">
      <c r="A22" s="28" t="s">
        <v>5867</v>
      </c>
      <c r="B22" s="28" t="s">
        <v>5866</v>
      </c>
      <c r="C22" s="29">
        <v>0.1</v>
      </c>
      <c r="D22" s="28">
        <v>6.93</v>
      </c>
      <c r="E22" s="30">
        <v>0.40087962962962959</v>
      </c>
      <c r="I22" s="30">
        <v>0.40209490740740739</v>
      </c>
      <c r="J22" s="28">
        <v>1</v>
      </c>
      <c r="K22" s="28">
        <v>2513148500</v>
      </c>
      <c r="L22" s="28" t="s">
        <v>5865</v>
      </c>
      <c r="M22" s="28" t="s">
        <v>231</v>
      </c>
      <c r="N22" s="28">
        <v>65537</v>
      </c>
      <c r="O22" s="28">
        <v>8.67</v>
      </c>
      <c r="P22" s="28">
        <v>100</v>
      </c>
      <c r="Q22" s="28">
        <v>18.420000000000002</v>
      </c>
      <c r="R22" s="28">
        <v>44.14</v>
      </c>
    </row>
    <row r="23" spans="1:18" x14ac:dyDescent="0.2">
      <c r="A23" s="28" t="s">
        <v>5864</v>
      </c>
      <c r="B23" s="28" t="s">
        <v>5863</v>
      </c>
      <c r="C23" s="29">
        <v>0.10009999999999999</v>
      </c>
      <c r="D23" s="28">
        <v>9.23</v>
      </c>
      <c r="E23" s="30">
        <v>0.44620370370370371</v>
      </c>
      <c r="I23" s="30">
        <v>0.44620370370370371</v>
      </c>
      <c r="J23" s="28">
        <v>1</v>
      </c>
      <c r="K23" s="28">
        <v>3127962300</v>
      </c>
      <c r="L23" s="28" t="s">
        <v>5862</v>
      </c>
      <c r="M23" s="28" t="s">
        <v>231</v>
      </c>
      <c r="N23" s="28">
        <v>65537</v>
      </c>
      <c r="O23" s="28">
        <v>42.49</v>
      </c>
      <c r="P23" s="28">
        <v>83.2</v>
      </c>
      <c r="Q23" s="28">
        <v>7</v>
      </c>
      <c r="R23" s="28">
        <v>22.06</v>
      </c>
    </row>
    <row r="24" spans="1:18" x14ac:dyDescent="0.2">
      <c r="A24" s="28" t="s">
        <v>2033</v>
      </c>
      <c r="B24" s="28" t="s">
        <v>2034</v>
      </c>
      <c r="C24" s="29">
        <v>0.1003</v>
      </c>
      <c r="D24" s="28">
        <v>15.47</v>
      </c>
      <c r="E24" s="30">
        <v>0.42049768518518515</v>
      </c>
      <c r="I24" s="30">
        <v>0.56265046296296295</v>
      </c>
      <c r="J24" s="28">
        <v>1</v>
      </c>
      <c r="K24" s="28">
        <v>751648630</v>
      </c>
      <c r="L24" s="28" t="s">
        <v>5861</v>
      </c>
      <c r="M24" s="28" t="s">
        <v>231</v>
      </c>
      <c r="N24" s="28">
        <v>65537</v>
      </c>
      <c r="O24" s="28">
        <v>13.57</v>
      </c>
      <c r="P24" s="28">
        <v>99.49</v>
      </c>
      <c r="Q24" s="28">
        <v>24.04</v>
      </c>
      <c r="R24" s="28">
        <v>8.15</v>
      </c>
    </row>
    <row r="25" spans="1:18" x14ac:dyDescent="0.2">
      <c r="A25" s="28" t="s">
        <v>5860</v>
      </c>
      <c r="B25" s="28" t="s">
        <v>5859</v>
      </c>
      <c r="C25" s="29">
        <v>0.1</v>
      </c>
      <c r="D25" s="28">
        <v>17.27</v>
      </c>
      <c r="E25" s="30">
        <v>0.54195601851851849</v>
      </c>
      <c r="I25" s="30">
        <v>0.54195601851851849</v>
      </c>
      <c r="J25" s="28">
        <v>1</v>
      </c>
      <c r="K25" s="28">
        <v>2321088000</v>
      </c>
      <c r="L25" s="28" t="s">
        <v>5858</v>
      </c>
      <c r="M25" s="28" t="s">
        <v>231</v>
      </c>
      <c r="N25" s="28">
        <v>65537</v>
      </c>
      <c r="O25" s="28">
        <v>4.92</v>
      </c>
      <c r="P25" s="28">
        <v>100</v>
      </c>
      <c r="Q25" s="28">
        <v>3.96</v>
      </c>
      <c r="R25" s="28">
        <v>45.94</v>
      </c>
    </row>
    <row r="26" spans="1:18" x14ac:dyDescent="0.2">
      <c r="A26" s="28" t="s">
        <v>5857</v>
      </c>
      <c r="B26" s="28" t="s">
        <v>5856</v>
      </c>
      <c r="C26" s="29">
        <v>0.1002</v>
      </c>
      <c r="D26" s="28">
        <v>13.61</v>
      </c>
      <c r="E26" s="30">
        <v>0.42049768518518515</v>
      </c>
      <c r="I26" s="30">
        <v>0.42049768518518515</v>
      </c>
      <c r="J26" s="28">
        <v>1</v>
      </c>
      <c r="K26" s="28">
        <v>4879038700</v>
      </c>
      <c r="L26" s="28" t="s">
        <v>5855</v>
      </c>
      <c r="M26" s="28" t="s">
        <v>231</v>
      </c>
      <c r="N26" s="28">
        <v>65537</v>
      </c>
      <c r="O26" s="28">
        <v>27.09</v>
      </c>
      <c r="P26" s="28">
        <v>100</v>
      </c>
      <c r="Q26" s="28">
        <v>4.67</v>
      </c>
      <c r="R26" s="28">
        <v>17.52</v>
      </c>
    </row>
    <row r="27" spans="1:18" x14ac:dyDescent="0.2">
      <c r="A27" s="28" t="s">
        <v>338</v>
      </c>
      <c r="B27" s="28" t="s">
        <v>339</v>
      </c>
      <c r="C27" s="29">
        <v>9.98E-2</v>
      </c>
      <c r="D27" s="28">
        <v>18.18</v>
      </c>
      <c r="E27" s="30">
        <v>0.401400462962963</v>
      </c>
      <c r="I27" s="30">
        <v>0.40331018518518519</v>
      </c>
      <c r="J27" s="28">
        <v>1</v>
      </c>
      <c r="K27" s="28">
        <v>3564239500</v>
      </c>
      <c r="L27" s="28" t="s">
        <v>4869</v>
      </c>
      <c r="M27" s="28" t="s">
        <v>231</v>
      </c>
      <c r="N27" s="28">
        <v>65537</v>
      </c>
      <c r="O27" s="28">
        <v>56.51</v>
      </c>
      <c r="P27" s="28">
        <v>91.73</v>
      </c>
      <c r="Q27" s="28">
        <v>6.33</v>
      </c>
      <c r="R27" s="28">
        <v>13.99</v>
      </c>
    </row>
    <row r="28" spans="1:18" x14ac:dyDescent="0.2">
      <c r="A28" s="28" t="s">
        <v>5854</v>
      </c>
      <c r="B28" s="28" t="s">
        <v>5853</v>
      </c>
      <c r="C28" s="29">
        <v>0.1</v>
      </c>
      <c r="D28" s="28">
        <v>19.03</v>
      </c>
      <c r="E28" s="30">
        <v>0.4649537037037037</v>
      </c>
      <c r="I28" s="30">
        <v>0.61412037037037037</v>
      </c>
      <c r="J28" s="28">
        <v>1</v>
      </c>
      <c r="K28" s="28">
        <v>3937550600</v>
      </c>
      <c r="L28" s="28" t="s">
        <v>5852</v>
      </c>
      <c r="M28" s="28" t="s">
        <v>231</v>
      </c>
      <c r="N28" s="28">
        <v>65537</v>
      </c>
      <c r="O28" s="28">
        <v>12.21</v>
      </c>
      <c r="P28" s="28">
        <v>44.57</v>
      </c>
      <c r="Q28" s="28">
        <v>4.6100000000000003</v>
      </c>
      <c r="R28" s="28">
        <v>2.54</v>
      </c>
    </row>
    <row r="29" spans="1:18" x14ac:dyDescent="0.2">
      <c r="A29" s="28" t="s">
        <v>1835</v>
      </c>
      <c r="B29" s="28" t="s">
        <v>1836</v>
      </c>
      <c r="C29" s="29">
        <v>0.1</v>
      </c>
      <c r="D29" s="28">
        <v>39.06</v>
      </c>
      <c r="E29" s="30">
        <v>0.62210648148148151</v>
      </c>
      <c r="I29" s="30">
        <v>0.62210648148148151</v>
      </c>
      <c r="J29" s="28">
        <v>1</v>
      </c>
      <c r="K29" s="28">
        <v>10416130200</v>
      </c>
      <c r="L29" s="28" t="s">
        <v>5086</v>
      </c>
      <c r="M29" s="28" t="s">
        <v>231</v>
      </c>
      <c r="N29" s="28">
        <v>589836</v>
      </c>
      <c r="O29" s="28">
        <v>76.11</v>
      </c>
      <c r="P29" s="28">
        <v>100</v>
      </c>
      <c r="Q29" s="28">
        <v>18.53</v>
      </c>
      <c r="R29" s="28">
        <v>3.24</v>
      </c>
    </row>
    <row r="30" spans="1:18" x14ac:dyDescent="0.2">
      <c r="A30" s="28" t="s">
        <v>2067</v>
      </c>
      <c r="B30" s="28" t="s">
        <v>2068</v>
      </c>
      <c r="C30" s="29">
        <v>9.98E-2</v>
      </c>
      <c r="D30" s="28">
        <v>16.309999999999999</v>
      </c>
      <c r="E30" s="30">
        <v>0.57185185185185183</v>
      </c>
      <c r="I30" s="30">
        <v>0.61116898148148147</v>
      </c>
      <c r="J30" s="28">
        <v>1</v>
      </c>
      <c r="K30" s="28">
        <v>3370864300</v>
      </c>
      <c r="L30" s="28" t="s">
        <v>5466</v>
      </c>
      <c r="M30" s="28" t="s">
        <v>231</v>
      </c>
      <c r="N30" s="28">
        <v>262149</v>
      </c>
      <c r="O30" s="28">
        <v>0.86</v>
      </c>
      <c r="P30" s="28">
        <v>93.48</v>
      </c>
      <c r="Q30" s="28">
        <v>30.07</v>
      </c>
      <c r="R30" s="28">
        <v>2.3199999999999998</v>
      </c>
    </row>
    <row r="31" spans="1:18" x14ac:dyDescent="0.2">
      <c r="A31" s="28" t="s">
        <v>1515</v>
      </c>
      <c r="B31" s="28" t="s">
        <v>1516</v>
      </c>
      <c r="C31" s="29">
        <v>0.10050000000000001</v>
      </c>
      <c r="D31" s="28">
        <v>4.71</v>
      </c>
      <c r="E31" s="30">
        <v>0.39740740740740743</v>
      </c>
      <c r="I31" s="30">
        <v>0.39740740740740743</v>
      </c>
      <c r="J31" s="28">
        <v>1</v>
      </c>
      <c r="K31" s="28">
        <v>6197788100</v>
      </c>
      <c r="L31" s="28" t="s">
        <v>5851</v>
      </c>
      <c r="M31" s="28" t="s">
        <v>231</v>
      </c>
      <c r="N31" s="28">
        <v>65537</v>
      </c>
      <c r="O31" s="28">
        <v>71.61</v>
      </c>
      <c r="P31" s="28">
        <v>83.52</v>
      </c>
      <c r="Q31" s="28">
        <v>2.82</v>
      </c>
      <c r="R31" s="28">
        <v>53.32</v>
      </c>
    </row>
    <row r="32" spans="1:18" x14ac:dyDescent="0.2">
      <c r="A32" s="28" t="s">
        <v>5850</v>
      </c>
      <c r="B32" s="28" t="s">
        <v>5849</v>
      </c>
      <c r="C32" s="29">
        <v>9.8900000000000002E-2</v>
      </c>
      <c r="D32" s="28">
        <v>3</v>
      </c>
      <c r="E32" s="30">
        <v>0.40296296296296297</v>
      </c>
      <c r="I32" s="30">
        <v>0.40365740740740735</v>
      </c>
      <c r="J32" s="28">
        <v>1</v>
      </c>
      <c r="K32" s="28">
        <v>6874115600</v>
      </c>
      <c r="L32" s="28" t="s">
        <v>5848</v>
      </c>
      <c r="M32" s="28" t="s">
        <v>231</v>
      </c>
      <c r="N32" s="28">
        <v>65537</v>
      </c>
      <c r="O32" s="28">
        <v>70.39</v>
      </c>
      <c r="P32" s="28">
        <v>66.7</v>
      </c>
      <c r="Q32" s="28">
        <v>2.2599999999999998</v>
      </c>
      <c r="R32" s="28">
        <v>40.75</v>
      </c>
    </row>
    <row r="33" spans="1:18" x14ac:dyDescent="0.2">
      <c r="A33" s="28" t="s">
        <v>5847</v>
      </c>
      <c r="B33" s="28" t="s">
        <v>5846</v>
      </c>
      <c r="C33" s="29">
        <v>9.9400000000000002E-2</v>
      </c>
      <c r="D33" s="28">
        <v>5.42</v>
      </c>
      <c r="E33" s="30">
        <v>0.39706018518518515</v>
      </c>
      <c r="I33" s="30">
        <v>0.39706018518518515</v>
      </c>
      <c r="J33" s="28">
        <v>1</v>
      </c>
      <c r="K33" s="28">
        <v>2179440000</v>
      </c>
      <c r="L33" s="28" t="s">
        <v>5845</v>
      </c>
      <c r="M33" s="28" t="s">
        <v>231</v>
      </c>
      <c r="N33" s="28">
        <v>65537</v>
      </c>
      <c r="O33" s="28">
        <v>41.85</v>
      </c>
      <c r="P33" s="28">
        <v>94.61</v>
      </c>
      <c r="Q33" s="28">
        <v>2.61</v>
      </c>
      <c r="R33" s="28">
        <v>88.02</v>
      </c>
    </row>
    <row r="34" spans="1:18" x14ac:dyDescent="0.2">
      <c r="A34" s="28" t="s">
        <v>916</v>
      </c>
      <c r="B34" s="28" t="s">
        <v>917</v>
      </c>
      <c r="C34" s="29">
        <v>9.9900000000000003E-2</v>
      </c>
      <c r="D34" s="28">
        <v>14.97</v>
      </c>
      <c r="E34" s="30">
        <v>0.40695601851851854</v>
      </c>
      <c r="I34" s="30">
        <v>0.42553240740740739</v>
      </c>
      <c r="J34" s="28">
        <v>1</v>
      </c>
      <c r="K34" s="28">
        <v>6490105800</v>
      </c>
      <c r="L34" s="28" t="s">
        <v>4164</v>
      </c>
      <c r="M34" s="28" t="s">
        <v>231</v>
      </c>
      <c r="N34" s="28">
        <v>65537</v>
      </c>
      <c r="O34" s="28">
        <v>73.94</v>
      </c>
      <c r="P34" s="28">
        <v>47.55</v>
      </c>
      <c r="Q34" s="28">
        <v>3.23</v>
      </c>
      <c r="R34" s="28">
        <v>17.149999999999999</v>
      </c>
    </row>
    <row r="35" spans="1:18" x14ac:dyDescent="0.2">
      <c r="A35" s="28" t="s">
        <v>5661</v>
      </c>
      <c r="B35" s="28" t="s">
        <v>5660</v>
      </c>
      <c r="C35" s="29">
        <v>0.18540000000000001</v>
      </c>
      <c r="D35" s="28">
        <v>72.31</v>
      </c>
      <c r="E35" s="30">
        <v>0.56334490740740739</v>
      </c>
      <c r="I35" s="30">
        <v>0.56334490740740739</v>
      </c>
      <c r="J35" s="28">
        <v>0</v>
      </c>
      <c r="K35" s="28">
        <v>1898918400</v>
      </c>
      <c r="L35" s="28" t="s">
        <v>141</v>
      </c>
      <c r="M35" s="28" t="s">
        <v>141</v>
      </c>
      <c r="N35" s="28">
        <v>0</v>
      </c>
      <c r="O35" s="28">
        <v>20.55</v>
      </c>
      <c r="P35" s="28">
        <v>99.65</v>
      </c>
      <c r="Q35" s="28">
        <v>26.4</v>
      </c>
      <c r="R35" s="28" t="s">
        <v>141</v>
      </c>
    </row>
    <row r="36" spans="1:18" x14ac:dyDescent="0.2">
      <c r="A36" s="28" t="s">
        <v>316</v>
      </c>
      <c r="B36" s="28" t="s">
        <v>317</v>
      </c>
      <c r="C36" s="29">
        <v>-8.9300000000000004E-2</v>
      </c>
      <c r="D36" s="28">
        <v>36.520000000000003</v>
      </c>
      <c r="E36" s="28" t="s">
        <v>141</v>
      </c>
      <c r="I36" s="28" t="s">
        <v>141</v>
      </c>
      <c r="J36" s="28">
        <v>0</v>
      </c>
      <c r="K36" s="28">
        <v>4822284600</v>
      </c>
      <c r="L36" s="28" t="s">
        <v>141</v>
      </c>
      <c r="M36" s="28" t="s">
        <v>141</v>
      </c>
      <c r="N36" s="28">
        <v>0</v>
      </c>
      <c r="O36" s="28">
        <v>48.71</v>
      </c>
      <c r="P36" s="28">
        <v>42.1</v>
      </c>
      <c r="Q36" s="28">
        <v>19.36</v>
      </c>
      <c r="R36" s="28" t="s">
        <v>141</v>
      </c>
    </row>
    <row r="37" spans="1:18" x14ac:dyDescent="0.2">
      <c r="A37" s="28" t="s">
        <v>314</v>
      </c>
      <c r="B37" s="28" t="s">
        <v>315</v>
      </c>
      <c r="C37" s="29">
        <v>-0.10009999999999999</v>
      </c>
      <c r="D37" s="28">
        <v>20.32</v>
      </c>
      <c r="E37" s="28" t="s">
        <v>141</v>
      </c>
      <c r="I37" s="28" t="s">
        <v>141</v>
      </c>
      <c r="J37" s="28">
        <v>0</v>
      </c>
      <c r="K37" s="28">
        <v>5009388000</v>
      </c>
      <c r="L37" s="28" t="s">
        <v>141</v>
      </c>
      <c r="M37" s="28" t="s">
        <v>141</v>
      </c>
      <c r="N37" s="28">
        <v>0</v>
      </c>
      <c r="O37" s="28">
        <v>0</v>
      </c>
      <c r="P37" s="28">
        <v>31.64</v>
      </c>
      <c r="Q37" s="28">
        <v>2.17</v>
      </c>
      <c r="R37" s="28" t="s">
        <v>141</v>
      </c>
    </row>
    <row r="38" spans="1:18" x14ac:dyDescent="0.2">
      <c r="A38" s="28" t="s">
        <v>5512</v>
      </c>
      <c r="B38" s="28" t="s">
        <v>5511</v>
      </c>
      <c r="C38" s="29">
        <v>-5.4199999999999998E-2</v>
      </c>
      <c r="D38" s="28">
        <v>28.44</v>
      </c>
      <c r="E38" s="28" t="s">
        <v>141</v>
      </c>
      <c r="I38" s="28" t="s">
        <v>141</v>
      </c>
      <c r="J38" s="28">
        <v>0</v>
      </c>
      <c r="K38" s="28">
        <v>4345382000</v>
      </c>
      <c r="L38" s="28" t="s">
        <v>141</v>
      </c>
      <c r="M38" s="28" t="s">
        <v>141</v>
      </c>
      <c r="N38" s="28">
        <v>0</v>
      </c>
      <c r="O38" s="28">
        <v>62.99</v>
      </c>
      <c r="P38" s="28">
        <v>63.38</v>
      </c>
      <c r="Q38" s="28">
        <v>12.92</v>
      </c>
      <c r="R38" s="28" t="s">
        <v>141</v>
      </c>
    </row>
    <row r="39" spans="1:18" x14ac:dyDescent="0.2">
      <c r="A39" s="28" t="s">
        <v>5321</v>
      </c>
      <c r="B39" s="28" t="s">
        <v>5320</v>
      </c>
      <c r="C39" s="29">
        <v>7.0699999999999999E-2</v>
      </c>
      <c r="D39" s="28">
        <v>3.18</v>
      </c>
      <c r="E39" s="30">
        <v>0.39810185185185182</v>
      </c>
      <c r="H39" s="2" t="e">
        <f>AVERAGE((G39-F39)*100/G39)</f>
        <v>#DIV/0!</v>
      </c>
      <c r="I39" s="30">
        <v>0.39810185185185182</v>
      </c>
      <c r="J39" s="28">
        <v>0</v>
      </c>
      <c r="K39" s="28">
        <v>4482635700</v>
      </c>
      <c r="L39" s="28" t="s">
        <v>141</v>
      </c>
      <c r="M39" s="28" t="s">
        <v>141</v>
      </c>
      <c r="N39" s="28">
        <v>0</v>
      </c>
      <c r="O39" s="28">
        <v>36.39</v>
      </c>
      <c r="P39" s="28">
        <v>85.52</v>
      </c>
      <c r="Q39" s="28">
        <v>12.02</v>
      </c>
      <c r="R39" s="28" t="s">
        <v>141</v>
      </c>
    </row>
    <row r="40" spans="1:18" x14ac:dyDescent="0.2">
      <c r="A40" s="28" t="s">
        <v>5844</v>
      </c>
      <c r="B40" s="28" t="s">
        <v>5843</v>
      </c>
      <c r="C40" s="29">
        <v>6.8000000000000005E-2</v>
      </c>
      <c r="D40" s="28">
        <v>12.56</v>
      </c>
      <c r="E40" s="30">
        <v>0.41719907407407408</v>
      </c>
      <c r="I40" s="30">
        <v>0.44550925925925927</v>
      </c>
      <c r="J40" s="28">
        <v>0</v>
      </c>
      <c r="K40" s="28">
        <v>2963588300</v>
      </c>
      <c r="L40" s="28" t="s">
        <v>141</v>
      </c>
      <c r="M40" s="28" t="s">
        <v>141</v>
      </c>
      <c r="N40" s="28">
        <v>0</v>
      </c>
      <c r="O40" s="28">
        <v>4.04</v>
      </c>
      <c r="P40" s="28">
        <v>55.13</v>
      </c>
      <c r="Q40" s="28">
        <v>17.43</v>
      </c>
      <c r="R40" s="28" t="s">
        <v>141</v>
      </c>
    </row>
    <row r="41" spans="1:18" x14ac:dyDescent="0.2">
      <c r="A41" s="28" t="s">
        <v>1951</v>
      </c>
      <c r="B41" s="28" t="s">
        <v>1952</v>
      </c>
      <c r="C41" s="29">
        <v>-9.9900000000000003E-2</v>
      </c>
      <c r="D41" s="28">
        <v>15.31</v>
      </c>
      <c r="E41" s="28" t="s">
        <v>141</v>
      </c>
      <c r="I41" s="28" t="s">
        <v>141</v>
      </c>
      <c r="J41" s="28">
        <v>0</v>
      </c>
      <c r="K41" s="28">
        <v>2035139900</v>
      </c>
      <c r="L41" s="28" t="s">
        <v>141</v>
      </c>
      <c r="M41" s="28" t="s">
        <v>141</v>
      </c>
      <c r="N41" s="28">
        <v>0</v>
      </c>
      <c r="O41" s="28">
        <v>20.6</v>
      </c>
      <c r="P41" s="28">
        <v>1.1299999999999999</v>
      </c>
      <c r="Q41" s="28">
        <v>19.7</v>
      </c>
      <c r="R41" s="28" t="s">
        <v>141</v>
      </c>
    </row>
    <row r="42" spans="1:18" x14ac:dyDescent="0.2">
      <c r="A42" s="28" t="s">
        <v>5216</v>
      </c>
      <c r="B42" s="28" t="s">
        <v>5215</v>
      </c>
      <c r="C42" s="29">
        <v>-9.9500000000000005E-2</v>
      </c>
      <c r="D42" s="28">
        <v>8.9600000000000009</v>
      </c>
      <c r="E42" s="28" t="s">
        <v>141</v>
      </c>
      <c r="I42" s="28" t="s">
        <v>141</v>
      </c>
      <c r="J42" s="28">
        <v>0</v>
      </c>
      <c r="K42" s="28">
        <v>3718933100</v>
      </c>
      <c r="L42" s="28" t="s">
        <v>141</v>
      </c>
      <c r="M42" s="28" t="s">
        <v>141</v>
      </c>
      <c r="N42" s="28">
        <v>0</v>
      </c>
      <c r="O42" s="28">
        <v>33.229999999999997</v>
      </c>
      <c r="P42" s="28">
        <v>16.8</v>
      </c>
      <c r="Q42" s="28">
        <v>15.31</v>
      </c>
      <c r="R42" s="28" t="s">
        <v>141</v>
      </c>
    </row>
    <row r="43" spans="1:18" x14ac:dyDescent="0.2">
      <c r="A43" s="28" t="s">
        <v>5581</v>
      </c>
      <c r="B43" s="28" t="s">
        <v>5580</v>
      </c>
      <c r="C43" s="29">
        <v>-6.2300000000000001E-2</v>
      </c>
      <c r="D43" s="28">
        <v>8.73</v>
      </c>
      <c r="E43" s="30">
        <v>0.56942129629629623</v>
      </c>
      <c r="I43" s="30">
        <v>0.56942129629629623</v>
      </c>
      <c r="J43" s="28">
        <v>0</v>
      </c>
      <c r="K43" s="28">
        <v>2702385500</v>
      </c>
      <c r="L43" s="28" t="s">
        <v>141</v>
      </c>
      <c r="M43" s="28" t="s">
        <v>141</v>
      </c>
      <c r="N43" s="28">
        <v>0</v>
      </c>
      <c r="O43" s="28">
        <v>42.27</v>
      </c>
      <c r="P43" s="28">
        <v>45.18</v>
      </c>
      <c r="Q43" s="28">
        <v>42.38</v>
      </c>
      <c r="R43" s="28" t="s">
        <v>141</v>
      </c>
    </row>
    <row r="44" spans="1:18" x14ac:dyDescent="0.2">
      <c r="A44" s="28" t="s">
        <v>139</v>
      </c>
      <c r="B44" s="28" t="s">
        <v>140</v>
      </c>
      <c r="C44" s="29">
        <v>-9.9500000000000005E-2</v>
      </c>
      <c r="D44" s="28">
        <v>8.6</v>
      </c>
      <c r="E44" s="28" t="s">
        <v>141</v>
      </c>
      <c r="I44" s="28" t="s">
        <v>141</v>
      </c>
      <c r="J44" s="28">
        <v>0</v>
      </c>
      <c r="K44" s="28">
        <v>6119173700</v>
      </c>
      <c r="L44" s="28" t="s">
        <v>141</v>
      </c>
      <c r="M44" s="28" t="s">
        <v>141</v>
      </c>
      <c r="N44" s="28">
        <v>0</v>
      </c>
      <c r="O44" s="28">
        <v>33.619999999999997</v>
      </c>
      <c r="P44" s="28">
        <v>25.3</v>
      </c>
      <c r="Q44" s="28">
        <v>11.71</v>
      </c>
      <c r="R44" s="28" t="s">
        <v>141</v>
      </c>
    </row>
    <row r="45" spans="1:18" x14ac:dyDescent="0.2">
      <c r="A45" s="28" t="s">
        <v>1079</v>
      </c>
      <c r="B45" s="28" t="s">
        <v>1080</v>
      </c>
      <c r="C45" s="29">
        <v>4.6100000000000002E-2</v>
      </c>
      <c r="D45" s="28">
        <v>18.37</v>
      </c>
      <c r="E45" s="30">
        <v>0.5914814814814815</v>
      </c>
      <c r="I45" s="30">
        <v>0.5914814814814815</v>
      </c>
      <c r="J45" s="28">
        <v>0</v>
      </c>
      <c r="K45" s="28">
        <v>2463049600</v>
      </c>
      <c r="L45" s="28" t="s">
        <v>141</v>
      </c>
      <c r="M45" s="28" t="s">
        <v>141</v>
      </c>
      <c r="N45" s="28">
        <v>0</v>
      </c>
      <c r="O45" s="28">
        <v>67.180000000000007</v>
      </c>
      <c r="P45" s="28">
        <v>57.74</v>
      </c>
      <c r="Q45" s="28">
        <v>9.31</v>
      </c>
      <c r="R45" s="28" t="s">
        <v>141</v>
      </c>
    </row>
    <row r="46" spans="1:18" x14ac:dyDescent="0.2">
      <c r="A46" s="28" t="s">
        <v>5842</v>
      </c>
      <c r="B46" s="28" t="s">
        <v>5841</v>
      </c>
      <c r="C46" s="29">
        <v>5.3199999999999997E-2</v>
      </c>
      <c r="D46" s="28">
        <v>16.64</v>
      </c>
      <c r="E46" s="30">
        <v>0.40174768518518517</v>
      </c>
      <c r="I46" s="30">
        <v>0.40244212962962966</v>
      </c>
      <c r="J46" s="28">
        <v>0</v>
      </c>
      <c r="K46" s="28">
        <v>2827668500</v>
      </c>
      <c r="L46" s="28" t="s">
        <v>141</v>
      </c>
      <c r="M46" s="28" t="s">
        <v>141</v>
      </c>
      <c r="N46" s="28">
        <v>0</v>
      </c>
      <c r="O46" s="28">
        <v>56.58</v>
      </c>
      <c r="P46" s="28">
        <v>93.7</v>
      </c>
      <c r="Q46" s="28">
        <v>6.98</v>
      </c>
      <c r="R46" s="28" t="s">
        <v>141</v>
      </c>
    </row>
    <row r="47" spans="1:18" x14ac:dyDescent="0.2">
      <c r="A47" s="28" t="s">
        <v>5771</v>
      </c>
      <c r="B47" s="28" t="s">
        <v>5770</v>
      </c>
      <c r="C47" s="29">
        <v>-0.10009999999999999</v>
      </c>
      <c r="D47" s="28">
        <v>15.28</v>
      </c>
      <c r="E47" s="28" t="s">
        <v>141</v>
      </c>
      <c r="I47" s="28" t="s">
        <v>141</v>
      </c>
      <c r="J47" s="28">
        <v>0</v>
      </c>
      <c r="K47" s="28">
        <v>4952718600</v>
      </c>
      <c r="L47" s="28" t="s">
        <v>141</v>
      </c>
      <c r="M47" s="28" t="s">
        <v>141</v>
      </c>
      <c r="N47" s="28">
        <v>0</v>
      </c>
      <c r="O47" s="28">
        <v>2.81</v>
      </c>
      <c r="P47" s="28">
        <v>38.950000000000003</v>
      </c>
      <c r="Q47" s="28">
        <v>10.75</v>
      </c>
      <c r="R47" s="28" t="s">
        <v>141</v>
      </c>
    </row>
    <row r="48" spans="1:18" x14ac:dyDescent="0.2">
      <c r="A48" s="28" t="s">
        <v>310</v>
      </c>
      <c r="B48" s="28" t="s">
        <v>311</v>
      </c>
      <c r="C48" s="29">
        <v>-5.4600000000000003E-2</v>
      </c>
      <c r="D48" s="28">
        <v>25.82</v>
      </c>
      <c r="E48" s="28" t="s">
        <v>141</v>
      </c>
      <c r="I48" s="28" t="s">
        <v>141</v>
      </c>
      <c r="J48" s="28">
        <v>0</v>
      </c>
      <c r="K48" s="28">
        <v>7069516000</v>
      </c>
      <c r="L48" s="28" t="s">
        <v>141</v>
      </c>
      <c r="M48" s="28" t="s">
        <v>141</v>
      </c>
      <c r="N48" s="28">
        <v>0</v>
      </c>
      <c r="O48" s="28">
        <v>20.74</v>
      </c>
      <c r="P48" s="28">
        <v>65.91</v>
      </c>
      <c r="Q48" s="28">
        <v>27.49</v>
      </c>
      <c r="R48" s="28" t="s">
        <v>141</v>
      </c>
    </row>
    <row r="49" spans="1:18" x14ac:dyDescent="0.2">
      <c r="A49" s="28" t="s">
        <v>2498</v>
      </c>
      <c r="B49" s="28" t="s">
        <v>2497</v>
      </c>
      <c r="C49" s="29">
        <v>-9.35E-2</v>
      </c>
      <c r="D49" s="28">
        <v>23.28</v>
      </c>
      <c r="E49" s="28" t="s">
        <v>141</v>
      </c>
      <c r="I49" s="28" t="s">
        <v>141</v>
      </c>
      <c r="J49" s="28">
        <v>0</v>
      </c>
      <c r="K49" s="28">
        <v>1222238130</v>
      </c>
      <c r="L49" s="28" t="s">
        <v>141</v>
      </c>
      <c r="M49" s="28" t="s">
        <v>141</v>
      </c>
      <c r="N49" s="28">
        <v>0</v>
      </c>
      <c r="O49" s="28">
        <v>0</v>
      </c>
      <c r="P49" s="28">
        <v>0.45</v>
      </c>
      <c r="Q49" s="28">
        <v>24.83</v>
      </c>
      <c r="R49" s="28" t="s">
        <v>141</v>
      </c>
    </row>
    <row r="50" spans="1:18" x14ac:dyDescent="0.2">
      <c r="A50" s="28" t="s">
        <v>1009</v>
      </c>
      <c r="B50" s="28" t="s">
        <v>1010</v>
      </c>
      <c r="C50" s="29">
        <v>0.02</v>
      </c>
      <c r="D50" s="28">
        <v>7.64</v>
      </c>
      <c r="E50" s="30">
        <v>0.41615740740740742</v>
      </c>
      <c r="I50" s="30">
        <v>0.41615740740740742</v>
      </c>
      <c r="J50" s="28">
        <v>0</v>
      </c>
      <c r="K50" s="28">
        <v>3593856000</v>
      </c>
      <c r="L50" s="28" t="s">
        <v>141</v>
      </c>
      <c r="M50" s="28" t="s">
        <v>141</v>
      </c>
      <c r="N50" s="28">
        <v>0</v>
      </c>
      <c r="O50" s="28">
        <v>8.58</v>
      </c>
      <c r="P50" s="28">
        <v>85.79</v>
      </c>
      <c r="Q50" s="28">
        <v>8.0399999999999991</v>
      </c>
      <c r="R50" s="28" t="s">
        <v>141</v>
      </c>
    </row>
    <row r="51" spans="1:18" x14ac:dyDescent="0.2">
      <c r="A51" s="28" t="s">
        <v>1052</v>
      </c>
      <c r="B51" s="28" t="s">
        <v>2179</v>
      </c>
      <c r="C51" s="29">
        <v>5.04E-2</v>
      </c>
      <c r="D51" s="28">
        <v>22.73</v>
      </c>
      <c r="E51" s="30">
        <v>0.40886574074074072</v>
      </c>
      <c r="I51" s="30">
        <v>0.40956018518518517</v>
      </c>
      <c r="J51" s="28">
        <v>0</v>
      </c>
      <c r="K51" s="28">
        <v>5185076700</v>
      </c>
      <c r="L51" s="28" t="s">
        <v>141</v>
      </c>
      <c r="M51" s="28" t="s">
        <v>141</v>
      </c>
      <c r="N51" s="28">
        <v>0</v>
      </c>
      <c r="O51" s="28">
        <v>61.99</v>
      </c>
      <c r="P51" s="28">
        <v>74.47</v>
      </c>
      <c r="Q51" s="28">
        <v>14.88</v>
      </c>
      <c r="R51" s="28" t="s">
        <v>141</v>
      </c>
    </row>
    <row r="52" spans="1:18" x14ac:dyDescent="0.2">
      <c r="A52" s="28" t="s">
        <v>5038</v>
      </c>
      <c r="B52" s="28" t="s">
        <v>5037</v>
      </c>
      <c r="C52" s="29">
        <v>-0.1003</v>
      </c>
      <c r="D52" s="28">
        <v>6.1</v>
      </c>
      <c r="E52" s="28" t="s">
        <v>141</v>
      </c>
      <c r="I52" s="28" t="s">
        <v>141</v>
      </c>
      <c r="J52" s="28">
        <v>0</v>
      </c>
      <c r="K52" s="28">
        <v>3957192700</v>
      </c>
      <c r="L52" s="28" t="s">
        <v>141</v>
      </c>
      <c r="M52" s="28" t="s">
        <v>141</v>
      </c>
      <c r="N52" s="28">
        <v>0</v>
      </c>
      <c r="O52" s="28">
        <v>0</v>
      </c>
      <c r="P52" s="28">
        <v>2.46</v>
      </c>
      <c r="Q52" s="28">
        <v>37.44</v>
      </c>
      <c r="R52" s="28" t="s">
        <v>141</v>
      </c>
    </row>
    <row r="53" spans="1:18" x14ac:dyDescent="0.2">
      <c r="A53" s="28" t="s">
        <v>1526</v>
      </c>
      <c r="B53" s="28" t="s">
        <v>1527</v>
      </c>
      <c r="C53" s="29">
        <v>-8.9700000000000002E-2</v>
      </c>
      <c r="D53" s="28">
        <v>3.55</v>
      </c>
      <c r="E53" s="28" t="s">
        <v>141</v>
      </c>
      <c r="I53" s="28" t="s">
        <v>141</v>
      </c>
      <c r="J53" s="28">
        <v>0</v>
      </c>
      <c r="K53" s="28">
        <v>2920693800</v>
      </c>
      <c r="L53" s="28" t="s">
        <v>141</v>
      </c>
      <c r="M53" s="28" t="s">
        <v>141</v>
      </c>
      <c r="N53" s="28">
        <v>0</v>
      </c>
      <c r="O53" s="28">
        <v>37.630000000000003</v>
      </c>
      <c r="P53" s="28">
        <v>30.05</v>
      </c>
      <c r="Q53" s="28">
        <v>12.27</v>
      </c>
      <c r="R53" s="28" t="s">
        <v>141</v>
      </c>
    </row>
    <row r="54" spans="1:18" x14ac:dyDescent="0.2">
      <c r="A54" s="28" t="s">
        <v>5462</v>
      </c>
      <c r="B54" s="28" t="s">
        <v>5461</v>
      </c>
      <c r="C54" s="29">
        <v>-0.1</v>
      </c>
      <c r="D54" s="28">
        <v>4.8600000000000003</v>
      </c>
      <c r="E54" s="28" t="s">
        <v>141</v>
      </c>
      <c r="I54" s="28" t="s">
        <v>141</v>
      </c>
      <c r="J54" s="28">
        <v>0</v>
      </c>
      <c r="K54" s="28">
        <v>8414410500</v>
      </c>
      <c r="L54" s="28" t="s">
        <v>141</v>
      </c>
      <c r="M54" s="28" t="s">
        <v>141</v>
      </c>
      <c r="N54" s="28">
        <v>0</v>
      </c>
      <c r="O54" s="28">
        <v>87.74</v>
      </c>
      <c r="P54" s="28">
        <v>77.45</v>
      </c>
      <c r="Q54" s="28">
        <v>0.82</v>
      </c>
      <c r="R54" s="28" t="s">
        <v>141</v>
      </c>
    </row>
    <row r="55" spans="1:18" x14ac:dyDescent="0.2">
      <c r="A55" s="28" t="s">
        <v>5574</v>
      </c>
      <c r="B55" s="28" t="s">
        <v>5573</v>
      </c>
      <c r="C55" s="29">
        <v>-1.9E-2</v>
      </c>
      <c r="D55" s="28">
        <v>6.73</v>
      </c>
      <c r="E55" s="28" t="s">
        <v>141</v>
      </c>
      <c r="I55" s="28" t="s">
        <v>141</v>
      </c>
      <c r="J55" s="28">
        <v>0</v>
      </c>
      <c r="K55" s="28">
        <v>5030110100</v>
      </c>
      <c r="L55" s="28" t="s">
        <v>141</v>
      </c>
      <c r="M55" s="28" t="s">
        <v>141</v>
      </c>
      <c r="N55" s="28">
        <v>0</v>
      </c>
      <c r="O55" s="28">
        <v>69</v>
      </c>
      <c r="P55" s="28">
        <v>84.11</v>
      </c>
      <c r="Q55" s="28">
        <v>15.92</v>
      </c>
      <c r="R55" s="28" t="s">
        <v>141</v>
      </c>
    </row>
    <row r="56" spans="1:18" x14ac:dyDescent="0.2">
      <c r="A56" s="28" t="s">
        <v>5840</v>
      </c>
      <c r="B56" s="28" t="s">
        <v>5839</v>
      </c>
      <c r="C56" s="29">
        <v>6.08E-2</v>
      </c>
      <c r="D56" s="28">
        <v>7.33</v>
      </c>
      <c r="E56" s="30">
        <v>0.43508101851851855</v>
      </c>
      <c r="I56" s="30">
        <v>0.43561342592592595</v>
      </c>
      <c r="J56" s="28">
        <v>0</v>
      </c>
      <c r="K56" s="28">
        <v>1993760000</v>
      </c>
      <c r="L56" s="28" t="s">
        <v>141</v>
      </c>
      <c r="M56" s="28" t="s">
        <v>141</v>
      </c>
      <c r="N56" s="28">
        <v>0</v>
      </c>
      <c r="O56" s="28">
        <v>1.65</v>
      </c>
      <c r="P56" s="28">
        <v>93.13</v>
      </c>
      <c r="Q56" s="28">
        <v>16.73</v>
      </c>
      <c r="R56" s="28" t="s">
        <v>141</v>
      </c>
    </row>
    <row r="57" spans="1:18" x14ac:dyDescent="0.2">
      <c r="A57" s="28" t="s">
        <v>1005</v>
      </c>
      <c r="B57" s="28" t="s">
        <v>1006</v>
      </c>
      <c r="C57" s="29">
        <v>-9.98E-2</v>
      </c>
      <c r="D57" s="28">
        <v>17.399999999999999</v>
      </c>
      <c r="E57" s="28" t="s">
        <v>141</v>
      </c>
      <c r="I57" s="28" t="s">
        <v>141</v>
      </c>
      <c r="J57" s="28">
        <v>0</v>
      </c>
      <c r="K57" s="28">
        <v>8320350100</v>
      </c>
      <c r="L57" s="28" t="s">
        <v>141</v>
      </c>
      <c r="M57" s="28" t="s">
        <v>141</v>
      </c>
      <c r="N57" s="28">
        <v>0</v>
      </c>
      <c r="O57" s="28">
        <v>54.25</v>
      </c>
      <c r="P57" s="28">
        <v>2.86</v>
      </c>
      <c r="Q57" s="28">
        <v>0.24</v>
      </c>
      <c r="R57" s="28" t="s">
        <v>141</v>
      </c>
    </row>
    <row r="58" spans="1:18" x14ac:dyDescent="0.2">
      <c r="A58" s="28" t="s">
        <v>5838</v>
      </c>
      <c r="B58" s="28" t="s">
        <v>5837</v>
      </c>
      <c r="C58" s="29">
        <v>3.9E-2</v>
      </c>
      <c r="D58" s="28">
        <v>7.2</v>
      </c>
      <c r="E58" s="30">
        <v>0.43960648148148151</v>
      </c>
      <c r="I58" s="30">
        <v>0.43960648148148151</v>
      </c>
      <c r="J58" s="28">
        <v>0</v>
      </c>
      <c r="K58" s="28">
        <v>6007091200</v>
      </c>
      <c r="L58" s="28" t="s">
        <v>141</v>
      </c>
      <c r="M58" s="28" t="s">
        <v>141</v>
      </c>
      <c r="N58" s="28">
        <v>0</v>
      </c>
      <c r="O58" s="28">
        <v>56.56</v>
      </c>
      <c r="P58" s="28">
        <v>73.95</v>
      </c>
      <c r="Q58" s="28">
        <v>7.54</v>
      </c>
      <c r="R58"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5811</v>
      </c>
      <c r="F1" s="2" t="s">
        <v>2269</v>
      </c>
      <c r="G1" s="2" t="s">
        <v>2268</v>
      </c>
      <c r="H1" s="2" t="s">
        <v>2267</v>
      </c>
      <c r="I1" s="28" t="s">
        <v>5810</v>
      </c>
      <c r="J1" s="28" t="s">
        <v>5809</v>
      </c>
      <c r="K1" s="28" t="s">
        <v>36</v>
      </c>
      <c r="L1" s="28" t="s">
        <v>5808</v>
      </c>
      <c r="M1" s="28" t="s">
        <v>230</v>
      </c>
      <c r="N1" s="28" t="s">
        <v>263</v>
      </c>
      <c r="O1" s="28" t="s">
        <v>259</v>
      </c>
      <c r="P1" s="28" t="s">
        <v>5807</v>
      </c>
      <c r="Q1" s="28" t="s">
        <v>5806</v>
      </c>
      <c r="R1" s="28" t="s">
        <v>5805</v>
      </c>
    </row>
    <row r="2" spans="1:18" x14ac:dyDescent="0.2">
      <c r="A2" s="28" t="s">
        <v>5313</v>
      </c>
      <c r="B2" s="28" t="s">
        <v>5312</v>
      </c>
      <c r="C2" s="29">
        <v>9.9900000000000003E-2</v>
      </c>
      <c r="D2" s="28">
        <v>7.93</v>
      </c>
      <c r="E2" s="30">
        <v>0.39583333333333331</v>
      </c>
      <c r="I2" s="30">
        <v>0.39583333333333331</v>
      </c>
      <c r="J2" s="28">
        <v>6</v>
      </c>
      <c r="K2" s="28">
        <v>2402670800</v>
      </c>
      <c r="L2" s="28" t="s">
        <v>5606</v>
      </c>
      <c r="M2" s="28" t="s">
        <v>233</v>
      </c>
      <c r="N2" s="28">
        <v>393222</v>
      </c>
      <c r="O2" s="28">
        <v>22.48</v>
      </c>
      <c r="P2" s="28">
        <v>100</v>
      </c>
      <c r="Q2" s="28">
        <v>1.68</v>
      </c>
      <c r="R2" s="28">
        <v>390.53</v>
      </c>
    </row>
    <row r="3" spans="1:18" x14ac:dyDescent="0.2">
      <c r="A3" s="28" t="s">
        <v>5512</v>
      </c>
      <c r="B3" s="28" t="s">
        <v>5511</v>
      </c>
      <c r="C3" s="29">
        <v>9.9900000000000003E-2</v>
      </c>
      <c r="D3" s="28">
        <v>30.07</v>
      </c>
      <c r="E3" s="30">
        <v>0.3984375</v>
      </c>
      <c r="I3" s="30">
        <v>0.3984375</v>
      </c>
      <c r="J3" s="28">
        <v>4</v>
      </c>
      <c r="K3" s="28">
        <v>4594431600</v>
      </c>
      <c r="L3" s="28" t="s">
        <v>5510</v>
      </c>
      <c r="M3" s="28" t="s">
        <v>231</v>
      </c>
      <c r="N3" s="28">
        <v>262148</v>
      </c>
      <c r="O3" s="28">
        <v>62.99</v>
      </c>
      <c r="P3" s="28">
        <v>93.95</v>
      </c>
      <c r="Q3" s="28">
        <v>5.81</v>
      </c>
      <c r="R3" s="28">
        <v>19.7</v>
      </c>
    </row>
    <row r="4" spans="1:18" x14ac:dyDescent="0.2">
      <c r="A4" s="28" t="s">
        <v>5581</v>
      </c>
      <c r="B4" s="28" t="s">
        <v>5580</v>
      </c>
      <c r="C4" s="29">
        <v>0.10050000000000001</v>
      </c>
      <c r="D4" s="28">
        <v>9.31</v>
      </c>
      <c r="E4" s="30">
        <v>0.47557870370370375</v>
      </c>
      <c r="I4" s="30">
        <v>0.57928240740740744</v>
      </c>
      <c r="J4" s="28">
        <v>3</v>
      </c>
      <c r="K4" s="28">
        <v>2881925400</v>
      </c>
      <c r="L4" s="28" t="s">
        <v>5579</v>
      </c>
      <c r="M4" s="28" t="s">
        <v>231</v>
      </c>
      <c r="N4" s="28">
        <v>196611</v>
      </c>
      <c r="O4" s="28">
        <v>42.27</v>
      </c>
      <c r="P4" s="28">
        <v>100</v>
      </c>
      <c r="Q4" s="28">
        <v>37.6</v>
      </c>
      <c r="R4" s="28">
        <v>1.75</v>
      </c>
    </row>
    <row r="5" spans="1:18" x14ac:dyDescent="0.2">
      <c r="A5" s="28" t="s">
        <v>378</v>
      </c>
      <c r="B5" s="28" t="s">
        <v>379</v>
      </c>
      <c r="C5" s="29">
        <v>9.9900000000000003E-2</v>
      </c>
      <c r="D5" s="28">
        <v>31.83</v>
      </c>
      <c r="E5" s="30">
        <v>0.59540509259259256</v>
      </c>
      <c r="I5" s="30">
        <v>0.59974537037037035</v>
      </c>
      <c r="J5" s="28">
        <v>3</v>
      </c>
      <c r="K5" s="28">
        <v>1273200000</v>
      </c>
      <c r="L5" s="28" t="s">
        <v>5045</v>
      </c>
      <c r="M5" s="28" t="s">
        <v>231</v>
      </c>
      <c r="N5" s="28">
        <v>196611</v>
      </c>
      <c r="O5" s="28">
        <v>19.5</v>
      </c>
      <c r="P5" s="28">
        <v>100</v>
      </c>
      <c r="Q5" s="28">
        <v>64.62</v>
      </c>
      <c r="R5" s="28">
        <v>2.83</v>
      </c>
    </row>
    <row r="6" spans="1:18" x14ac:dyDescent="0.2">
      <c r="A6" s="28" t="s">
        <v>5574</v>
      </c>
      <c r="B6" s="28" t="s">
        <v>5573</v>
      </c>
      <c r="C6" s="29">
        <v>9.9400000000000002E-2</v>
      </c>
      <c r="D6" s="28">
        <v>6.86</v>
      </c>
      <c r="E6" s="30">
        <v>0.3979166666666667</v>
      </c>
      <c r="I6" s="30">
        <v>0.55561342592592589</v>
      </c>
      <c r="J6" s="28">
        <v>3</v>
      </c>
      <c r="K6" s="28">
        <v>5127274200</v>
      </c>
      <c r="L6" s="28" t="s">
        <v>5572</v>
      </c>
      <c r="M6" s="28" t="s">
        <v>231</v>
      </c>
      <c r="N6" s="28">
        <v>196611</v>
      </c>
      <c r="O6" s="28">
        <v>69</v>
      </c>
      <c r="P6" s="28">
        <v>100</v>
      </c>
      <c r="Q6" s="28">
        <v>12.95</v>
      </c>
      <c r="R6" s="28">
        <v>1.89</v>
      </c>
    </row>
    <row r="7" spans="1:18" x14ac:dyDescent="0.2">
      <c r="A7" s="28" t="s">
        <v>5690</v>
      </c>
      <c r="B7" s="28" t="s">
        <v>5689</v>
      </c>
      <c r="C7" s="29">
        <v>0.1009</v>
      </c>
      <c r="D7" s="28">
        <v>4.91</v>
      </c>
      <c r="E7" s="30">
        <v>0.39583333333333331</v>
      </c>
      <c r="I7" s="30">
        <v>0.39583333333333331</v>
      </c>
      <c r="J7" s="28">
        <v>2</v>
      </c>
      <c r="K7" s="28">
        <v>2122535400</v>
      </c>
      <c r="L7" s="28" t="s">
        <v>5688</v>
      </c>
      <c r="M7" s="28" t="s">
        <v>233</v>
      </c>
      <c r="N7" s="28">
        <v>131074</v>
      </c>
      <c r="O7" s="28">
        <v>37.96</v>
      </c>
      <c r="P7" s="28">
        <v>100</v>
      </c>
      <c r="Q7" s="28">
        <v>1.71</v>
      </c>
      <c r="R7" s="28">
        <v>244.64</v>
      </c>
    </row>
    <row r="8" spans="1:18" x14ac:dyDescent="0.2">
      <c r="A8" s="28" t="s">
        <v>5677</v>
      </c>
      <c r="B8" s="28" t="s">
        <v>5676</v>
      </c>
      <c r="C8" s="29">
        <v>9.9699999999999997E-2</v>
      </c>
      <c r="D8" s="28">
        <v>15.11</v>
      </c>
      <c r="E8" s="30">
        <v>0.43333333333333335</v>
      </c>
      <c r="I8" s="30">
        <v>0.43333333333333335</v>
      </c>
      <c r="J8" s="28">
        <v>2</v>
      </c>
      <c r="K8" s="28">
        <v>2737409100</v>
      </c>
      <c r="L8" s="28" t="s">
        <v>5675</v>
      </c>
      <c r="M8" s="28" t="s">
        <v>231</v>
      </c>
      <c r="N8" s="28">
        <v>131074</v>
      </c>
      <c r="O8" s="28">
        <v>65.849999999999994</v>
      </c>
      <c r="P8" s="28">
        <v>100</v>
      </c>
      <c r="Q8" s="28">
        <v>12.58</v>
      </c>
      <c r="R8" s="28">
        <v>8.66</v>
      </c>
    </row>
    <row r="9" spans="1:18" x14ac:dyDescent="0.2">
      <c r="A9" s="28" t="s">
        <v>5294</v>
      </c>
      <c r="B9" s="28" t="s">
        <v>5293</v>
      </c>
      <c r="C9" s="29">
        <v>9.9900000000000003E-2</v>
      </c>
      <c r="D9" s="28">
        <v>33.79</v>
      </c>
      <c r="E9" s="30">
        <v>0.39652777777777781</v>
      </c>
      <c r="I9" s="30">
        <v>0.39704861111111112</v>
      </c>
      <c r="J9" s="28">
        <v>2</v>
      </c>
      <c r="K9" s="28">
        <v>3739877200</v>
      </c>
      <c r="L9" s="28" t="s">
        <v>5292</v>
      </c>
      <c r="M9" s="28" t="s">
        <v>231</v>
      </c>
      <c r="N9" s="28">
        <v>131074</v>
      </c>
      <c r="O9" s="28">
        <v>53.2</v>
      </c>
      <c r="P9" s="28">
        <v>100</v>
      </c>
      <c r="Q9" s="28">
        <v>10.31</v>
      </c>
      <c r="R9" s="28">
        <v>17.579999999999998</v>
      </c>
    </row>
    <row r="10" spans="1:18" x14ac:dyDescent="0.2">
      <c r="A10" s="28" t="s">
        <v>540</v>
      </c>
      <c r="B10" s="28" t="s">
        <v>541</v>
      </c>
      <c r="C10" s="29">
        <v>9.9900000000000003E-2</v>
      </c>
      <c r="D10" s="28">
        <v>33.47</v>
      </c>
      <c r="E10" s="30">
        <v>0.3979166666666667</v>
      </c>
      <c r="I10" s="30">
        <v>0.421875</v>
      </c>
      <c r="J10" s="28">
        <v>2</v>
      </c>
      <c r="K10" s="28">
        <v>4310936000</v>
      </c>
      <c r="L10" s="28" t="s">
        <v>5085</v>
      </c>
      <c r="M10" s="28" t="s">
        <v>231</v>
      </c>
      <c r="N10" s="28">
        <v>131074</v>
      </c>
      <c r="O10" s="28">
        <v>43.93</v>
      </c>
      <c r="P10" s="28">
        <v>94.52</v>
      </c>
      <c r="Q10" s="28">
        <v>13.49</v>
      </c>
      <c r="R10" s="28">
        <v>6.87</v>
      </c>
    </row>
    <row r="11" spans="1:18" x14ac:dyDescent="0.2">
      <c r="A11" s="28">
        <v>873122</v>
      </c>
      <c r="B11" s="28" t="s">
        <v>5804</v>
      </c>
      <c r="C11" s="29">
        <v>0.29970000000000002</v>
      </c>
      <c r="D11" s="28">
        <v>30.57</v>
      </c>
      <c r="E11" s="30">
        <v>0.56481481481481477</v>
      </c>
      <c r="I11" s="30">
        <v>0.60894675925925923</v>
      </c>
      <c r="J11" s="28">
        <v>1</v>
      </c>
      <c r="K11" s="28">
        <v>398709230</v>
      </c>
      <c r="L11" s="28" t="s">
        <v>5803</v>
      </c>
      <c r="M11" s="28" t="s">
        <v>231</v>
      </c>
      <c r="N11" s="28">
        <v>65537</v>
      </c>
      <c r="O11" s="28">
        <v>8.3000000000000007</v>
      </c>
      <c r="P11" s="28">
        <v>86.48</v>
      </c>
      <c r="Q11" s="28">
        <v>50.23</v>
      </c>
      <c r="R11" s="28">
        <v>4.37</v>
      </c>
    </row>
    <row r="12" spans="1:18" x14ac:dyDescent="0.2">
      <c r="A12" s="28">
        <v>871753</v>
      </c>
      <c r="B12" s="28" t="s">
        <v>5802</v>
      </c>
      <c r="C12" s="29">
        <v>0.29949999999999999</v>
      </c>
      <c r="D12" s="28">
        <v>17.05</v>
      </c>
      <c r="E12" s="30">
        <v>0.54502314814814812</v>
      </c>
      <c r="I12" s="30">
        <v>0.54502314814814812</v>
      </c>
      <c r="J12" s="28">
        <v>1</v>
      </c>
      <c r="K12" s="28">
        <v>363898150</v>
      </c>
      <c r="L12" s="28" t="s">
        <v>5801</v>
      </c>
      <c r="M12" s="28" t="s">
        <v>231</v>
      </c>
      <c r="N12" s="28">
        <v>65537</v>
      </c>
      <c r="O12" s="28">
        <v>32.81</v>
      </c>
      <c r="P12" s="28">
        <v>65.680000000000007</v>
      </c>
      <c r="Q12" s="28">
        <v>34.380000000000003</v>
      </c>
      <c r="R12" s="28">
        <v>42.08</v>
      </c>
    </row>
    <row r="13" spans="1:18" x14ac:dyDescent="0.2">
      <c r="A13" s="28">
        <v>836221</v>
      </c>
      <c r="B13" s="28" t="s">
        <v>5800</v>
      </c>
      <c r="C13" s="29">
        <v>0.3</v>
      </c>
      <c r="D13" s="28">
        <v>21.32</v>
      </c>
      <c r="E13" s="30">
        <v>0.62241898148148145</v>
      </c>
      <c r="I13" s="30">
        <v>0.62241898148148145</v>
      </c>
      <c r="J13" s="28">
        <v>1</v>
      </c>
      <c r="K13" s="28">
        <v>613627980</v>
      </c>
      <c r="L13" s="28" t="s">
        <v>5799</v>
      </c>
      <c r="M13" s="28" t="s">
        <v>231</v>
      </c>
      <c r="N13" s="28">
        <v>65537</v>
      </c>
      <c r="O13" s="28">
        <v>35.1</v>
      </c>
      <c r="P13" s="28">
        <v>100</v>
      </c>
      <c r="Q13" s="28">
        <v>46.23</v>
      </c>
      <c r="R13" s="28">
        <v>3.78</v>
      </c>
    </row>
    <row r="14" spans="1:18" x14ac:dyDescent="0.2">
      <c r="A14" s="28">
        <v>430198</v>
      </c>
      <c r="B14" s="28" t="s">
        <v>5798</v>
      </c>
      <c r="C14" s="29">
        <v>0.3</v>
      </c>
      <c r="D14" s="28">
        <v>9.75</v>
      </c>
      <c r="E14" s="30">
        <v>0.62189814814814814</v>
      </c>
      <c r="I14" s="30">
        <v>0.62189814814814814</v>
      </c>
      <c r="J14" s="28">
        <v>1</v>
      </c>
      <c r="K14" s="28">
        <v>615528380</v>
      </c>
      <c r="L14" s="28" t="s">
        <v>5797</v>
      </c>
      <c r="M14" s="28" t="s">
        <v>231</v>
      </c>
      <c r="N14" s="28">
        <v>65537</v>
      </c>
      <c r="O14" s="28">
        <v>0</v>
      </c>
      <c r="P14" s="28">
        <v>57.29</v>
      </c>
      <c r="Q14" s="28">
        <v>27.18</v>
      </c>
      <c r="R14" s="28">
        <v>3.34</v>
      </c>
    </row>
    <row r="15" spans="1:18" x14ac:dyDescent="0.2">
      <c r="A15" s="28" t="s">
        <v>5796</v>
      </c>
      <c r="B15" s="28" t="s">
        <v>5795</v>
      </c>
      <c r="C15" s="29">
        <v>0.2</v>
      </c>
      <c r="D15" s="28">
        <v>25.44</v>
      </c>
      <c r="E15" s="30">
        <v>0.59332175925925923</v>
      </c>
      <c r="I15" s="30">
        <v>0.61450231481481488</v>
      </c>
      <c r="J15" s="28">
        <v>1</v>
      </c>
      <c r="K15" s="28">
        <v>1912579200</v>
      </c>
      <c r="L15" s="28" t="s">
        <v>5794</v>
      </c>
      <c r="M15" s="28" t="s">
        <v>231</v>
      </c>
      <c r="N15" s="28">
        <v>65537</v>
      </c>
      <c r="O15" s="28">
        <v>10.09</v>
      </c>
      <c r="P15" s="28">
        <v>97.91</v>
      </c>
      <c r="Q15" s="28">
        <v>21.1</v>
      </c>
      <c r="R15" s="28">
        <v>2.84</v>
      </c>
    </row>
    <row r="16" spans="1:18" x14ac:dyDescent="0.2">
      <c r="A16" s="28" t="s">
        <v>5793</v>
      </c>
      <c r="B16" s="28" t="s">
        <v>5792</v>
      </c>
      <c r="C16" s="29">
        <v>0.1</v>
      </c>
      <c r="D16" s="28">
        <v>4.62</v>
      </c>
      <c r="E16" s="30">
        <v>0.39583333333333331</v>
      </c>
      <c r="I16" s="30">
        <v>0.40190972222222227</v>
      </c>
      <c r="J16" s="28">
        <v>1</v>
      </c>
      <c r="K16" s="28">
        <v>2658507800</v>
      </c>
      <c r="L16" s="28" t="s">
        <v>5791</v>
      </c>
      <c r="M16" s="28" t="s">
        <v>232</v>
      </c>
      <c r="N16" s="28">
        <v>65537</v>
      </c>
      <c r="O16" s="28">
        <v>45.81</v>
      </c>
      <c r="P16" s="28">
        <v>100</v>
      </c>
      <c r="Q16" s="28">
        <v>9.16</v>
      </c>
      <c r="R16" s="28">
        <v>17</v>
      </c>
    </row>
    <row r="17" spans="1:18" x14ac:dyDescent="0.2">
      <c r="A17" s="28" t="s">
        <v>316</v>
      </c>
      <c r="B17" s="28" t="s">
        <v>317</v>
      </c>
      <c r="C17" s="29">
        <v>0.10009999999999999</v>
      </c>
      <c r="D17" s="28">
        <v>40.1</v>
      </c>
      <c r="E17" s="30">
        <v>0.61085648148148153</v>
      </c>
      <c r="I17" s="30">
        <v>0.62085648148148154</v>
      </c>
      <c r="J17" s="28">
        <v>1</v>
      </c>
      <c r="K17" s="28">
        <v>5295005800</v>
      </c>
      <c r="L17" s="28" t="s">
        <v>3666</v>
      </c>
      <c r="M17" s="28" t="s">
        <v>231</v>
      </c>
      <c r="N17" s="28">
        <v>65537</v>
      </c>
      <c r="O17" s="28">
        <v>48.71</v>
      </c>
      <c r="P17" s="28">
        <v>88.59</v>
      </c>
      <c r="Q17" s="28">
        <v>23.43</v>
      </c>
      <c r="R17" s="28">
        <v>1.95</v>
      </c>
    </row>
    <row r="18" spans="1:18" x14ac:dyDescent="0.2">
      <c r="A18" s="28" t="s">
        <v>266</v>
      </c>
      <c r="B18" s="28" t="s">
        <v>267</v>
      </c>
      <c r="C18" s="29">
        <v>9.98E-2</v>
      </c>
      <c r="D18" s="28">
        <v>17.190000000000001</v>
      </c>
      <c r="E18" s="30">
        <v>0.44236111111111115</v>
      </c>
      <c r="I18" s="30">
        <v>0.44236111111111115</v>
      </c>
      <c r="J18" s="28">
        <v>1</v>
      </c>
      <c r="K18" s="28">
        <v>2237457600</v>
      </c>
      <c r="L18" s="28" t="s">
        <v>5790</v>
      </c>
      <c r="M18" s="28" t="s">
        <v>231</v>
      </c>
      <c r="N18" s="28">
        <v>65537</v>
      </c>
      <c r="O18" s="28">
        <v>2.38</v>
      </c>
      <c r="P18" s="28">
        <v>81.77</v>
      </c>
      <c r="Q18" s="28">
        <v>10.47</v>
      </c>
      <c r="R18" s="28">
        <v>19.89</v>
      </c>
    </row>
    <row r="19" spans="1:18" x14ac:dyDescent="0.2">
      <c r="A19" s="28" t="s">
        <v>575</v>
      </c>
      <c r="B19" s="28" t="s">
        <v>576</v>
      </c>
      <c r="C19" s="29">
        <v>0.1</v>
      </c>
      <c r="D19" s="28">
        <v>11</v>
      </c>
      <c r="E19" s="30">
        <v>0.40538194444444442</v>
      </c>
      <c r="H19" s="28"/>
      <c r="I19" s="30">
        <v>0.40538194444444442</v>
      </c>
      <c r="J19" s="28">
        <v>1</v>
      </c>
      <c r="K19" s="28">
        <v>4498030200</v>
      </c>
      <c r="L19" s="28" t="s">
        <v>5403</v>
      </c>
      <c r="M19" s="28" t="s">
        <v>231</v>
      </c>
      <c r="N19" s="28">
        <v>262149</v>
      </c>
      <c r="O19" s="28">
        <v>38.200000000000003</v>
      </c>
      <c r="P19" s="28">
        <v>95.92</v>
      </c>
      <c r="Q19" s="28">
        <v>21.33</v>
      </c>
      <c r="R19" s="28">
        <v>12.19</v>
      </c>
    </row>
    <row r="20" spans="1:18" x14ac:dyDescent="0.2">
      <c r="A20" s="28" t="s">
        <v>5456</v>
      </c>
      <c r="B20" s="28" t="s">
        <v>5455</v>
      </c>
      <c r="C20" s="29">
        <v>9.9500000000000005E-2</v>
      </c>
      <c r="D20" s="28">
        <v>2.1</v>
      </c>
      <c r="E20" s="30">
        <v>0.60078703703703706</v>
      </c>
      <c r="I20" s="30">
        <v>0.60078703703703706</v>
      </c>
      <c r="J20" s="28">
        <v>1</v>
      </c>
      <c r="K20" s="28">
        <v>3084878300</v>
      </c>
      <c r="L20" s="28" t="s">
        <v>5789</v>
      </c>
      <c r="M20" s="28" t="s">
        <v>231</v>
      </c>
      <c r="N20" s="28">
        <v>65537</v>
      </c>
      <c r="O20" s="28">
        <v>3.42</v>
      </c>
      <c r="P20" s="28">
        <v>94.02</v>
      </c>
      <c r="Q20" s="28">
        <v>13.08</v>
      </c>
      <c r="R20" s="28">
        <v>27.13</v>
      </c>
    </row>
    <row r="21" spans="1:18" x14ac:dyDescent="0.2">
      <c r="A21" s="28" t="s">
        <v>5788</v>
      </c>
      <c r="B21" s="28" t="s">
        <v>5787</v>
      </c>
      <c r="C21" s="29">
        <v>0.1003</v>
      </c>
      <c r="D21" s="28">
        <v>6.8</v>
      </c>
      <c r="E21" s="30">
        <v>0.40416666666666662</v>
      </c>
      <c r="I21" s="30">
        <v>0.40607638888888892</v>
      </c>
      <c r="J21" s="28">
        <v>1</v>
      </c>
      <c r="K21" s="28">
        <v>7379542500</v>
      </c>
      <c r="L21" s="28" t="s">
        <v>5786</v>
      </c>
      <c r="M21" s="28" t="s">
        <v>231</v>
      </c>
      <c r="N21" s="28">
        <v>65537</v>
      </c>
      <c r="O21" s="28">
        <v>31.13</v>
      </c>
      <c r="P21" s="28">
        <v>98.26</v>
      </c>
      <c r="Q21" s="28">
        <v>5.0599999999999996</v>
      </c>
      <c r="R21" s="28">
        <v>17.97</v>
      </c>
    </row>
    <row r="22" spans="1:18" x14ac:dyDescent="0.2">
      <c r="A22" s="28" t="s">
        <v>5785</v>
      </c>
      <c r="B22" s="28" t="s">
        <v>5784</v>
      </c>
      <c r="C22" s="29">
        <v>9.9500000000000005E-2</v>
      </c>
      <c r="D22" s="28">
        <v>6.19</v>
      </c>
      <c r="E22" s="30">
        <v>0.3984375</v>
      </c>
      <c r="I22" s="30">
        <v>0.58776620370370369</v>
      </c>
      <c r="J22" s="28">
        <v>1</v>
      </c>
      <c r="K22" s="28">
        <v>2885623400</v>
      </c>
      <c r="L22" s="28" t="s">
        <v>5783</v>
      </c>
      <c r="M22" s="28" t="s">
        <v>231</v>
      </c>
      <c r="N22" s="28">
        <v>65537</v>
      </c>
      <c r="O22" s="28">
        <v>25.08</v>
      </c>
      <c r="P22" s="28">
        <v>98.71</v>
      </c>
      <c r="Q22" s="28">
        <v>18.07</v>
      </c>
      <c r="R22" s="28">
        <v>3.7</v>
      </c>
    </row>
    <row r="23" spans="1:18" x14ac:dyDescent="0.2">
      <c r="A23" s="28" t="s">
        <v>5127</v>
      </c>
      <c r="B23" s="28" t="s">
        <v>5126</v>
      </c>
      <c r="C23" s="29">
        <v>0.1003</v>
      </c>
      <c r="D23" s="28">
        <v>14.26</v>
      </c>
      <c r="E23" s="30">
        <v>0.57384259259259263</v>
      </c>
      <c r="I23" s="30">
        <v>0.58429398148148148</v>
      </c>
      <c r="J23" s="28">
        <v>1</v>
      </c>
      <c r="K23" s="28">
        <v>4899019400</v>
      </c>
      <c r="L23" s="28" t="s">
        <v>5782</v>
      </c>
      <c r="M23" s="28" t="s">
        <v>231</v>
      </c>
      <c r="N23" s="28">
        <v>65537</v>
      </c>
      <c r="O23" s="28">
        <v>51.15</v>
      </c>
      <c r="P23" s="28">
        <v>100</v>
      </c>
      <c r="Q23" s="28">
        <v>17.04</v>
      </c>
      <c r="R23" s="28">
        <v>6.31</v>
      </c>
    </row>
    <row r="24" spans="1:18" x14ac:dyDescent="0.2">
      <c r="A24" s="28" t="s">
        <v>5781</v>
      </c>
      <c r="B24" s="28" t="s">
        <v>5780</v>
      </c>
      <c r="C24" s="29">
        <v>0.10050000000000001</v>
      </c>
      <c r="D24" s="28">
        <v>4.5999999999999996</v>
      </c>
      <c r="E24" s="30">
        <v>0.45525462962962965</v>
      </c>
      <c r="I24" s="30">
        <v>0.45525462962962965</v>
      </c>
      <c r="J24" s="28">
        <v>1</v>
      </c>
      <c r="K24" s="28">
        <v>4686859500</v>
      </c>
      <c r="L24" s="28" t="s">
        <v>5779</v>
      </c>
      <c r="M24" s="28" t="s">
        <v>231</v>
      </c>
      <c r="N24" s="28">
        <v>65537</v>
      </c>
      <c r="O24" s="28">
        <v>56.52</v>
      </c>
      <c r="P24" s="28">
        <v>77.16</v>
      </c>
      <c r="Q24" s="28">
        <v>6.71</v>
      </c>
      <c r="R24" s="28">
        <v>22.75</v>
      </c>
    </row>
    <row r="25" spans="1:18" x14ac:dyDescent="0.2">
      <c r="A25" s="28" t="s">
        <v>5778</v>
      </c>
      <c r="B25" s="28" t="s">
        <v>5777</v>
      </c>
      <c r="C25" s="29">
        <v>0.1003</v>
      </c>
      <c r="D25" s="28">
        <v>13.93</v>
      </c>
      <c r="E25" s="30">
        <v>0.41371527777777778</v>
      </c>
      <c r="I25" s="30">
        <v>0.41371527777777778</v>
      </c>
      <c r="J25" s="28">
        <v>1</v>
      </c>
      <c r="K25" s="28">
        <v>4344455900</v>
      </c>
      <c r="L25" s="28" t="s">
        <v>5776</v>
      </c>
      <c r="M25" s="28" t="s">
        <v>231</v>
      </c>
      <c r="N25" s="28">
        <v>65537</v>
      </c>
      <c r="O25" s="28">
        <v>71.55</v>
      </c>
      <c r="P25" s="28">
        <v>41.39</v>
      </c>
      <c r="Q25" s="28">
        <v>0.84</v>
      </c>
      <c r="R25" s="28">
        <v>119.21</v>
      </c>
    </row>
    <row r="26" spans="1:18" x14ac:dyDescent="0.2">
      <c r="A26" s="28" t="s">
        <v>5775</v>
      </c>
      <c r="B26" s="28" t="s">
        <v>5774</v>
      </c>
      <c r="C26" s="29">
        <v>9.9500000000000005E-2</v>
      </c>
      <c r="D26" s="28">
        <v>8.9499999999999993</v>
      </c>
      <c r="E26" s="30">
        <v>0.41267361111111112</v>
      </c>
      <c r="I26" s="30">
        <v>0.41267361111111112</v>
      </c>
      <c r="J26" s="28">
        <v>1</v>
      </c>
      <c r="K26" s="28">
        <v>5425595800</v>
      </c>
      <c r="L26" s="28" t="s">
        <v>5773</v>
      </c>
      <c r="M26" s="28" t="s">
        <v>231</v>
      </c>
      <c r="N26" s="28">
        <v>65537</v>
      </c>
      <c r="O26" s="28">
        <v>61.14</v>
      </c>
      <c r="P26" s="28">
        <v>100</v>
      </c>
      <c r="Q26" s="28">
        <v>1.45</v>
      </c>
      <c r="R26" s="28">
        <v>54.57</v>
      </c>
    </row>
    <row r="27" spans="1:18" x14ac:dyDescent="0.2">
      <c r="A27" s="28" t="s">
        <v>5212</v>
      </c>
      <c r="B27" s="28" t="s">
        <v>5211</v>
      </c>
      <c r="C27" s="29">
        <v>9.9900000000000003E-2</v>
      </c>
      <c r="D27" s="28">
        <v>13.87</v>
      </c>
      <c r="E27" s="30">
        <v>0.39739583333333334</v>
      </c>
      <c r="I27" s="30">
        <v>0.39739583333333334</v>
      </c>
      <c r="J27" s="28">
        <v>1</v>
      </c>
      <c r="K27" s="28">
        <v>942949290</v>
      </c>
      <c r="L27" s="28" t="s">
        <v>5210</v>
      </c>
      <c r="M27" s="28" t="s">
        <v>231</v>
      </c>
      <c r="N27" s="28">
        <v>65537</v>
      </c>
      <c r="O27" s="28">
        <v>32.4</v>
      </c>
      <c r="P27" s="28">
        <v>89.94</v>
      </c>
      <c r="Q27" s="28">
        <v>7.05</v>
      </c>
      <c r="R27" s="28">
        <v>114.12</v>
      </c>
    </row>
    <row r="28" spans="1:18" x14ac:dyDescent="0.2">
      <c r="A28" s="28" t="s">
        <v>1224</v>
      </c>
      <c r="B28" s="28" t="s">
        <v>1225</v>
      </c>
      <c r="C28" s="29">
        <v>0.1003</v>
      </c>
      <c r="D28" s="28">
        <v>9.98</v>
      </c>
      <c r="E28" s="30">
        <v>0.39583333333333331</v>
      </c>
      <c r="I28" s="30">
        <v>0.39583333333333331</v>
      </c>
      <c r="J28" s="28">
        <v>1</v>
      </c>
      <c r="K28" s="28">
        <v>2189212800</v>
      </c>
      <c r="L28" s="28" t="s">
        <v>5772</v>
      </c>
      <c r="M28" s="28" t="s">
        <v>233</v>
      </c>
      <c r="N28" s="28">
        <v>65537</v>
      </c>
      <c r="O28" s="28">
        <v>68.06</v>
      </c>
      <c r="P28" s="28">
        <v>96.24</v>
      </c>
      <c r="Q28" s="28">
        <v>0.52</v>
      </c>
      <c r="R28" s="28">
        <v>651.36</v>
      </c>
    </row>
    <row r="29" spans="1:18" x14ac:dyDescent="0.2">
      <c r="A29" s="28" t="s">
        <v>5771</v>
      </c>
      <c r="B29" s="28" t="s">
        <v>5770</v>
      </c>
      <c r="C29" s="29">
        <v>9.9699999999999997E-2</v>
      </c>
      <c r="D29" s="28">
        <v>16.98</v>
      </c>
      <c r="E29" s="30">
        <v>0.4050347222222222</v>
      </c>
      <c r="I29" s="30">
        <v>0.4460069444444445</v>
      </c>
      <c r="J29" s="28">
        <v>1</v>
      </c>
      <c r="K29" s="28">
        <v>5503741000</v>
      </c>
      <c r="L29" s="28" t="s">
        <v>5769</v>
      </c>
      <c r="M29" s="28" t="s">
        <v>231</v>
      </c>
      <c r="N29" s="28">
        <v>65537</v>
      </c>
      <c r="O29" s="28">
        <v>2.81</v>
      </c>
      <c r="P29" s="28">
        <v>98.23</v>
      </c>
      <c r="Q29" s="28">
        <v>5.54</v>
      </c>
      <c r="R29" s="28">
        <v>11.54</v>
      </c>
    </row>
    <row r="30" spans="1:18" x14ac:dyDescent="0.2">
      <c r="A30" s="28" t="s">
        <v>310</v>
      </c>
      <c r="B30" s="28" t="s">
        <v>311</v>
      </c>
      <c r="C30" s="29">
        <v>9.9900000000000003E-2</v>
      </c>
      <c r="D30" s="28">
        <v>27.31</v>
      </c>
      <c r="E30" s="30">
        <v>0.59262731481481479</v>
      </c>
      <c r="I30" s="30">
        <v>0.61137731481481483</v>
      </c>
      <c r="J30" s="28">
        <v>1</v>
      </c>
      <c r="K30" s="28">
        <v>7477478000</v>
      </c>
      <c r="L30" s="28" t="s">
        <v>4002</v>
      </c>
      <c r="M30" s="28" t="s">
        <v>231</v>
      </c>
      <c r="N30" s="28">
        <v>262151</v>
      </c>
      <c r="O30" s="28">
        <v>20.74</v>
      </c>
      <c r="P30" s="28">
        <v>99.98</v>
      </c>
      <c r="Q30" s="28">
        <v>25.21</v>
      </c>
      <c r="R30" s="28">
        <v>2.4</v>
      </c>
    </row>
    <row r="31" spans="1:18" x14ac:dyDescent="0.2">
      <c r="A31" s="28" t="s">
        <v>2047</v>
      </c>
      <c r="B31" s="28" t="s">
        <v>2048</v>
      </c>
      <c r="C31" s="29">
        <v>0.1008</v>
      </c>
      <c r="D31" s="28">
        <v>6.55</v>
      </c>
      <c r="E31" s="30">
        <v>0.4079861111111111</v>
      </c>
      <c r="I31" s="30">
        <v>0.58446759259259262</v>
      </c>
      <c r="J31" s="28">
        <v>1</v>
      </c>
      <c r="K31" s="28">
        <v>4071005700</v>
      </c>
      <c r="L31" s="28" t="s">
        <v>5520</v>
      </c>
      <c r="M31" s="28" t="s">
        <v>231</v>
      </c>
      <c r="N31" s="28">
        <v>262150</v>
      </c>
      <c r="O31" s="28">
        <v>10.98</v>
      </c>
      <c r="P31" s="28">
        <v>67.63</v>
      </c>
      <c r="Q31" s="28">
        <v>23.25</v>
      </c>
      <c r="R31" s="28">
        <v>0.83</v>
      </c>
    </row>
    <row r="32" spans="1:18" x14ac:dyDescent="0.2">
      <c r="A32" s="28" t="s">
        <v>5768</v>
      </c>
      <c r="B32" s="28" t="s">
        <v>5767</v>
      </c>
      <c r="C32" s="29">
        <v>0.1004</v>
      </c>
      <c r="D32" s="28">
        <v>14.14</v>
      </c>
      <c r="E32" s="30">
        <v>0.39999999999999997</v>
      </c>
      <c r="I32" s="30">
        <v>0.54346064814814821</v>
      </c>
      <c r="J32" s="28">
        <v>1</v>
      </c>
      <c r="K32" s="28">
        <v>7618631700</v>
      </c>
      <c r="L32" s="28" t="s">
        <v>5766</v>
      </c>
      <c r="M32" s="28" t="s">
        <v>231</v>
      </c>
      <c r="N32" s="28">
        <v>65537</v>
      </c>
      <c r="O32" s="28">
        <v>50.37</v>
      </c>
      <c r="P32" s="28">
        <v>57.63</v>
      </c>
      <c r="Q32" s="28">
        <v>4.24</v>
      </c>
      <c r="R32" s="28">
        <v>6.05</v>
      </c>
    </row>
    <row r="33" spans="1:18" x14ac:dyDescent="0.2">
      <c r="A33" s="28" t="s">
        <v>5765</v>
      </c>
      <c r="B33" s="28" t="s">
        <v>5764</v>
      </c>
      <c r="C33" s="29">
        <v>0.10009999999999999</v>
      </c>
      <c r="D33" s="28">
        <v>46.48</v>
      </c>
      <c r="E33" s="30">
        <v>0.41111111111111115</v>
      </c>
      <c r="I33" s="30">
        <v>0.41197916666666662</v>
      </c>
      <c r="J33" s="28">
        <v>1</v>
      </c>
      <c r="K33" s="28">
        <v>9420566400</v>
      </c>
      <c r="L33" s="28" t="s">
        <v>5763</v>
      </c>
      <c r="M33" s="28" t="s">
        <v>231</v>
      </c>
      <c r="N33" s="28">
        <v>65537</v>
      </c>
      <c r="O33" s="28">
        <v>43.98</v>
      </c>
      <c r="P33" s="28">
        <v>33.61</v>
      </c>
      <c r="Q33" s="28">
        <v>1.88</v>
      </c>
      <c r="R33" s="28">
        <v>34.83</v>
      </c>
    </row>
    <row r="34" spans="1:18" x14ac:dyDescent="0.2">
      <c r="A34" s="28" t="s">
        <v>5762</v>
      </c>
      <c r="B34" s="28" t="s">
        <v>5761</v>
      </c>
      <c r="C34" s="29">
        <v>9.98E-2</v>
      </c>
      <c r="D34" s="28">
        <v>16.75</v>
      </c>
      <c r="E34" s="30">
        <v>0.54571759259259256</v>
      </c>
      <c r="I34" s="30">
        <v>0.55335648148148142</v>
      </c>
      <c r="J34" s="28">
        <v>1</v>
      </c>
      <c r="K34" s="28">
        <v>8576898600</v>
      </c>
      <c r="L34" s="28" t="s">
        <v>5760</v>
      </c>
      <c r="M34" s="28" t="s">
        <v>231</v>
      </c>
      <c r="N34" s="28">
        <v>65537</v>
      </c>
      <c r="O34" s="28">
        <v>40.36</v>
      </c>
      <c r="P34" s="28">
        <v>33.04</v>
      </c>
      <c r="Q34" s="28">
        <v>3.23</v>
      </c>
      <c r="R34" s="28">
        <v>11.6</v>
      </c>
    </row>
    <row r="35" spans="1:18" x14ac:dyDescent="0.2">
      <c r="A35" s="28" t="s">
        <v>98</v>
      </c>
      <c r="B35" s="28" t="s">
        <v>99</v>
      </c>
      <c r="C35" s="29">
        <v>0.10009999999999999</v>
      </c>
      <c r="D35" s="28">
        <v>14.95</v>
      </c>
      <c r="E35" s="30">
        <v>0.46429398148148149</v>
      </c>
      <c r="I35" s="30">
        <v>0.46429398148148149</v>
      </c>
      <c r="J35" s="28">
        <v>1</v>
      </c>
      <c r="K35" s="28">
        <v>6351680900</v>
      </c>
      <c r="L35" s="28" t="s">
        <v>3775</v>
      </c>
      <c r="M35" s="28" t="s">
        <v>231</v>
      </c>
      <c r="N35" s="28">
        <v>65537</v>
      </c>
      <c r="O35" s="28">
        <v>32.58</v>
      </c>
      <c r="P35" s="28">
        <v>93.72</v>
      </c>
      <c r="Q35" s="28">
        <v>26.38</v>
      </c>
      <c r="R35" s="28">
        <v>5.78</v>
      </c>
    </row>
    <row r="36" spans="1:18" x14ac:dyDescent="0.2">
      <c r="A36" s="28" t="s">
        <v>2088</v>
      </c>
      <c r="B36" s="28" t="s">
        <v>2089</v>
      </c>
      <c r="C36" s="29">
        <v>0.1</v>
      </c>
      <c r="D36" s="28">
        <v>7.92</v>
      </c>
      <c r="E36" s="30">
        <v>0.40364583333333331</v>
      </c>
      <c r="I36" s="30">
        <v>0.40590277777777778</v>
      </c>
      <c r="J36" s="28">
        <v>1</v>
      </c>
      <c r="K36" s="28">
        <v>4060802800</v>
      </c>
      <c r="L36" s="28" t="s">
        <v>5759</v>
      </c>
      <c r="M36" s="28" t="s">
        <v>231</v>
      </c>
      <c r="N36" s="28">
        <v>65537</v>
      </c>
      <c r="O36" s="28">
        <v>32.380000000000003</v>
      </c>
      <c r="P36" s="28">
        <v>100</v>
      </c>
      <c r="Q36" s="28">
        <v>17.920000000000002</v>
      </c>
      <c r="R36" s="28">
        <v>9.43</v>
      </c>
    </row>
    <row r="37" spans="1:18" x14ac:dyDescent="0.2">
      <c r="A37" s="28" t="s">
        <v>5758</v>
      </c>
      <c r="B37" s="28" t="s">
        <v>5757</v>
      </c>
      <c r="C37" s="29">
        <v>9.9599999999999994E-2</v>
      </c>
      <c r="D37" s="28">
        <v>5.3</v>
      </c>
      <c r="E37" s="30">
        <v>0.39930555555555558</v>
      </c>
      <c r="I37" s="30">
        <v>0.54484953703703709</v>
      </c>
      <c r="J37" s="28">
        <v>1</v>
      </c>
      <c r="K37" s="28">
        <v>5567930200</v>
      </c>
      <c r="L37" s="28" t="s">
        <v>5756</v>
      </c>
      <c r="M37" s="28" t="s">
        <v>231</v>
      </c>
      <c r="N37" s="28">
        <v>65537</v>
      </c>
      <c r="O37" s="28">
        <v>61.07</v>
      </c>
      <c r="P37" s="28">
        <v>94.68</v>
      </c>
      <c r="Q37" s="28">
        <v>7.85</v>
      </c>
      <c r="R37" s="28">
        <v>6.81</v>
      </c>
    </row>
    <row r="38" spans="1:18" x14ac:dyDescent="0.2">
      <c r="A38" s="28" t="s">
        <v>943</v>
      </c>
      <c r="B38" s="28" t="s">
        <v>944</v>
      </c>
      <c r="C38" s="29">
        <v>-0.10009999999999999</v>
      </c>
      <c r="D38" s="28">
        <v>12.67</v>
      </c>
      <c r="E38" s="28" t="s">
        <v>141</v>
      </c>
      <c r="I38" s="28" t="s">
        <v>141</v>
      </c>
      <c r="J38" s="28">
        <v>0</v>
      </c>
      <c r="K38" s="28">
        <v>1475888500</v>
      </c>
      <c r="L38" s="28" t="s">
        <v>141</v>
      </c>
      <c r="M38" s="28" t="s">
        <v>141</v>
      </c>
      <c r="N38" s="28">
        <v>0</v>
      </c>
      <c r="O38" s="28">
        <v>36.840000000000003</v>
      </c>
      <c r="P38" s="28">
        <v>0</v>
      </c>
      <c r="Q38" s="28">
        <v>9.48</v>
      </c>
      <c r="R38" s="28" t="s">
        <v>141</v>
      </c>
    </row>
    <row r="39" spans="1:18" x14ac:dyDescent="0.2">
      <c r="A39" s="28" t="s">
        <v>5755</v>
      </c>
      <c r="B39" s="28" t="s">
        <v>5754</v>
      </c>
      <c r="C39" s="29">
        <v>-4.53E-2</v>
      </c>
      <c r="D39" s="28">
        <v>11.59</v>
      </c>
      <c r="E39" s="30">
        <v>0.39600694444444445</v>
      </c>
      <c r="H39" s="2" t="e">
        <f>AVERAGE((G39-F39)*100/G39)</f>
        <v>#DIV/0!</v>
      </c>
      <c r="I39" s="30">
        <v>0.39600694444444445</v>
      </c>
      <c r="J39" s="28">
        <v>0</v>
      </c>
      <c r="K39" s="28">
        <v>2820667800</v>
      </c>
      <c r="L39" s="28" t="s">
        <v>141</v>
      </c>
      <c r="M39" s="28" t="s">
        <v>141</v>
      </c>
      <c r="N39" s="28">
        <v>0</v>
      </c>
      <c r="O39" s="28">
        <v>8.35</v>
      </c>
      <c r="P39" s="28">
        <v>51.8</v>
      </c>
      <c r="Q39" s="28">
        <v>9.86</v>
      </c>
      <c r="R39" s="28" t="s">
        <v>141</v>
      </c>
    </row>
    <row r="40" spans="1:18" x14ac:dyDescent="0.2">
      <c r="A40" s="28" t="s">
        <v>5327</v>
      </c>
      <c r="B40" s="28" t="s">
        <v>5326</v>
      </c>
      <c r="C40" s="29">
        <v>-9.8900000000000002E-2</v>
      </c>
      <c r="D40" s="28">
        <v>6.29</v>
      </c>
      <c r="E40" s="28" t="s">
        <v>141</v>
      </c>
      <c r="I40" s="28" t="s">
        <v>141</v>
      </c>
      <c r="J40" s="28">
        <v>0</v>
      </c>
      <c r="K40" s="28">
        <v>7135224100</v>
      </c>
      <c r="L40" s="28" t="s">
        <v>141</v>
      </c>
      <c r="M40" s="28" t="s">
        <v>141</v>
      </c>
      <c r="N40" s="28">
        <v>0</v>
      </c>
      <c r="O40" s="28">
        <v>48.8</v>
      </c>
      <c r="P40" s="28">
        <v>53.07</v>
      </c>
      <c r="Q40" s="28">
        <v>17.23</v>
      </c>
      <c r="R40" s="28" t="s">
        <v>141</v>
      </c>
    </row>
    <row r="41" spans="1:18" x14ac:dyDescent="0.2">
      <c r="A41" s="28" t="s">
        <v>1405</v>
      </c>
      <c r="B41" s="28" t="s">
        <v>1406</v>
      </c>
      <c r="C41" s="29">
        <v>2.0799999999999999E-2</v>
      </c>
      <c r="D41" s="28">
        <v>4.9000000000000004</v>
      </c>
      <c r="E41" s="30">
        <v>0.39704861111111112</v>
      </c>
      <c r="I41" s="30">
        <v>0.40086805555555555</v>
      </c>
      <c r="J41" s="28">
        <v>0</v>
      </c>
      <c r="K41" s="28">
        <v>4538250500</v>
      </c>
      <c r="L41" s="28" t="s">
        <v>141</v>
      </c>
      <c r="M41" s="28" t="s">
        <v>141</v>
      </c>
      <c r="N41" s="28">
        <v>0</v>
      </c>
      <c r="O41" s="28">
        <v>54.35</v>
      </c>
      <c r="P41" s="28">
        <v>79.41</v>
      </c>
      <c r="Q41" s="28">
        <v>15.95</v>
      </c>
      <c r="R41" s="28" t="s">
        <v>141</v>
      </c>
    </row>
    <row r="42" spans="1:18" x14ac:dyDescent="0.2">
      <c r="A42" s="28" t="s">
        <v>5753</v>
      </c>
      <c r="B42" s="28" t="s">
        <v>5752</v>
      </c>
      <c r="C42" s="29">
        <v>2.5600000000000001E-2</v>
      </c>
      <c r="D42" s="28">
        <v>17.25</v>
      </c>
      <c r="E42" s="30">
        <v>0.3967013888888889</v>
      </c>
      <c r="I42" s="30">
        <v>0.3967013888888889</v>
      </c>
      <c r="J42" s="28">
        <v>0</v>
      </c>
      <c r="K42" s="28">
        <v>2381000000</v>
      </c>
      <c r="L42" s="28" t="s">
        <v>141</v>
      </c>
      <c r="M42" s="28" t="s">
        <v>141</v>
      </c>
      <c r="N42" s="28">
        <v>0</v>
      </c>
      <c r="O42" s="28">
        <v>38.46</v>
      </c>
      <c r="P42" s="28">
        <v>82.37</v>
      </c>
      <c r="Q42" s="28">
        <v>15.61</v>
      </c>
      <c r="R42" s="28" t="s">
        <v>141</v>
      </c>
    </row>
    <row r="43" spans="1:18" x14ac:dyDescent="0.2">
      <c r="A43" s="28" t="s">
        <v>5751</v>
      </c>
      <c r="B43" s="28" t="s">
        <v>5750</v>
      </c>
      <c r="C43" s="29">
        <v>6.1600000000000002E-2</v>
      </c>
      <c r="D43" s="28">
        <v>11.03</v>
      </c>
      <c r="E43" s="30">
        <v>0.39999999999999997</v>
      </c>
      <c r="I43" s="30">
        <v>0.39999999999999997</v>
      </c>
      <c r="J43" s="28">
        <v>0</v>
      </c>
      <c r="K43" s="28">
        <v>2890742400</v>
      </c>
      <c r="L43" s="28" t="s">
        <v>141</v>
      </c>
      <c r="M43" s="28" t="s">
        <v>141</v>
      </c>
      <c r="N43" s="28">
        <v>0</v>
      </c>
      <c r="O43" s="28">
        <v>18.260000000000002</v>
      </c>
      <c r="P43" s="28">
        <v>93.24</v>
      </c>
      <c r="Q43" s="28">
        <v>14.9</v>
      </c>
      <c r="R43" s="28" t="s">
        <v>141</v>
      </c>
    </row>
    <row r="44" spans="1:18" x14ac:dyDescent="0.2">
      <c r="A44" s="28" t="s">
        <v>2131</v>
      </c>
      <c r="B44" s="28" t="s">
        <v>2132</v>
      </c>
      <c r="C44" s="29">
        <v>-4.41E-2</v>
      </c>
      <c r="D44" s="28">
        <v>40.340000000000003</v>
      </c>
      <c r="E44" s="28" t="s">
        <v>141</v>
      </c>
      <c r="I44" s="28" t="s">
        <v>141</v>
      </c>
      <c r="J44" s="28">
        <v>0</v>
      </c>
      <c r="K44" s="28">
        <v>2862506200</v>
      </c>
      <c r="L44" s="28" t="s">
        <v>141</v>
      </c>
      <c r="M44" s="28" t="s">
        <v>141</v>
      </c>
      <c r="N44" s="28">
        <v>0</v>
      </c>
      <c r="O44" s="28">
        <v>14.49</v>
      </c>
      <c r="P44" s="28">
        <v>50.32</v>
      </c>
      <c r="Q44" s="28">
        <v>46.46</v>
      </c>
      <c r="R44" s="28" t="s">
        <v>141</v>
      </c>
    </row>
    <row r="45" spans="1:18" x14ac:dyDescent="0.2">
      <c r="A45" s="28" t="s">
        <v>2189</v>
      </c>
      <c r="B45" s="28" t="s">
        <v>2190</v>
      </c>
      <c r="C45" s="29">
        <v>6.3500000000000001E-2</v>
      </c>
      <c r="D45" s="28">
        <v>22.6</v>
      </c>
      <c r="E45" s="30">
        <v>0.43229166666666669</v>
      </c>
      <c r="I45" s="30">
        <v>0.43229166666666669</v>
      </c>
      <c r="J45" s="28">
        <v>0</v>
      </c>
      <c r="K45" s="28">
        <v>649750000</v>
      </c>
      <c r="L45" s="28" t="s">
        <v>141</v>
      </c>
      <c r="M45" s="28" t="s">
        <v>141</v>
      </c>
      <c r="N45" s="28">
        <v>0</v>
      </c>
      <c r="O45" s="28">
        <v>11.05</v>
      </c>
      <c r="P45" s="28">
        <v>75.69</v>
      </c>
      <c r="Q45" s="28">
        <v>28.52</v>
      </c>
      <c r="R45" s="28" t="s">
        <v>141</v>
      </c>
    </row>
    <row r="46" spans="1:18" x14ac:dyDescent="0.2">
      <c r="A46" s="28" t="s">
        <v>3617</v>
      </c>
      <c r="B46" s="28" t="s">
        <v>3616</v>
      </c>
      <c r="C46" s="29">
        <v>2.8899999999999999E-2</v>
      </c>
      <c r="D46" s="28">
        <v>23.46</v>
      </c>
      <c r="E46" s="30">
        <v>0.5615162037037037</v>
      </c>
      <c r="I46" s="30">
        <v>0.5615162037037037</v>
      </c>
      <c r="J46" s="28">
        <v>0</v>
      </c>
      <c r="K46" s="28">
        <v>1121069860</v>
      </c>
      <c r="L46" s="28" t="s">
        <v>141</v>
      </c>
      <c r="M46" s="28" t="s">
        <v>141</v>
      </c>
      <c r="N46" s="28">
        <v>0</v>
      </c>
      <c r="O46" s="28">
        <v>0</v>
      </c>
      <c r="P46" s="28">
        <v>70.8</v>
      </c>
      <c r="Q46" s="28">
        <v>65.58</v>
      </c>
      <c r="R46" s="28" t="s">
        <v>141</v>
      </c>
    </row>
    <row r="47" spans="1:18" x14ac:dyDescent="0.2">
      <c r="A47" s="28" t="s">
        <v>1951</v>
      </c>
      <c r="B47" s="28" t="s">
        <v>1952</v>
      </c>
      <c r="C47" s="29">
        <v>-8.2500000000000004E-2</v>
      </c>
      <c r="D47" s="28">
        <v>17.010000000000002</v>
      </c>
      <c r="E47" s="28" t="s">
        <v>141</v>
      </c>
      <c r="I47" s="28" t="s">
        <v>141</v>
      </c>
      <c r="J47" s="28">
        <v>0</v>
      </c>
      <c r="K47" s="28">
        <v>2261118900</v>
      </c>
      <c r="L47" s="28" t="s">
        <v>141</v>
      </c>
      <c r="M47" s="28" t="s">
        <v>141</v>
      </c>
      <c r="N47" s="28">
        <v>0</v>
      </c>
      <c r="O47" s="28">
        <v>20.6</v>
      </c>
      <c r="P47" s="28">
        <v>34.950000000000003</v>
      </c>
      <c r="Q47" s="28">
        <v>42.75</v>
      </c>
      <c r="R47" s="28" t="s">
        <v>141</v>
      </c>
    </row>
    <row r="48" spans="1:18" x14ac:dyDescent="0.2">
      <c r="A48" s="28" t="s">
        <v>5587</v>
      </c>
      <c r="B48" s="28" t="s">
        <v>5586</v>
      </c>
      <c r="C48" s="29">
        <v>8.3199999999999996E-2</v>
      </c>
      <c r="D48" s="28">
        <v>28.13</v>
      </c>
      <c r="E48" s="30">
        <v>0.40972222222222227</v>
      </c>
      <c r="I48" s="30">
        <v>0.40972222222222227</v>
      </c>
      <c r="J48" s="28">
        <v>0</v>
      </c>
      <c r="K48" s="28">
        <v>1541982200</v>
      </c>
      <c r="L48" s="28" t="s">
        <v>141</v>
      </c>
      <c r="M48" s="28" t="s">
        <v>141</v>
      </c>
      <c r="N48" s="28">
        <v>0</v>
      </c>
      <c r="O48" s="28">
        <v>13.52</v>
      </c>
      <c r="P48" s="28">
        <v>98.95</v>
      </c>
      <c r="Q48" s="28">
        <v>17.440000000000001</v>
      </c>
      <c r="R48" s="28" t="s">
        <v>141</v>
      </c>
    </row>
    <row r="49" spans="1:18" x14ac:dyDescent="0.2">
      <c r="A49" s="28" t="s">
        <v>5216</v>
      </c>
      <c r="B49" s="28" t="s">
        <v>5215</v>
      </c>
      <c r="C49" s="29">
        <v>-9.9500000000000005E-2</v>
      </c>
      <c r="D49" s="28">
        <v>9.9499999999999993</v>
      </c>
      <c r="E49" s="28" t="s">
        <v>141</v>
      </c>
      <c r="I49" s="28" t="s">
        <v>141</v>
      </c>
      <c r="J49" s="28">
        <v>0</v>
      </c>
      <c r="K49" s="28">
        <v>4129842000</v>
      </c>
      <c r="L49" s="28" t="s">
        <v>141</v>
      </c>
      <c r="M49" s="28" t="s">
        <v>141</v>
      </c>
      <c r="N49" s="28">
        <v>0</v>
      </c>
      <c r="O49" s="28">
        <v>33.229999999999997</v>
      </c>
      <c r="P49" s="28">
        <v>20.68</v>
      </c>
      <c r="Q49" s="28">
        <v>28.87</v>
      </c>
      <c r="R49" s="28" t="s">
        <v>141</v>
      </c>
    </row>
    <row r="50" spans="1:18" x14ac:dyDescent="0.2">
      <c r="A50" s="28" t="s">
        <v>476</v>
      </c>
      <c r="B50" s="28" t="s">
        <v>477</v>
      </c>
      <c r="C50" s="29">
        <v>6.3100000000000003E-2</v>
      </c>
      <c r="D50" s="28">
        <v>5.9</v>
      </c>
      <c r="E50" s="30">
        <v>0.4458333333333333</v>
      </c>
      <c r="I50" s="30">
        <v>0.45195601851851852</v>
      </c>
      <c r="J50" s="28">
        <v>0</v>
      </c>
      <c r="K50" s="28">
        <v>2943358500</v>
      </c>
      <c r="L50" s="28" t="s">
        <v>141</v>
      </c>
      <c r="M50" s="28" t="s">
        <v>141</v>
      </c>
      <c r="N50" s="28">
        <v>0</v>
      </c>
      <c r="O50" s="28">
        <v>37.21</v>
      </c>
      <c r="P50" s="28">
        <v>37.33</v>
      </c>
      <c r="Q50" s="28">
        <v>16.16</v>
      </c>
      <c r="R50" s="28" t="s">
        <v>141</v>
      </c>
    </row>
    <row r="51" spans="1:18" x14ac:dyDescent="0.2">
      <c r="A51" s="28" t="s">
        <v>2010</v>
      </c>
      <c r="B51" s="28" t="s">
        <v>2011</v>
      </c>
      <c r="C51" s="29">
        <v>2.3699999999999999E-2</v>
      </c>
      <c r="D51" s="28">
        <v>12.52</v>
      </c>
      <c r="E51" s="30">
        <v>0.40329861111111115</v>
      </c>
      <c r="I51" s="30">
        <v>0.40329861111111115</v>
      </c>
      <c r="J51" s="28">
        <v>0</v>
      </c>
      <c r="K51" s="28">
        <v>1950549800</v>
      </c>
      <c r="L51" s="28" t="s">
        <v>141</v>
      </c>
      <c r="M51" s="28" t="s">
        <v>141</v>
      </c>
      <c r="N51" s="28">
        <v>0</v>
      </c>
      <c r="O51" s="28">
        <v>53</v>
      </c>
      <c r="P51" s="28">
        <v>78.94</v>
      </c>
      <c r="Q51" s="28">
        <v>20.64</v>
      </c>
      <c r="R51" s="28" t="s">
        <v>141</v>
      </c>
    </row>
    <row r="52" spans="1:18" x14ac:dyDescent="0.2">
      <c r="A52" s="28" t="s">
        <v>5667</v>
      </c>
      <c r="B52" s="28" t="s">
        <v>5666</v>
      </c>
      <c r="C52" s="29">
        <v>1.6299999999999999E-2</v>
      </c>
      <c r="D52" s="28">
        <v>21.78</v>
      </c>
      <c r="E52" s="30">
        <v>0.41024305555555557</v>
      </c>
      <c r="I52" s="30">
        <v>0.41250000000000003</v>
      </c>
      <c r="J52" s="28">
        <v>0</v>
      </c>
      <c r="K52" s="28">
        <v>3020160000</v>
      </c>
      <c r="L52" s="28" t="s">
        <v>141</v>
      </c>
      <c r="M52" s="28" t="s">
        <v>141</v>
      </c>
      <c r="N52" s="28">
        <v>0</v>
      </c>
      <c r="O52" s="28">
        <v>54.87</v>
      </c>
      <c r="P52" s="28">
        <v>85.07</v>
      </c>
      <c r="Q52" s="28">
        <v>9.0299999999999994</v>
      </c>
      <c r="R52" s="28" t="s">
        <v>141</v>
      </c>
    </row>
    <row r="53" spans="1:18" x14ac:dyDescent="0.2">
      <c r="A53" s="28" t="s">
        <v>1835</v>
      </c>
      <c r="B53" s="28" t="s">
        <v>1836</v>
      </c>
      <c r="C53" s="29">
        <v>2.4500000000000001E-2</v>
      </c>
      <c r="D53" s="28">
        <v>35.51</v>
      </c>
      <c r="E53" s="30">
        <v>0.45438657407407407</v>
      </c>
      <c r="I53" s="30">
        <v>0.45542824074074079</v>
      </c>
      <c r="J53" s="28">
        <v>0</v>
      </c>
      <c r="K53" s="28">
        <v>9469451700</v>
      </c>
      <c r="L53" s="28" t="s">
        <v>141</v>
      </c>
      <c r="M53" s="28" t="s">
        <v>141</v>
      </c>
      <c r="N53" s="28">
        <v>0</v>
      </c>
      <c r="O53" s="28">
        <v>76.11</v>
      </c>
      <c r="P53" s="28">
        <v>77.95</v>
      </c>
      <c r="Q53" s="28">
        <v>21.23</v>
      </c>
      <c r="R53" s="28" t="s">
        <v>141</v>
      </c>
    </row>
    <row r="54" spans="1:18" x14ac:dyDescent="0.2">
      <c r="A54" s="28" t="s">
        <v>2067</v>
      </c>
      <c r="B54" s="28" t="s">
        <v>2068</v>
      </c>
      <c r="C54" s="29">
        <v>-8.6800000000000002E-2</v>
      </c>
      <c r="D54" s="28">
        <v>14.83</v>
      </c>
      <c r="E54" s="28" t="s">
        <v>141</v>
      </c>
      <c r="I54" s="28" t="s">
        <v>141</v>
      </c>
      <c r="J54" s="28">
        <v>0</v>
      </c>
      <c r="K54" s="28">
        <v>3064985800</v>
      </c>
      <c r="L54" s="28" t="s">
        <v>141</v>
      </c>
      <c r="M54" s="28" t="s">
        <v>141</v>
      </c>
      <c r="N54" s="28">
        <v>0</v>
      </c>
      <c r="O54" s="28">
        <v>0.86</v>
      </c>
      <c r="P54" s="28">
        <v>58.77</v>
      </c>
      <c r="Q54" s="28">
        <v>28.26</v>
      </c>
      <c r="R54" s="28" t="s">
        <v>141</v>
      </c>
    </row>
    <row r="55" spans="1:18" x14ac:dyDescent="0.2">
      <c r="A55" s="28" t="s">
        <v>214</v>
      </c>
      <c r="B55" s="28" t="s">
        <v>213</v>
      </c>
      <c r="C55" s="29">
        <v>7.1199999999999999E-2</v>
      </c>
      <c r="D55" s="28">
        <v>12.79</v>
      </c>
      <c r="E55" s="30">
        <v>0.42413194444444446</v>
      </c>
      <c r="I55" s="30">
        <v>0.42413194444444446</v>
      </c>
      <c r="J55" s="28">
        <v>0</v>
      </c>
      <c r="K55" s="28">
        <v>4328250700</v>
      </c>
      <c r="L55" s="28" t="s">
        <v>141</v>
      </c>
      <c r="M55" s="28" t="s">
        <v>141</v>
      </c>
      <c r="N55" s="28">
        <v>0</v>
      </c>
      <c r="O55" s="28">
        <v>4.5</v>
      </c>
      <c r="P55" s="28">
        <v>20.12</v>
      </c>
      <c r="Q55" s="28">
        <v>7.92</v>
      </c>
      <c r="R55" s="28" t="s">
        <v>141</v>
      </c>
    </row>
    <row r="56" spans="1:18" x14ac:dyDescent="0.2">
      <c r="A56" s="28" t="s">
        <v>1526</v>
      </c>
      <c r="B56" s="28" t="s">
        <v>1527</v>
      </c>
      <c r="C56" s="29">
        <v>-9.9299999999999999E-2</v>
      </c>
      <c r="D56" s="28">
        <v>3.9</v>
      </c>
      <c r="E56" s="28" t="s">
        <v>141</v>
      </c>
      <c r="I56" s="28" t="s">
        <v>141</v>
      </c>
      <c r="J56" s="28">
        <v>0</v>
      </c>
      <c r="K56" s="28">
        <v>3208649500</v>
      </c>
      <c r="L56" s="28" t="s">
        <v>141</v>
      </c>
      <c r="M56" s="28" t="s">
        <v>141</v>
      </c>
      <c r="N56" s="28">
        <v>0</v>
      </c>
      <c r="O56" s="28">
        <v>37.630000000000003</v>
      </c>
      <c r="P56" s="28">
        <v>61.37</v>
      </c>
      <c r="Q56" s="28">
        <v>11.95</v>
      </c>
      <c r="R56" s="28" t="s">
        <v>141</v>
      </c>
    </row>
    <row r="57" spans="1:18" x14ac:dyDescent="0.2">
      <c r="A57" s="28" t="s">
        <v>5462</v>
      </c>
      <c r="B57" s="28" t="s">
        <v>5461</v>
      </c>
      <c r="C57" s="29">
        <v>3.0499999999999999E-2</v>
      </c>
      <c r="D57" s="28">
        <v>5.4</v>
      </c>
      <c r="E57" s="30">
        <v>0.39600694444444445</v>
      </c>
      <c r="I57" s="30">
        <v>0.39600694444444445</v>
      </c>
      <c r="J57" s="28">
        <v>0</v>
      </c>
      <c r="K57" s="28">
        <v>9349345000</v>
      </c>
      <c r="L57" s="28" t="s">
        <v>141</v>
      </c>
      <c r="M57" s="28" t="s">
        <v>141</v>
      </c>
      <c r="N57" s="28">
        <v>0</v>
      </c>
      <c r="O57" s="28">
        <v>87.74</v>
      </c>
      <c r="P57" s="28">
        <v>90.35</v>
      </c>
      <c r="Q57" s="28">
        <v>6.67</v>
      </c>
      <c r="R57" s="28" t="s">
        <v>141</v>
      </c>
    </row>
    <row r="58" spans="1:18" x14ac:dyDescent="0.2">
      <c r="A58" s="28" t="s">
        <v>1305</v>
      </c>
      <c r="B58" s="28" t="s">
        <v>1306</v>
      </c>
      <c r="C58" s="29">
        <v>8.4199999999999997E-2</v>
      </c>
      <c r="D58" s="28">
        <v>14.03</v>
      </c>
      <c r="E58" s="30">
        <v>0.59453703703703698</v>
      </c>
      <c r="I58" s="30">
        <v>0.59505787037037039</v>
      </c>
      <c r="J58" s="28">
        <v>0</v>
      </c>
      <c r="K58" s="28">
        <v>14884417000</v>
      </c>
      <c r="L58" s="28" t="s">
        <v>141</v>
      </c>
      <c r="M58" s="28" t="s">
        <v>141</v>
      </c>
      <c r="N58" s="28">
        <v>0</v>
      </c>
      <c r="O58" s="28">
        <v>61.35</v>
      </c>
      <c r="P58" s="28">
        <v>95.85</v>
      </c>
      <c r="Q58" s="28">
        <v>10.81</v>
      </c>
      <c r="R58" s="28" t="s">
        <v>141</v>
      </c>
    </row>
    <row r="59" spans="1:18" x14ac:dyDescent="0.2">
      <c r="A59" s="28" t="s">
        <v>1430</v>
      </c>
      <c r="B59" s="28" t="s">
        <v>1431</v>
      </c>
      <c r="C59" s="29">
        <v>-3.3300000000000003E-2</v>
      </c>
      <c r="D59" s="28">
        <v>1.74</v>
      </c>
      <c r="E59" s="30">
        <v>0.39583333333333331</v>
      </c>
      <c r="I59" s="30">
        <v>0.4001736111111111</v>
      </c>
      <c r="J59" s="28">
        <v>0</v>
      </c>
      <c r="K59" s="28">
        <v>4335220900</v>
      </c>
      <c r="L59" s="28" t="s">
        <v>141</v>
      </c>
      <c r="M59" s="28" t="s">
        <v>141</v>
      </c>
      <c r="N59" s="28">
        <v>0</v>
      </c>
      <c r="O59" s="28">
        <v>43.06</v>
      </c>
      <c r="P59" s="28">
        <v>60.8</v>
      </c>
      <c r="Q59" s="28">
        <v>12.54</v>
      </c>
      <c r="R59" s="28" t="s">
        <v>141</v>
      </c>
    </row>
    <row r="60" spans="1:18" x14ac:dyDescent="0.2">
      <c r="A60" s="28" t="s">
        <v>5749</v>
      </c>
      <c r="B60" s="28" t="s">
        <v>5748</v>
      </c>
      <c r="C60" s="29">
        <v>-9.6799999999999997E-2</v>
      </c>
      <c r="D60" s="28">
        <v>7.28</v>
      </c>
      <c r="E60" s="28" t="s">
        <v>141</v>
      </c>
      <c r="H60" s="2" t="e">
        <f>AVERAGE((G60-F60)*100/G60)</f>
        <v>#DIV/0!</v>
      </c>
      <c r="I60" s="28" t="s">
        <v>141</v>
      </c>
      <c r="J60" s="28">
        <v>0</v>
      </c>
      <c r="K60" s="28">
        <v>14356888000</v>
      </c>
      <c r="L60" s="28" t="s">
        <v>141</v>
      </c>
      <c r="M60" s="28" t="s">
        <v>141</v>
      </c>
      <c r="N60" s="28">
        <v>0</v>
      </c>
      <c r="O60" s="28">
        <v>48</v>
      </c>
      <c r="P60" s="28">
        <v>0.03</v>
      </c>
      <c r="Q60" s="28">
        <v>4.8899999999999997</v>
      </c>
      <c r="R60" s="28" t="s">
        <v>141</v>
      </c>
    </row>
    <row r="61" spans="1:18" x14ac:dyDescent="0.2">
      <c r="A61" s="28" t="s">
        <v>1646</v>
      </c>
      <c r="B61" s="28" t="s">
        <v>1647</v>
      </c>
      <c r="C61" s="29">
        <v>6.5799999999999997E-2</v>
      </c>
      <c r="D61" s="28">
        <v>13.45</v>
      </c>
      <c r="E61" s="30">
        <v>0.41944444444444445</v>
      </c>
      <c r="I61" s="30">
        <v>0.44392361111111112</v>
      </c>
      <c r="J61" s="28">
        <v>0</v>
      </c>
      <c r="K61" s="28">
        <v>6214976000</v>
      </c>
      <c r="L61" s="28" t="s">
        <v>141</v>
      </c>
      <c r="M61" s="28" t="s">
        <v>141</v>
      </c>
      <c r="N61" s="28">
        <v>0</v>
      </c>
      <c r="O61" s="28">
        <v>52.27</v>
      </c>
      <c r="P61" s="28">
        <v>52.96</v>
      </c>
      <c r="Q61" s="28">
        <v>20.260000000000002</v>
      </c>
      <c r="R61"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5700</v>
      </c>
      <c r="F1" s="2" t="s">
        <v>2269</v>
      </c>
      <c r="G1" s="2" t="s">
        <v>2268</v>
      </c>
      <c r="H1" s="2" t="s">
        <v>2267</v>
      </c>
      <c r="I1" s="28" t="s">
        <v>5699</v>
      </c>
      <c r="J1" s="28" t="s">
        <v>5698</v>
      </c>
      <c r="K1" s="28" t="s">
        <v>36</v>
      </c>
      <c r="L1" s="28" t="s">
        <v>5697</v>
      </c>
      <c r="M1" s="28" t="s">
        <v>230</v>
      </c>
      <c r="N1" s="28" t="s">
        <v>263</v>
      </c>
      <c r="O1" s="28" t="s">
        <v>259</v>
      </c>
      <c r="P1" s="28" t="s">
        <v>5696</v>
      </c>
      <c r="Q1" s="28" t="s">
        <v>5695</v>
      </c>
      <c r="R1" s="28" t="s">
        <v>5694</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5693</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5692</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5691</v>
      </c>
      <c r="M14" s="28" t="s">
        <v>231</v>
      </c>
      <c r="N14" s="28">
        <v>131075</v>
      </c>
      <c r="O14" s="28">
        <v>42.43</v>
      </c>
      <c r="P14" s="28">
        <v>65.209999999999994</v>
      </c>
      <c r="Q14" s="28">
        <v>1.1000000000000001</v>
      </c>
      <c r="R14" s="28">
        <v>90.05</v>
      </c>
    </row>
    <row r="15" spans="1:18" x14ac:dyDescent="0.2">
      <c r="A15" s="28" t="s">
        <v>5690</v>
      </c>
      <c r="B15" s="28" t="s">
        <v>5689</v>
      </c>
      <c r="C15" s="29">
        <v>0.1012</v>
      </c>
      <c r="D15" s="28">
        <v>4.46</v>
      </c>
      <c r="E15" s="30">
        <v>0.41809027777777774</v>
      </c>
      <c r="I15" s="30">
        <v>0.41809027777777774</v>
      </c>
      <c r="J15" s="28">
        <v>1</v>
      </c>
      <c r="K15" s="28">
        <v>1928005700</v>
      </c>
      <c r="L15" s="28" t="s">
        <v>5688</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5687</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5686</v>
      </c>
      <c r="M18" s="28" t="s">
        <v>231</v>
      </c>
      <c r="N18" s="28">
        <v>65537</v>
      </c>
      <c r="O18" s="28">
        <v>20.6</v>
      </c>
      <c r="P18" s="28">
        <v>99.78</v>
      </c>
      <c r="Q18" s="28">
        <v>27.17</v>
      </c>
      <c r="R18" s="28">
        <v>33.14</v>
      </c>
    </row>
    <row r="19" spans="1:18" x14ac:dyDescent="0.2">
      <c r="A19" s="28" t="s">
        <v>5685</v>
      </c>
      <c r="B19" s="28" t="s">
        <v>5684</v>
      </c>
      <c r="C19" s="29">
        <v>0.1</v>
      </c>
      <c r="D19" s="28">
        <v>20.46</v>
      </c>
      <c r="E19" s="30">
        <v>0.40180555555555553</v>
      </c>
      <c r="H19" s="28"/>
      <c r="I19" s="30">
        <v>0.40180555555555553</v>
      </c>
      <c r="J19" s="28">
        <v>1</v>
      </c>
      <c r="K19" s="28">
        <v>824289600</v>
      </c>
      <c r="L19" s="28" t="s">
        <v>5683</v>
      </c>
      <c r="M19" s="28" t="s">
        <v>231</v>
      </c>
      <c r="N19" s="28">
        <v>65537</v>
      </c>
      <c r="O19" s="28">
        <v>10.17</v>
      </c>
      <c r="P19" s="28">
        <v>100</v>
      </c>
      <c r="Q19" s="28">
        <v>16.079999999999998</v>
      </c>
      <c r="R19" s="28">
        <v>31.27</v>
      </c>
    </row>
    <row r="20" spans="1:18" x14ac:dyDescent="0.2">
      <c r="A20" s="28" t="s">
        <v>5682</v>
      </c>
      <c r="B20" s="28" t="s">
        <v>5681</v>
      </c>
      <c r="C20" s="29">
        <v>9.9000000000000005E-2</v>
      </c>
      <c r="D20" s="28">
        <v>2.2200000000000002</v>
      </c>
      <c r="E20" s="30">
        <v>0.45618055555555559</v>
      </c>
      <c r="I20" s="30">
        <v>0.55785879629629631</v>
      </c>
      <c r="J20" s="28">
        <v>1</v>
      </c>
      <c r="K20" s="28">
        <v>5298690200</v>
      </c>
      <c r="L20" s="28" t="s">
        <v>5680</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5679</v>
      </c>
      <c r="C23" s="29">
        <v>0.1007</v>
      </c>
      <c r="D23" s="28">
        <v>3.28</v>
      </c>
      <c r="E23" s="30">
        <v>0.39600694444444445</v>
      </c>
      <c r="I23" s="30">
        <v>0.39600694444444445</v>
      </c>
      <c r="J23" s="28">
        <v>1</v>
      </c>
      <c r="K23" s="28">
        <v>4516038300</v>
      </c>
      <c r="L23" s="28" t="s">
        <v>5678</v>
      </c>
      <c r="M23" s="28" t="s">
        <v>231</v>
      </c>
      <c r="N23" s="28">
        <v>65537</v>
      </c>
      <c r="O23" s="28">
        <v>54.79</v>
      </c>
      <c r="P23" s="28">
        <v>44.48</v>
      </c>
      <c r="Q23" s="28">
        <v>1.73</v>
      </c>
      <c r="R23" s="28">
        <v>77.81</v>
      </c>
    </row>
    <row r="24" spans="1:18" x14ac:dyDescent="0.2">
      <c r="A24" s="28" t="s">
        <v>5677</v>
      </c>
      <c r="B24" s="28" t="s">
        <v>5676</v>
      </c>
      <c r="C24" s="29">
        <v>0.10009999999999999</v>
      </c>
      <c r="D24" s="28">
        <v>13.74</v>
      </c>
      <c r="E24" s="30">
        <v>0.41809027777777774</v>
      </c>
      <c r="I24" s="30">
        <v>0.62076388888888889</v>
      </c>
      <c r="J24" s="28">
        <v>1</v>
      </c>
      <c r="K24" s="28">
        <v>2489212500</v>
      </c>
      <c r="L24" s="28" t="s">
        <v>5675</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5674</v>
      </c>
      <c r="M26" s="28" t="s">
        <v>231</v>
      </c>
      <c r="N26" s="28">
        <v>65537</v>
      </c>
      <c r="O26" s="28">
        <v>52.7</v>
      </c>
      <c r="P26" s="28">
        <v>65.760000000000005</v>
      </c>
      <c r="Q26" s="28">
        <v>5.2</v>
      </c>
      <c r="R26" s="28">
        <v>30.04</v>
      </c>
    </row>
    <row r="27" spans="1:18" x14ac:dyDescent="0.2">
      <c r="A27" s="28" t="s">
        <v>5673</v>
      </c>
      <c r="B27" s="28" t="s">
        <v>5672</v>
      </c>
      <c r="C27" s="29">
        <v>0.1</v>
      </c>
      <c r="D27" s="28">
        <v>39.49</v>
      </c>
      <c r="E27" s="30">
        <v>0.41488425925925926</v>
      </c>
      <c r="I27" s="30">
        <v>0.41488425925925926</v>
      </c>
      <c r="J27" s="28">
        <v>1</v>
      </c>
      <c r="K27" s="28">
        <v>11726962800</v>
      </c>
      <c r="L27" s="28" t="s">
        <v>5671</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5670</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5669</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5668</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5667</v>
      </c>
      <c r="B33" s="28" t="s">
        <v>5666</v>
      </c>
      <c r="C33" s="29">
        <v>0.10009999999999999</v>
      </c>
      <c r="D33" s="28">
        <v>21.43</v>
      </c>
      <c r="E33" s="30">
        <v>0.39739583333333334</v>
      </c>
      <c r="I33" s="30">
        <v>0.40574074074074074</v>
      </c>
      <c r="J33" s="28">
        <v>1</v>
      </c>
      <c r="K33" s="28">
        <v>2971626700</v>
      </c>
      <c r="L33" s="28" t="s">
        <v>5665</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5664</v>
      </c>
      <c r="B35" s="28" t="s">
        <v>5663</v>
      </c>
      <c r="C35" s="29">
        <v>0.1002</v>
      </c>
      <c r="D35" s="28">
        <v>7.25</v>
      </c>
      <c r="E35" s="30">
        <v>0.46079861111111109</v>
      </c>
      <c r="I35" s="30">
        <v>0.46079861111111109</v>
      </c>
      <c r="J35" s="28">
        <v>1</v>
      </c>
      <c r="K35" s="28">
        <v>8401503000</v>
      </c>
      <c r="L35" s="28" t="s">
        <v>5662</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5661</v>
      </c>
      <c r="B39" s="28" t="s">
        <v>5660</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5659</v>
      </c>
      <c r="B40" s="28" t="s">
        <v>5658</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5657</v>
      </c>
      <c r="B42" s="28" t="s">
        <v>5656</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5655</v>
      </c>
      <c r="B44" s="28" t="s">
        <v>5654</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5653</v>
      </c>
      <c r="B46" s="28" t="s">
        <v>5652</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5651</v>
      </c>
      <c r="B48" s="28" t="s">
        <v>5650</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5649</v>
      </c>
      <c r="B49" s="28" t="s">
        <v>5648</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5647</v>
      </c>
      <c r="B53" s="28" t="s">
        <v>5646</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5645</v>
      </c>
      <c r="B56" s="28" t="s">
        <v>5644</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5643</v>
      </c>
      <c r="B59" s="28" t="s">
        <v>5642</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59</vt:i4>
      </vt:variant>
    </vt:vector>
  </HeadingPairs>
  <TitlesOfParts>
    <vt:vector size="59" baseType="lpstr">
      <vt:lpstr>交易模式</vt:lpstr>
      <vt:lpstr>龙头</vt:lpstr>
      <vt:lpstr>情绪</vt:lpstr>
      <vt:lpstr>周期</vt:lpstr>
      <vt:lpstr>240117</vt:lpstr>
      <vt:lpstr>240116</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2024-01-17T09:49:43Z</dcterms:modified>
</cp:coreProperties>
</file>