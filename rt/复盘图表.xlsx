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gao'guang\Desktop\Atool\rt\"/>
    </mc:Choice>
  </mc:AlternateContent>
  <xr:revisionPtr revIDLastSave="0" documentId="13_ncr:1_{1216F1D8-1994-450E-B89F-77EE2D285736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图" sheetId="3" r:id="rId1"/>
    <sheet name="情绪数据" sheetId="2" r:id="rId2"/>
    <sheet name="Sheet3" sheetId="8" state="hidden" r:id="rId3"/>
  </sheets>
  <definedNames>
    <definedName name="ma3涨停" localSheetId="1">OFFSET(情绪数据!$AE$1,1,,COUNTA(情绪数据!$AE:$AE)-1)</definedName>
    <definedName name="次高连板" localSheetId="1">OFFSET(情绪数据!$T$1,1,,COUNTA(情绪数据!$T:$T)-1)</definedName>
    <definedName name="今日涨停封死计数" localSheetId="1">OFFSET(情绪数据!$B$1,1,,COUNTA(情绪数据!$B:$B)-1)</definedName>
    <definedName name="今日涨停炸版计数" localSheetId="1">OFFSET(情绪数据!$C$1,1,,COUNTA(情绪数据!$C:$C)-1)</definedName>
    <definedName name="盘中超跌" localSheetId="1">OFFSET(情绪数据!$F$1,1,,COUNTA(情绪数据!$F:$F)-1)</definedName>
    <definedName name="盘中带量" localSheetId="1">OFFSET(情绪数据!$D$1,1,,COUNTA(情绪数据!$D:$D)-1)</definedName>
    <definedName name="日期" localSheetId="1">OFFSET(情绪数据!$A$1,1,,COUNTA(情绪数据!$A:$A)-1)</definedName>
    <definedName name="最高连板" localSheetId="1">OFFSET(情绪数据!$S$1,1,,COUNTA(情绪数据!$S:$S)-1)</definedName>
    <definedName name="昨日不含炸板" localSheetId="1">OFFSET(情绪数据!$I$1,1,,COUNTA(情绪数据!$I:$I)-1)</definedName>
    <definedName name="昨日含炸板" localSheetId="1">OFFSET(情绪数据!$J$1,1,,COUNTA(情绪数据!$J:$J)-1)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587" i="2" l="1"/>
  <c r="AF587" i="2"/>
  <c r="H587" i="2"/>
  <c r="AE586" i="2"/>
  <c r="AF586" i="2"/>
  <c r="H586" i="2"/>
  <c r="AE585" i="2"/>
  <c r="AF585" i="2"/>
  <c r="H585" i="2"/>
  <c r="AE584" i="2"/>
  <c r="AF584" i="2"/>
  <c r="H584" i="2"/>
  <c r="AE583" i="2"/>
  <c r="AF583" i="2"/>
  <c r="H583" i="2"/>
  <c r="AE582" i="2"/>
  <c r="AF582" i="2"/>
  <c r="H582" i="2"/>
  <c r="AE581" i="2"/>
  <c r="AF581" i="2"/>
  <c r="H581" i="2"/>
  <c r="AE580" i="2"/>
  <c r="AF580" i="2"/>
  <c r="H580" i="2"/>
  <c r="AE579" i="2"/>
  <c r="AF579" i="2"/>
  <c r="H579" i="2"/>
  <c r="AE578" i="2"/>
  <c r="AF578" i="2" s="1"/>
  <c r="H578" i="2"/>
  <c r="AE577" i="2"/>
  <c r="AF577" i="2"/>
  <c r="H577" i="2"/>
  <c r="AE576" i="2"/>
  <c r="AF576" i="2"/>
  <c r="H576" i="2"/>
  <c r="AE192" i="2"/>
  <c r="AE257" i="2"/>
  <c r="AE258" i="2"/>
  <c r="AE575" i="2"/>
  <c r="AF575" i="2"/>
  <c r="AF569" i="2"/>
  <c r="AF565" i="2"/>
  <c r="AE565" i="2"/>
  <c r="AE535" i="2"/>
  <c r="AF535" i="2"/>
  <c r="AE536" i="2"/>
  <c r="AF536" i="2"/>
  <c r="AE537" i="2"/>
  <c r="AF537" i="2"/>
  <c r="AE538" i="2"/>
  <c r="AF538" i="2"/>
  <c r="AE539" i="2"/>
  <c r="AF539" i="2"/>
  <c r="AE540" i="2"/>
  <c r="AF540" i="2"/>
  <c r="AE541" i="2"/>
  <c r="AF541" i="2"/>
  <c r="AE542" i="2"/>
  <c r="AF542" i="2"/>
  <c r="AE543" i="2"/>
  <c r="AF543" i="2"/>
  <c r="AE544" i="2"/>
  <c r="AF544" i="2"/>
  <c r="AE545" i="2"/>
  <c r="AF545" i="2"/>
  <c r="AE546" i="2"/>
  <c r="AF546" i="2"/>
  <c r="AE547" i="2"/>
  <c r="AF547" i="2"/>
  <c r="AE548" i="2"/>
  <c r="AF548" i="2"/>
  <c r="AE549" i="2"/>
  <c r="AF549" i="2"/>
  <c r="AE550" i="2"/>
  <c r="AF550" i="2"/>
  <c r="AE551" i="2"/>
  <c r="AF551" i="2"/>
  <c r="AE552" i="2"/>
  <c r="AF552" i="2"/>
  <c r="AE553" i="2"/>
  <c r="AF553" i="2"/>
  <c r="AE554" i="2"/>
  <c r="AF554" i="2"/>
  <c r="AE555" i="2"/>
  <c r="AF555" i="2"/>
  <c r="AE556" i="2"/>
  <c r="AF556" i="2"/>
  <c r="AE557" i="2"/>
  <c r="AF557" i="2"/>
  <c r="AE558" i="2"/>
  <c r="AF558" i="2"/>
  <c r="AE559" i="2"/>
  <c r="AF559" i="2"/>
  <c r="AE560" i="2"/>
  <c r="AF560" i="2"/>
  <c r="AE561" i="2"/>
  <c r="AF561" i="2"/>
  <c r="AE562" i="2"/>
  <c r="AF562" i="2"/>
  <c r="AE563" i="2"/>
  <c r="AF563" i="2"/>
  <c r="AE564" i="2"/>
  <c r="AF564" i="2"/>
  <c r="AE566" i="2"/>
  <c r="AF566" i="2"/>
  <c r="AE567" i="2"/>
  <c r="AF567" i="2"/>
  <c r="AE568" i="2"/>
  <c r="AF568" i="2"/>
  <c r="AE569" i="2"/>
  <c r="AE570" i="2"/>
  <c r="AF570" i="2"/>
  <c r="AE571" i="2"/>
  <c r="AF571" i="2"/>
  <c r="AE572" i="2"/>
  <c r="AF572" i="2" s="1"/>
  <c r="AE573" i="2"/>
  <c r="AF573" i="2"/>
  <c r="AE574" i="2"/>
  <c r="AF574" i="2"/>
  <c r="H575" i="2" l="1"/>
  <c r="H574" i="2"/>
  <c r="H573" i="2"/>
  <c r="H572" i="2"/>
  <c r="H571" i="2"/>
  <c r="H570" i="2"/>
  <c r="H568" i="2"/>
  <c r="H569" i="2" l="1"/>
  <c r="H567" i="2"/>
  <c r="H566" i="2"/>
  <c r="H565" i="2"/>
  <c r="H564" i="2"/>
  <c r="H563" i="2"/>
  <c r="H562" i="2"/>
  <c r="H561" i="2"/>
  <c r="H560" i="2"/>
  <c r="H558" i="2"/>
  <c r="H559" i="2"/>
  <c r="H557" i="2"/>
  <c r="H556" i="2" l="1"/>
  <c r="H555" i="2"/>
  <c r="H554" i="2"/>
  <c r="H553" i="2"/>
  <c r="H552" i="2" l="1"/>
  <c r="H551" i="2"/>
  <c r="H550" i="2"/>
  <c r="H549" i="2"/>
  <c r="H548" i="2"/>
  <c r="H547" i="2"/>
  <c r="H546" i="2" l="1"/>
  <c r="H545" i="2"/>
  <c r="H544" i="2"/>
  <c r="H543" i="2"/>
  <c r="H542" i="2"/>
  <c r="H541" i="2"/>
  <c r="H540" i="2" l="1"/>
  <c r="H539" i="2"/>
  <c r="H538" i="2"/>
  <c r="H537" i="2"/>
  <c r="H536" i="2"/>
  <c r="H535" i="2"/>
  <c r="AE534" i="2"/>
  <c r="AF534" i="2"/>
  <c r="H534" i="2"/>
  <c r="AE533" i="2"/>
  <c r="AF533" i="2"/>
  <c r="H533" i="2"/>
  <c r="AE532" i="2"/>
  <c r="AF532" i="2"/>
  <c r="H532" i="2"/>
  <c r="AE531" i="2" l="1"/>
  <c r="AF531" i="2"/>
  <c r="H531" i="2"/>
  <c r="AE530" i="2"/>
  <c r="AF530" i="2"/>
  <c r="H530" i="2"/>
  <c r="AE529" i="2"/>
  <c r="AF529" i="2"/>
  <c r="H529" i="2"/>
  <c r="AE528" i="2"/>
  <c r="AF528" i="2"/>
  <c r="H528" i="2"/>
  <c r="AE527" i="2"/>
  <c r="AF527" i="2"/>
  <c r="H527" i="2"/>
  <c r="AE526" i="2"/>
  <c r="AF526" i="2"/>
  <c r="H526" i="2"/>
  <c r="AE525" i="2"/>
  <c r="AF525" i="2"/>
  <c r="H525" i="2"/>
  <c r="AE524" i="2"/>
  <c r="AF524" i="2"/>
  <c r="H524" i="2"/>
  <c r="AE523" i="2"/>
  <c r="AF523" i="2"/>
  <c r="H523" i="2"/>
  <c r="AE522" i="2" l="1"/>
  <c r="AF522" i="2"/>
  <c r="H522" i="2"/>
  <c r="AE521" i="2"/>
  <c r="AF521" i="2" s="1"/>
  <c r="H521" i="2"/>
  <c r="AE520" i="2"/>
  <c r="AF520" i="2"/>
  <c r="H520" i="2"/>
  <c r="AE519" i="2" l="1"/>
  <c r="AF519" i="2"/>
  <c r="H519" i="2"/>
  <c r="AE518" i="2"/>
  <c r="AF518" i="2" s="1"/>
  <c r="H518" i="2"/>
  <c r="AE517" i="2"/>
  <c r="AF517" i="2"/>
  <c r="H517" i="2"/>
  <c r="AE516" i="2"/>
  <c r="AF516" i="2"/>
  <c r="H516" i="2"/>
  <c r="AE515" i="2"/>
  <c r="AF515" i="2" s="1"/>
  <c r="H515" i="2"/>
  <c r="AE514" i="2"/>
  <c r="AF514" i="2"/>
  <c r="H514" i="2"/>
  <c r="AE513" i="2"/>
  <c r="AF513" i="2" s="1"/>
  <c r="H513" i="2"/>
  <c r="AE512" i="2"/>
  <c r="AF512" i="2" s="1"/>
  <c r="H512" i="2"/>
  <c r="AE511" i="2"/>
  <c r="AF511" i="2" s="1"/>
  <c r="H511" i="2"/>
  <c r="AE510" i="2"/>
  <c r="AF510" i="2"/>
  <c r="H510" i="2"/>
  <c r="AE508" i="2"/>
  <c r="AF508" i="2" s="1"/>
  <c r="AE509" i="2"/>
  <c r="AF509" i="2"/>
  <c r="H508" i="2"/>
  <c r="H509" i="2"/>
  <c r="AE507" i="2"/>
  <c r="AF507" i="2"/>
  <c r="H507" i="2"/>
  <c r="AE506" i="2"/>
  <c r="AF506" i="2"/>
  <c r="H506" i="2"/>
  <c r="AE505" i="2"/>
  <c r="AF505" i="2"/>
  <c r="H505" i="2"/>
  <c r="AE504" i="2"/>
  <c r="AF504" i="2"/>
  <c r="H504" i="2"/>
  <c r="AE503" i="2"/>
  <c r="AF503" i="2" s="1"/>
  <c r="H503" i="2"/>
  <c r="AE502" i="2"/>
  <c r="AF502" i="2"/>
  <c r="H502" i="2"/>
  <c r="AE501" i="2"/>
  <c r="AF501" i="2"/>
  <c r="H501" i="2"/>
  <c r="AE500" i="2"/>
  <c r="AF500" i="2"/>
  <c r="H500" i="2"/>
  <c r="AE499" i="2"/>
  <c r="AF499" i="2"/>
  <c r="H499" i="2"/>
  <c r="AE498" i="2"/>
  <c r="AF498" i="2"/>
  <c r="H498" i="2" l="1"/>
  <c r="AE497" i="2"/>
  <c r="AF497" i="2" s="1"/>
  <c r="H497" i="2"/>
  <c r="AE496" i="2"/>
  <c r="AF496" i="2"/>
  <c r="H496" i="2"/>
  <c r="AE495" i="2"/>
  <c r="AF495" i="2"/>
  <c r="H495" i="2"/>
  <c r="AE494" i="2"/>
  <c r="AF494" i="2"/>
  <c r="H494" i="2"/>
  <c r="AE493" i="2"/>
  <c r="AF493" i="2"/>
  <c r="H493" i="2"/>
  <c r="AE492" i="2"/>
  <c r="AF492" i="2"/>
  <c r="H492" i="2"/>
  <c r="AE491" i="2"/>
  <c r="AF491" i="2"/>
  <c r="H491" i="2"/>
  <c r="AE490" i="2"/>
  <c r="AF490" i="2"/>
  <c r="H490" i="2"/>
  <c r="AE489" i="2"/>
  <c r="AF489" i="2"/>
  <c r="H489" i="2"/>
  <c r="AE488" i="2"/>
  <c r="AF488" i="2"/>
  <c r="H488" i="2"/>
  <c r="AE487" i="2"/>
  <c r="AF487" i="2"/>
  <c r="H487" i="2"/>
  <c r="AE486" i="2"/>
  <c r="AF486" i="2"/>
  <c r="H486" i="2"/>
  <c r="AE485" i="2"/>
  <c r="AF485" i="2"/>
  <c r="H485" i="2"/>
  <c r="AE484" i="2"/>
  <c r="AF484" i="2"/>
  <c r="H484" i="2"/>
  <c r="AE483" i="2"/>
  <c r="AF483" i="2"/>
  <c r="H483" i="2"/>
  <c r="AE482" i="2"/>
  <c r="AF482" i="2"/>
  <c r="H482" i="2"/>
  <c r="AE481" i="2"/>
  <c r="AF481" i="2"/>
  <c r="H481" i="2"/>
  <c r="AE480" i="2"/>
  <c r="AF480" i="2"/>
  <c r="H480" i="2"/>
  <c r="AE479" i="2"/>
  <c r="AF479" i="2" s="1"/>
  <c r="H479" i="2"/>
  <c r="AE478" i="2"/>
  <c r="AF478" i="2"/>
  <c r="H478" i="2"/>
  <c r="AF477" i="2"/>
  <c r="AE477" i="2"/>
  <c r="H477" i="2"/>
  <c r="AE476" i="2"/>
  <c r="AF476" i="2"/>
  <c r="H476" i="2"/>
  <c r="AF475" i="2"/>
  <c r="AE475" i="2"/>
  <c r="H475" i="2"/>
  <c r="AF474" i="2"/>
  <c r="AE474" i="2"/>
  <c r="H474" i="2"/>
  <c r="AE473" i="2"/>
  <c r="AF473" i="2"/>
  <c r="H473" i="2"/>
  <c r="AE472" i="2"/>
  <c r="AF472" i="2"/>
  <c r="H472" i="2"/>
  <c r="AF471" i="2"/>
  <c r="AE471" i="2"/>
  <c r="H471" i="2"/>
  <c r="AF470" i="2"/>
  <c r="AE470" i="2"/>
  <c r="H470" i="2"/>
  <c r="AF469" i="2"/>
  <c r="AE469" i="2"/>
  <c r="H469" i="2"/>
  <c r="AF468" i="2"/>
  <c r="AE468" i="2"/>
  <c r="H468" i="2"/>
  <c r="AF467" i="2"/>
  <c r="AE467" i="2"/>
  <c r="H467" i="2"/>
  <c r="AF466" i="2"/>
  <c r="AE466" i="2"/>
  <c r="H466" i="2"/>
  <c r="AF465" i="2"/>
  <c r="AE465" i="2"/>
  <c r="H465" i="2"/>
  <c r="AF464" i="2"/>
  <c r="AE464" i="2"/>
  <c r="H464" i="2"/>
  <c r="AF463" i="2"/>
  <c r="AE463" i="2"/>
  <c r="H463" i="2"/>
  <c r="AF462" i="2"/>
  <c r="AE462" i="2"/>
  <c r="H462" i="2"/>
  <c r="AF461" i="2"/>
  <c r="AE461" i="2"/>
  <c r="AF460" i="2"/>
  <c r="AE460" i="2"/>
  <c r="H460" i="2"/>
  <c r="H461" i="2"/>
  <c r="AF459" i="2"/>
  <c r="AE459" i="2"/>
  <c r="H459" i="2"/>
  <c r="AF458" i="2"/>
  <c r="AE458" i="2"/>
  <c r="H458" i="2"/>
  <c r="AF457" i="2"/>
  <c r="AE457" i="2"/>
  <c r="H457" i="2"/>
  <c r="AE456" i="2"/>
  <c r="AF456" i="2" s="1"/>
  <c r="H456" i="2"/>
  <c r="AF455" i="2"/>
  <c r="AE455" i="2"/>
  <c r="H455" i="2"/>
  <c r="AF454" i="2"/>
  <c r="AE454" i="2"/>
  <c r="H454" i="2"/>
  <c r="AF453" i="2"/>
  <c r="AE453" i="2"/>
  <c r="H453" i="2"/>
  <c r="AF452" i="2"/>
  <c r="AE452" i="2"/>
  <c r="H452" i="2"/>
  <c r="AF451" i="2"/>
  <c r="AE451" i="2"/>
  <c r="H451" i="2"/>
  <c r="AF450" i="2"/>
  <c r="AE450" i="2"/>
  <c r="H450" i="2"/>
  <c r="AF449" i="2"/>
  <c r="AE449" i="2"/>
  <c r="H449" i="2"/>
  <c r="AF448" i="2"/>
  <c r="AE448" i="2"/>
  <c r="H448" i="2"/>
  <c r="AF447" i="2"/>
  <c r="AE447" i="2"/>
  <c r="H447" i="2"/>
  <c r="H445" i="2"/>
  <c r="H446" i="2"/>
  <c r="AF446" i="2" l="1"/>
  <c r="AE446" i="2"/>
  <c r="AF445" i="2"/>
  <c r="AE445" i="2"/>
  <c r="AE440" i="2"/>
  <c r="AF440" i="2" s="1"/>
  <c r="AE441" i="2"/>
  <c r="AF441" i="2"/>
  <c r="AE442" i="2"/>
  <c r="AF442" i="2"/>
  <c r="AE443" i="2"/>
  <c r="AF443" i="2" s="1"/>
  <c r="AE444" i="2"/>
  <c r="AF444" i="2"/>
  <c r="H440" i="2"/>
  <c r="H441" i="2"/>
  <c r="H442" i="2"/>
  <c r="H443" i="2"/>
  <c r="H444" i="2"/>
  <c r="AF439" i="2"/>
  <c r="AE439" i="2"/>
  <c r="H439" i="2"/>
  <c r="AE438" i="2"/>
  <c r="AF438" i="2"/>
  <c r="H438" i="2"/>
  <c r="AF437" i="2"/>
  <c r="AE437" i="2"/>
  <c r="H437" i="2"/>
  <c r="AF436" i="2"/>
  <c r="AE436" i="2"/>
  <c r="H436" i="2"/>
  <c r="AE435" i="2"/>
  <c r="AF435" i="2" s="1"/>
  <c r="H435" i="2"/>
  <c r="AE434" i="2"/>
  <c r="AF434" i="2" s="1"/>
  <c r="H434" i="2"/>
  <c r="AE433" i="2"/>
  <c r="AF433" i="2" s="1"/>
  <c r="H433" i="2"/>
  <c r="AE432" i="2"/>
  <c r="AF432" i="2" s="1"/>
  <c r="H432" i="2"/>
  <c r="AE431" i="2"/>
  <c r="AF431" i="2" s="1"/>
  <c r="H431" i="2"/>
  <c r="AE430" i="2"/>
  <c r="AF430" i="2" s="1"/>
  <c r="H430" i="2"/>
  <c r="AE429" i="2"/>
  <c r="AF429" i="2" s="1"/>
  <c r="H429" i="2"/>
  <c r="AE428" i="2"/>
  <c r="AF428" i="2" s="1"/>
  <c r="H428" i="2"/>
  <c r="AE427" i="2"/>
  <c r="AF427" i="2" s="1"/>
  <c r="H427" i="2"/>
  <c r="AE426" i="2"/>
  <c r="AF426" i="2" s="1"/>
  <c r="H426" i="2"/>
  <c r="AF425" i="2"/>
  <c r="AE425" i="2"/>
  <c r="H425" i="2"/>
  <c r="AF424" i="2"/>
  <c r="AE424" i="2"/>
  <c r="H424" i="2"/>
  <c r="AF423" i="2"/>
  <c r="AE423" i="2"/>
  <c r="H423" i="2"/>
  <c r="AE422" i="2"/>
  <c r="AF422" i="2" s="1"/>
  <c r="H422" i="2"/>
  <c r="AE421" i="2"/>
  <c r="AF421" i="2" s="1"/>
  <c r="H421" i="2"/>
  <c r="AE420" i="2"/>
  <c r="AF420" i="2" s="1"/>
  <c r="H420" i="2"/>
  <c r="AE419" i="2"/>
  <c r="AF419" i="2" s="1"/>
  <c r="H419" i="2"/>
  <c r="AE418" i="2"/>
  <c r="AF418" i="2" s="1"/>
  <c r="H418" i="2"/>
  <c r="AE417" i="2"/>
  <c r="AF417" i="2" s="1"/>
  <c r="H417" i="2"/>
  <c r="AE416" i="2"/>
  <c r="AF416" i="2" s="1"/>
  <c r="H416" i="2"/>
  <c r="AF415" i="2"/>
  <c r="AE415" i="2"/>
  <c r="H415" i="2"/>
  <c r="AF414" i="2"/>
  <c r="AE414" i="2"/>
  <c r="H414" i="2"/>
  <c r="AF413" i="2"/>
  <c r="AE413" i="2"/>
  <c r="H413" i="2"/>
  <c r="AF412" i="2"/>
  <c r="AE412" i="2"/>
  <c r="H412" i="2"/>
  <c r="AF411" i="2"/>
  <c r="AE411" i="2"/>
  <c r="H411" i="2"/>
  <c r="AF410" i="2"/>
  <c r="AE410" i="2"/>
  <c r="H410" i="2"/>
  <c r="AF409" i="2"/>
  <c r="AE409" i="2"/>
  <c r="H409" i="2"/>
  <c r="AE408" i="2"/>
  <c r="AF408" i="2" s="1"/>
  <c r="H408" i="2"/>
  <c r="AF407" i="2"/>
  <c r="AE407" i="2"/>
  <c r="H407" i="2"/>
  <c r="AF406" i="2"/>
  <c r="AE406" i="2"/>
  <c r="H406" i="2"/>
  <c r="AE405" i="2"/>
  <c r="AF405" i="2" s="1"/>
  <c r="H405" i="2"/>
  <c r="AE404" i="2"/>
  <c r="AF404" i="2" s="1"/>
  <c r="H404" i="2"/>
  <c r="AE403" i="2"/>
  <c r="AF403" i="2" s="1"/>
  <c r="H403" i="2"/>
  <c r="AE402" i="2"/>
  <c r="AF402" i="2" s="1"/>
  <c r="H402" i="2"/>
  <c r="AE401" i="2"/>
  <c r="AF401" i="2" s="1"/>
  <c r="H401" i="2"/>
  <c r="AE400" i="2"/>
  <c r="AF400" i="2" s="1"/>
  <c r="H400" i="2"/>
  <c r="AE399" i="2"/>
  <c r="AF399" i="2" s="1"/>
  <c r="H399" i="2"/>
  <c r="AE398" i="2"/>
  <c r="AF398" i="2" s="1"/>
  <c r="H398" i="2"/>
  <c r="AE397" i="2"/>
  <c r="AF397" i="2" s="1"/>
  <c r="H397" i="2"/>
  <c r="AE396" i="2"/>
  <c r="AF396" i="2" s="1"/>
  <c r="H396" i="2"/>
  <c r="AF395" i="2"/>
  <c r="AE395" i="2"/>
  <c r="H395" i="2"/>
  <c r="AF394" i="2"/>
  <c r="AE394" i="2"/>
  <c r="H394" i="2"/>
  <c r="AF393" i="2"/>
  <c r="AE393" i="2"/>
  <c r="H393" i="2"/>
  <c r="AF392" i="2"/>
  <c r="AE392" i="2"/>
  <c r="H392" i="2"/>
  <c r="AF391" i="2"/>
  <c r="AE391" i="2"/>
  <c r="H391" i="2"/>
  <c r="AF390" i="2"/>
  <c r="AE390" i="2"/>
  <c r="H390" i="2"/>
  <c r="AF389" i="2"/>
  <c r="AE389" i="2"/>
  <c r="H389" i="2"/>
  <c r="AE388" i="2"/>
  <c r="AF388" i="2" s="1"/>
  <c r="H388" i="2"/>
  <c r="AF387" i="2"/>
  <c r="AE387" i="2"/>
  <c r="H387" i="2"/>
  <c r="AF386" i="2"/>
  <c r="AE386" i="2"/>
  <c r="H386" i="2"/>
  <c r="AE385" i="2"/>
  <c r="AF385" i="2" s="1"/>
  <c r="H385" i="2"/>
  <c r="AE384" i="2"/>
  <c r="AF384" i="2" s="1"/>
  <c r="H384" i="2"/>
  <c r="AE383" i="2"/>
  <c r="AF383" i="2" s="1"/>
  <c r="H383" i="2"/>
  <c r="AE382" i="2"/>
  <c r="AF382" i="2" s="1"/>
  <c r="H382" i="2"/>
  <c r="AE381" i="2"/>
  <c r="AF381" i="2" s="1"/>
  <c r="H381" i="2"/>
  <c r="AE380" i="2"/>
  <c r="AF380" i="2" s="1"/>
  <c r="H380" i="2"/>
  <c r="AE379" i="2"/>
  <c r="AF379" i="2" s="1"/>
  <c r="H379" i="2"/>
  <c r="AE378" i="2"/>
  <c r="AF378" i="2" s="1"/>
  <c r="H378" i="2"/>
  <c r="AE377" i="2"/>
  <c r="AF377" i="2" s="1"/>
  <c r="H377" i="2"/>
  <c r="AE376" i="2"/>
  <c r="AF376" i="2" s="1"/>
  <c r="H376" i="2"/>
  <c r="AF375" i="2"/>
  <c r="AE375" i="2"/>
  <c r="H375" i="2"/>
  <c r="AF374" i="2"/>
  <c r="AE374" i="2"/>
  <c r="H374" i="2"/>
  <c r="AF373" i="2"/>
  <c r="AE373" i="2"/>
  <c r="H373" i="2"/>
  <c r="AF372" i="2"/>
  <c r="AE372" i="2"/>
  <c r="H372" i="2"/>
  <c r="AF371" i="2"/>
  <c r="AE371" i="2"/>
  <c r="H371" i="2"/>
  <c r="AF370" i="2"/>
  <c r="AE370" i="2"/>
  <c r="H370" i="2"/>
  <c r="AF369" i="2"/>
  <c r="AE369" i="2"/>
  <c r="H369" i="2"/>
  <c r="AE368" i="2"/>
  <c r="AF368" i="2" s="1"/>
  <c r="H368" i="2"/>
  <c r="AF367" i="2"/>
  <c r="AE367" i="2"/>
  <c r="H367" i="2"/>
  <c r="AF366" i="2"/>
  <c r="AE366" i="2"/>
  <c r="H366" i="2"/>
  <c r="AE365" i="2"/>
  <c r="AF365" i="2" s="1"/>
  <c r="H365" i="2"/>
  <c r="AE364" i="2"/>
  <c r="AF364" i="2" s="1"/>
  <c r="H364" i="2"/>
  <c r="AE363" i="2"/>
  <c r="AF363" i="2" s="1"/>
  <c r="H363" i="2"/>
  <c r="AE362" i="2"/>
  <c r="AF362" i="2" s="1"/>
  <c r="H362" i="2"/>
  <c r="AE361" i="2"/>
  <c r="AF361" i="2" s="1"/>
  <c r="H361" i="2"/>
  <c r="AE360" i="2"/>
  <c r="AF360" i="2" s="1"/>
  <c r="H360" i="2"/>
  <c r="AE359" i="2"/>
  <c r="AF359" i="2" s="1"/>
  <c r="H359" i="2"/>
  <c r="AE358" i="2"/>
  <c r="AF358" i="2" s="1"/>
  <c r="H358" i="2"/>
  <c r="AE357" i="2"/>
  <c r="AF357" i="2" s="1"/>
  <c r="H357" i="2"/>
  <c r="AE356" i="2"/>
  <c r="AF356" i="2" s="1"/>
  <c r="H356" i="2"/>
  <c r="AF355" i="2"/>
  <c r="AE355" i="2"/>
  <c r="H355" i="2"/>
  <c r="AF354" i="2"/>
  <c r="AE354" i="2"/>
  <c r="H354" i="2"/>
  <c r="AF353" i="2"/>
  <c r="AE353" i="2"/>
  <c r="H353" i="2"/>
  <c r="AF352" i="2"/>
  <c r="AE352" i="2"/>
  <c r="H352" i="2"/>
  <c r="AF351" i="2"/>
  <c r="AE351" i="2"/>
  <c r="H351" i="2"/>
  <c r="AF350" i="2"/>
  <c r="AE350" i="2"/>
  <c r="H350" i="2"/>
  <c r="AF349" i="2"/>
  <c r="AE349" i="2"/>
  <c r="H349" i="2"/>
  <c r="AE348" i="2"/>
  <c r="AF348" i="2" s="1"/>
  <c r="H348" i="2"/>
  <c r="AF347" i="2"/>
  <c r="AE347" i="2"/>
  <c r="H347" i="2"/>
  <c r="AF346" i="2"/>
  <c r="AE346" i="2"/>
  <c r="H346" i="2"/>
  <c r="AE345" i="2"/>
  <c r="AF345" i="2" s="1"/>
  <c r="H345" i="2"/>
  <c r="AE344" i="2"/>
  <c r="AF344" i="2" s="1"/>
  <c r="H344" i="2"/>
  <c r="AE343" i="2"/>
  <c r="AF343" i="2" s="1"/>
  <c r="H343" i="2"/>
  <c r="AE342" i="2"/>
  <c r="AF342" i="2" s="1"/>
  <c r="H342" i="2"/>
  <c r="AE341" i="2"/>
  <c r="AF341" i="2" s="1"/>
  <c r="H341" i="2"/>
  <c r="AE340" i="2"/>
  <c r="AF340" i="2" s="1"/>
  <c r="H340" i="2"/>
  <c r="AF339" i="2"/>
  <c r="AE339" i="2"/>
  <c r="H339" i="2"/>
  <c r="AE338" i="2"/>
  <c r="AF338" i="2" s="1"/>
  <c r="H338" i="2"/>
  <c r="AE337" i="2"/>
  <c r="AF337" i="2" s="1"/>
  <c r="H337" i="2"/>
  <c r="AE336" i="2"/>
  <c r="AF336" i="2" s="1"/>
  <c r="H336" i="2"/>
  <c r="AF335" i="2"/>
  <c r="AE335" i="2"/>
  <c r="H335" i="2"/>
  <c r="AF334" i="2"/>
  <c r="AE334" i="2"/>
  <c r="H334" i="2"/>
  <c r="AF333" i="2"/>
  <c r="AE333" i="2"/>
  <c r="H333" i="2"/>
  <c r="AF332" i="2"/>
  <c r="AE332" i="2"/>
  <c r="H332" i="2"/>
  <c r="AF331" i="2"/>
  <c r="AE331" i="2"/>
  <c r="H331" i="2"/>
  <c r="AF330" i="2"/>
  <c r="AE330" i="2"/>
  <c r="H330" i="2"/>
  <c r="AF329" i="2"/>
  <c r="AE329" i="2"/>
  <c r="H329" i="2"/>
  <c r="AE328" i="2"/>
  <c r="AF328" i="2" s="1"/>
  <c r="H328" i="2"/>
  <c r="AF327" i="2"/>
  <c r="AE327" i="2"/>
  <c r="H327" i="2"/>
  <c r="AF326" i="2"/>
  <c r="AE326" i="2"/>
  <c r="H326" i="2"/>
  <c r="AE325" i="2"/>
  <c r="AF325" i="2" s="1"/>
  <c r="H325" i="2"/>
  <c r="AE324" i="2"/>
  <c r="AF324" i="2" s="1"/>
  <c r="H324" i="2"/>
  <c r="AE323" i="2"/>
  <c r="AF323" i="2" s="1"/>
  <c r="H323" i="2"/>
  <c r="AE322" i="2"/>
  <c r="AF322" i="2" s="1"/>
  <c r="H322" i="2"/>
  <c r="AE321" i="2"/>
  <c r="AF321" i="2" s="1"/>
  <c r="H321" i="2"/>
  <c r="AE320" i="2"/>
  <c r="AF320" i="2" s="1"/>
  <c r="H320" i="2"/>
  <c r="AF319" i="2"/>
  <c r="AE319" i="2"/>
  <c r="H319" i="2"/>
  <c r="AE318" i="2"/>
  <c r="AF318" i="2" s="1"/>
  <c r="H318" i="2"/>
  <c r="AE317" i="2"/>
  <c r="AF317" i="2" s="1"/>
  <c r="H317" i="2"/>
  <c r="AE316" i="2"/>
  <c r="AF316" i="2" s="1"/>
  <c r="H316" i="2"/>
  <c r="AF315" i="2"/>
  <c r="AE315" i="2"/>
  <c r="H315" i="2"/>
  <c r="AF314" i="2"/>
  <c r="AE314" i="2"/>
  <c r="H314" i="2"/>
  <c r="AF313" i="2"/>
  <c r="AE313" i="2"/>
  <c r="H313" i="2"/>
  <c r="AE312" i="2"/>
  <c r="AF312" i="2" s="1"/>
  <c r="H312" i="2"/>
  <c r="AF311" i="2"/>
  <c r="AE311" i="2"/>
  <c r="H311" i="2"/>
  <c r="AF310" i="2"/>
  <c r="AE310" i="2"/>
  <c r="H310" i="2"/>
  <c r="AF309" i="2"/>
  <c r="AE309" i="2"/>
  <c r="H309" i="2"/>
  <c r="AE308" i="2"/>
  <c r="AF308" i="2" s="1"/>
  <c r="H308" i="2"/>
  <c r="AF307" i="2"/>
  <c r="AE307" i="2"/>
  <c r="H307" i="2"/>
  <c r="AF306" i="2"/>
  <c r="AE306" i="2"/>
  <c r="H306" i="2"/>
  <c r="AE305" i="2"/>
  <c r="AF305" i="2" s="1"/>
  <c r="H305" i="2"/>
  <c r="AE304" i="2"/>
  <c r="AF304" i="2" s="1"/>
  <c r="H304" i="2"/>
  <c r="AE303" i="2"/>
  <c r="AF303" i="2" s="1"/>
  <c r="H303" i="2"/>
  <c r="AE302" i="2"/>
  <c r="AF302" i="2" s="1"/>
  <c r="H302" i="2"/>
  <c r="AE301" i="2"/>
  <c r="AF301" i="2" s="1"/>
  <c r="H301" i="2"/>
  <c r="AE300" i="2"/>
  <c r="AF300" i="2" s="1"/>
  <c r="H300" i="2"/>
  <c r="AF299" i="2"/>
  <c r="AE299" i="2"/>
  <c r="H299" i="2"/>
  <c r="AE298" i="2"/>
  <c r="AF298" i="2" s="1"/>
  <c r="H298" i="2"/>
  <c r="AE297" i="2"/>
  <c r="AF297" i="2" s="1"/>
  <c r="H297" i="2"/>
  <c r="AE296" i="2"/>
  <c r="AF296" i="2" s="1"/>
  <c r="H296" i="2"/>
  <c r="AF295" i="2"/>
  <c r="AE295" i="2"/>
  <c r="H295" i="2"/>
  <c r="AF294" i="2"/>
  <c r="AE294" i="2"/>
  <c r="H294" i="2"/>
  <c r="AF293" i="2"/>
  <c r="AE293" i="2"/>
  <c r="H293" i="2"/>
  <c r="AE292" i="2"/>
  <c r="AF292" i="2" s="1"/>
  <c r="H292" i="2"/>
  <c r="AF291" i="2"/>
  <c r="AE291" i="2"/>
  <c r="H291" i="2"/>
  <c r="AF290" i="2"/>
  <c r="AE290" i="2"/>
  <c r="H290" i="2"/>
  <c r="AF289" i="2"/>
  <c r="AE289" i="2"/>
  <c r="H289" i="2"/>
  <c r="AE288" i="2"/>
  <c r="AF288" i="2" s="1"/>
  <c r="H288" i="2"/>
  <c r="AF287" i="2"/>
  <c r="AE287" i="2"/>
  <c r="H287" i="2"/>
  <c r="AF286" i="2"/>
  <c r="AE286" i="2"/>
  <c r="H286" i="2"/>
  <c r="AE285" i="2"/>
  <c r="AF285" i="2" s="1"/>
  <c r="H285" i="2"/>
  <c r="AE284" i="2"/>
  <c r="AF284" i="2" s="1"/>
  <c r="H284" i="2"/>
  <c r="AE283" i="2"/>
  <c r="AF283" i="2" s="1"/>
  <c r="H283" i="2"/>
  <c r="AE282" i="2"/>
  <c r="AF282" i="2" s="1"/>
  <c r="H282" i="2"/>
  <c r="AE281" i="2"/>
  <c r="AF281" i="2" s="1"/>
  <c r="H281" i="2"/>
  <c r="AE280" i="2"/>
  <c r="AF280" i="2" s="1"/>
  <c r="H280" i="2"/>
  <c r="AF279" i="2"/>
  <c r="AE279" i="2"/>
  <c r="H279" i="2"/>
  <c r="AE278" i="2"/>
  <c r="AF278" i="2" s="1"/>
  <c r="H278" i="2"/>
  <c r="AE277" i="2"/>
  <c r="AF277" i="2" s="1"/>
  <c r="H277" i="2"/>
  <c r="AE276" i="2"/>
  <c r="AF276" i="2" s="1"/>
  <c r="H276" i="2"/>
  <c r="AF275" i="2"/>
  <c r="AE275" i="2"/>
  <c r="H275" i="2"/>
  <c r="AF274" i="2"/>
  <c r="AE274" i="2"/>
  <c r="H274" i="2"/>
  <c r="AF273" i="2"/>
  <c r="AE273" i="2"/>
  <c r="H273" i="2"/>
  <c r="AE272" i="2"/>
  <c r="AF272" i="2" s="1"/>
  <c r="H272" i="2"/>
  <c r="AF271" i="2"/>
  <c r="AE271" i="2"/>
  <c r="H271" i="2"/>
  <c r="AF270" i="2"/>
  <c r="AE270" i="2"/>
  <c r="H270" i="2"/>
  <c r="AF269" i="2"/>
  <c r="AE269" i="2"/>
  <c r="H269" i="2"/>
  <c r="AE268" i="2"/>
  <c r="AF268" i="2" s="1"/>
  <c r="H268" i="2"/>
  <c r="AF267" i="2"/>
  <c r="AE267" i="2"/>
  <c r="H267" i="2"/>
  <c r="AF266" i="2"/>
  <c r="AE266" i="2"/>
  <c r="H266" i="2"/>
  <c r="AE265" i="2"/>
  <c r="AF265" i="2" s="1"/>
  <c r="H265" i="2"/>
  <c r="AE264" i="2"/>
  <c r="AF264" i="2" s="1"/>
  <c r="H264" i="2"/>
  <c r="AE263" i="2"/>
  <c r="AF263" i="2" s="1"/>
  <c r="H263" i="2"/>
  <c r="AE262" i="2"/>
  <c r="AF262" i="2" s="1"/>
  <c r="H262" i="2"/>
  <c r="AE261" i="2"/>
  <c r="AF261" i="2" s="1"/>
  <c r="H261" i="2"/>
  <c r="AE260" i="2"/>
  <c r="AF260" i="2" s="1"/>
  <c r="H260" i="2"/>
  <c r="AF259" i="2"/>
  <c r="AE259" i="2"/>
  <c r="H259" i="2"/>
  <c r="AF258" i="2"/>
  <c r="H258" i="2"/>
  <c r="AF257" i="2"/>
  <c r="H257" i="2"/>
  <c r="AE256" i="2"/>
  <c r="AF256" i="2" s="1"/>
  <c r="H256" i="2"/>
  <c r="AF255" i="2"/>
  <c r="AE255" i="2"/>
  <c r="H255" i="2"/>
  <c r="AF254" i="2"/>
  <c r="AE254" i="2"/>
  <c r="H254" i="2"/>
  <c r="AF253" i="2"/>
  <c r="AE253" i="2"/>
  <c r="H253" i="2"/>
  <c r="AE252" i="2"/>
  <c r="AF252" i="2" s="1"/>
  <c r="H252" i="2"/>
  <c r="AF251" i="2"/>
  <c r="AE251" i="2"/>
  <c r="H251" i="2"/>
  <c r="AF250" i="2"/>
  <c r="AE250" i="2"/>
  <c r="H250" i="2"/>
  <c r="AF249" i="2"/>
  <c r="AE249" i="2"/>
  <c r="H249" i="2"/>
  <c r="AE248" i="2"/>
  <c r="AF248" i="2" s="1"/>
  <c r="H248" i="2"/>
  <c r="AF247" i="2"/>
  <c r="AE247" i="2"/>
  <c r="H247" i="2"/>
  <c r="AF246" i="2"/>
  <c r="AE246" i="2"/>
  <c r="H246" i="2"/>
  <c r="AE245" i="2"/>
  <c r="AF245" i="2" s="1"/>
  <c r="H245" i="2"/>
  <c r="AE244" i="2"/>
  <c r="AF244" i="2" s="1"/>
  <c r="H244" i="2"/>
  <c r="AE243" i="2"/>
  <c r="AF243" i="2" s="1"/>
  <c r="H243" i="2"/>
  <c r="AE242" i="2"/>
  <c r="AF242" i="2" s="1"/>
  <c r="H242" i="2"/>
  <c r="AE241" i="2"/>
  <c r="AF241" i="2" s="1"/>
  <c r="H241" i="2"/>
  <c r="AE240" i="2"/>
  <c r="AF240" i="2" s="1"/>
  <c r="H240" i="2"/>
  <c r="AF239" i="2"/>
  <c r="AE239" i="2"/>
  <c r="H239" i="2"/>
  <c r="AE238" i="2"/>
  <c r="AF238" i="2" s="1"/>
  <c r="H238" i="2"/>
  <c r="AE237" i="2"/>
  <c r="AF237" i="2" s="1"/>
  <c r="H237" i="2"/>
  <c r="AE236" i="2"/>
  <c r="AF236" i="2" s="1"/>
  <c r="H236" i="2"/>
  <c r="AF235" i="2"/>
  <c r="AE235" i="2"/>
  <c r="H235" i="2"/>
  <c r="AF234" i="2"/>
  <c r="AE234" i="2"/>
  <c r="H234" i="2"/>
  <c r="AF233" i="2"/>
  <c r="AE233" i="2"/>
  <c r="H233" i="2"/>
  <c r="AE232" i="2"/>
  <c r="AF232" i="2" s="1"/>
  <c r="H232" i="2"/>
  <c r="AF231" i="2"/>
  <c r="AE231" i="2"/>
  <c r="H231" i="2"/>
  <c r="AF230" i="2"/>
  <c r="AE230" i="2"/>
  <c r="H230" i="2"/>
  <c r="AF229" i="2"/>
  <c r="AE229" i="2"/>
  <c r="H229" i="2"/>
  <c r="AE228" i="2"/>
  <c r="AF228" i="2" s="1"/>
  <c r="H228" i="2"/>
  <c r="AF227" i="2"/>
  <c r="AE227" i="2"/>
  <c r="H227" i="2"/>
  <c r="AF226" i="2"/>
  <c r="AE226" i="2"/>
  <c r="H226" i="2"/>
  <c r="AE225" i="2"/>
  <c r="AF225" i="2" s="1"/>
  <c r="H225" i="2"/>
  <c r="AE224" i="2"/>
  <c r="AF224" i="2" s="1"/>
  <c r="H224" i="2"/>
  <c r="AE223" i="2"/>
  <c r="AF223" i="2" s="1"/>
  <c r="H223" i="2"/>
  <c r="AE222" i="2"/>
  <c r="AF222" i="2" s="1"/>
  <c r="H222" i="2"/>
  <c r="AE221" i="2"/>
  <c r="AF221" i="2" s="1"/>
  <c r="H221" i="2"/>
  <c r="AE220" i="2"/>
  <c r="AF220" i="2" s="1"/>
  <c r="H220" i="2"/>
  <c r="AF219" i="2"/>
  <c r="AE219" i="2"/>
  <c r="H219" i="2"/>
  <c r="AE218" i="2"/>
  <c r="AF218" i="2" s="1"/>
  <c r="H218" i="2"/>
  <c r="AE217" i="2"/>
  <c r="AF217" i="2" s="1"/>
  <c r="H217" i="2"/>
  <c r="AE216" i="2"/>
  <c r="AF216" i="2" s="1"/>
  <c r="H216" i="2"/>
  <c r="AF215" i="2"/>
  <c r="AE215" i="2"/>
  <c r="H215" i="2"/>
  <c r="AF214" i="2"/>
  <c r="AE214" i="2"/>
  <c r="H214" i="2"/>
  <c r="AF213" i="2"/>
  <c r="AE213" i="2"/>
  <c r="H213" i="2"/>
  <c r="AE212" i="2"/>
  <c r="AF212" i="2" s="1"/>
  <c r="H212" i="2"/>
  <c r="AF211" i="2"/>
  <c r="AE211" i="2"/>
  <c r="H211" i="2"/>
  <c r="AF210" i="2"/>
  <c r="AE210" i="2"/>
  <c r="H210" i="2"/>
  <c r="AF209" i="2"/>
  <c r="AE209" i="2"/>
  <c r="H209" i="2"/>
  <c r="AE208" i="2"/>
  <c r="AF208" i="2" s="1"/>
  <c r="H208" i="2"/>
  <c r="AF207" i="2"/>
  <c r="AE207" i="2"/>
  <c r="H207" i="2"/>
  <c r="AF206" i="2"/>
  <c r="AE206" i="2"/>
  <c r="H206" i="2"/>
  <c r="AE205" i="2"/>
  <c r="AF205" i="2" s="1"/>
  <c r="H205" i="2"/>
  <c r="E205" i="2"/>
  <c r="AE204" i="2"/>
  <c r="AF204" i="2" s="1"/>
  <c r="H204" i="2"/>
  <c r="AE203" i="2"/>
  <c r="AF203" i="2" s="1"/>
  <c r="H203" i="2"/>
  <c r="E203" i="2"/>
  <c r="AE202" i="2"/>
  <c r="AF202" i="2" s="1"/>
  <c r="H202" i="2"/>
  <c r="AF201" i="2"/>
  <c r="AE201" i="2"/>
  <c r="H201" i="2"/>
  <c r="AF200" i="2"/>
  <c r="AE200" i="2"/>
  <c r="H200" i="2"/>
  <c r="AE199" i="2"/>
  <c r="AF199" i="2" s="1"/>
  <c r="H199" i="2"/>
  <c r="AF198" i="2"/>
  <c r="AE198" i="2"/>
  <c r="H198" i="2"/>
  <c r="AE197" i="2"/>
  <c r="AF197" i="2" s="1"/>
  <c r="H197" i="2"/>
  <c r="AE196" i="2"/>
  <c r="AF196" i="2" s="1"/>
  <c r="H196" i="2"/>
  <c r="AE195" i="2"/>
  <c r="AF195" i="2" s="1"/>
  <c r="H195" i="2"/>
  <c r="AE194" i="2"/>
  <c r="AF194" i="2" s="1"/>
  <c r="H194" i="2"/>
  <c r="AF193" i="2"/>
  <c r="AE193" i="2"/>
  <c r="H193" i="2"/>
  <c r="AF192" i="2"/>
  <c r="H192" i="2"/>
  <c r="AE191" i="2"/>
  <c r="AF191" i="2" s="1"/>
  <c r="H191" i="2"/>
  <c r="AE190" i="2"/>
  <c r="AF190" i="2" s="1"/>
  <c r="H190" i="2"/>
  <c r="AF189" i="2"/>
  <c r="AE189" i="2"/>
  <c r="H189" i="2"/>
  <c r="AF188" i="2"/>
  <c r="AE188" i="2"/>
  <c r="H188" i="2"/>
  <c r="AF187" i="2"/>
  <c r="AE187" i="2"/>
  <c r="H187" i="2"/>
  <c r="AE186" i="2"/>
  <c r="AF186" i="2" s="1"/>
  <c r="H186" i="2"/>
  <c r="AF185" i="2"/>
  <c r="AE185" i="2"/>
  <c r="H185" i="2"/>
  <c r="AF184" i="2"/>
  <c r="AE184" i="2"/>
  <c r="H184" i="2"/>
  <c r="AF183" i="2"/>
  <c r="AE183" i="2"/>
  <c r="H183" i="2"/>
  <c r="AE182" i="2"/>
  <c r="AF182" i="2" s="1"/>
  <c r="H182" i="2"/>
  <c r="AF181" i="2"/>
  <c r="AE181" i="2"/>
  <c r="H181" i="2"/>
  <c r="AE180" i="2"/>
  <c r="AF180" i="2" s="1"/>
  <c r="H180" i="2"/>
  <c r="AE179" i="2"/>
  <c r="AF179" i="2" s="1"/>
  <c r="H179" i="2"/>
  <c r="AF178" i="2"/>
  <c r="AE178" i="2"/>
  <c r="H178" i="2"/>
  <c r="AE177" i="2"/>
  <c r="AF177" i="2" s="1"/>
  <c r="H177" i="2"/>
  <c r="AE176" i="2"/>
  <c r="AF176" i="2" s="1"/>
  <c r="H176" i="2"/>
  <c r="AE175" i="2"/>
  <c r="AF175" i="2" s="1"/>
  <c r="H175" i="2"/>
  <c r="AE174" i="2"/>
  <c r="AF174" i="2" s="1"/>
  <c r="H174" i="2"/>
  <c r="AF173" i="2"/>
  <c r="AE173" i="2"/>
  <c r="H173" i="2"/>
  <c r="AE172" i="2"/>
  <c r="AF172" i="2" s="1"/>
  <c r="H172" i="2"/>
  <c r="AE171" i="2"/>
  <c r="AF171" i="2" s="1"/>
  <c r="H171" i="2"/>
  <c r="AE170" i="2"/>
  <c r="AF170" i="2" s="1"/>
  <c r="H170" i="2"/>
  <c r="AF169" i="2"/>
  <c r="AE169" i="2"/>
  <c r="H169" i="2"/>
  <c r="AF168" i="2"/>
  <c r="AE168" i="2"/>
  <c r="H168" i="2"/>
  <c r="AF167" i="2"/>
  <c r="AE167" i="2"/>
  <c r="H167" i="2"/>
  <c r="AE166" i="2"/>
  <c r="AF166" i="2" s="1"/>
  <c r="H166" i="2"/>
  <c r="AF165" i="2"/>
  <c r="AE165" i="2"/>
  <c r="H165" i="2"/>
  <c r="AF164" i="2"/>
  <c r="AE164" i="2"/>
  <c r="H164" i="2"/>
  <c r="AF163" i="2"/>
  <c r="AE163" i="2"/>
  <c r="H163" i="2"/>
  <c r="AE162" i="2"/>
  <c r="AF162" i="2" s="1"/>
  <c r="H162" i="2"/>
  <c r="AF161" i="2"/>
  <c r="AE161" i="2"/>
  <c r="H161" i="2"/>
  <c r="AF160" i="2"/>
  <c r="AE160" i="2"/>
  <c r="H160" i="2"/>
  <c r="AE159" i="2"/>
  <c r="AF159" i="2" s="1"/>
  <c r="H159" i="2"/>
  <c r="AF158" i="2"/>
  <c r="AE158" i="2"/>
  <c r="H158" i="2"/>
  <c r="AE157" i="2"/>
  <c r="AF157" i="2" s="1"/>
  <c r="H157" i="2"/>
  <c r="AE156" i="2"/>
  <c r="AF156" i="2" s="1"/>
  <c r="H156" i="2"/>
  <c r="AE155" i="2"/>
  <c r="AF155" i="2" s="1"/>
  <c r="H155" i="2"/>
  <c r="AE154" i="2"/>
  <c r="AF154" i="2" s="1"/>
  <c r="H154" i="2"/>
  <c r="AF153" i="2"/>
  <c r="AE153" i="2"/>
  <c r="H153" i="2"/>
  <c r="AE152" i="2"/>
  <c r="AF152" i="2" s="1"/>
  <c r="H152" i="2"/>
  <c r="AE151" i="2"/>
  <c r="AF151" i="2" s="1"/>
  <c r="H151" i="2"/>
  <c r="AE150" i="2"/>
  <c r="AF150" i="2" s="1"/>
  <c r="H150" i="2"/>
  <c r="AF149" i="2"/>
  <c r="AE149" i="2"/>
  <c r="H149" i="2"/>
  <c r="AF148" i="2"/>
  <c r="AE148" i="2"/>
  <c r="H148" i="2"/>
  <c r="AF147" i="2"/>
  <c r="AE147" i="2"/>
  <c r="H147" i="2"/>
  <c r="AE146" i="2"/>
  <c r="AF146" i="2" s="1"/>
  <c r="H146" i="2"/>
  <c r="AF145" i="2"/>
  <c r="AE145" i="2"/>
  <c r="H145" i="2"/>
  <c r="AF144" i="2"/>
  <c r="AE144" i="2"/>
  <c r="H144" i="2"/>
  <c r="AF143" i="2"/>
  <c r="AE143" i="2"/>
  <c r="H143" i="2"/>
  <c r="AE142" i="2"/>
  <c r="AF142" i="2" s="1"/>
  <c r="H142" i="2"/>
  <c r="AF141" i="2"/>
  <c r="AE141" i="2"/>
  <c r="H141" i="2"/>
  <c r="AF140" i="2"/>
  <c r="AE140" i="2"/>
  <c r="H140" i="2"/>
  <c r="AE139" i="2"/>
  <c r="AF139" i="2" s="1"/>
  <c r="H139" i="2"/>
  <c r="AF138" i="2"/>
  <c r="AE138" i="2"/>
  <c r="H138" i="2"/>
  <c r="AE137" i="2"/>
  <c r="AF137" i="2" s="1"/>
  <c r="H137" i="2"/>
  <c r="AE136" i="2"/>
  <c r="AF136" i="2" s="1"/>
  <c r="H136" i="2"/>
  <c r="AE135" i="2"/>
  <c r="AF135" i="2" s="1"/>
  <c r="H135" i="2"/>
  <c r="AE134" i="2"/>
  <c r="AF134" i="2" s="1"/>
  <c r="H134" i="2"/>
  <c r="AF133" i="2"/>
  <c r="AE133" i="2"/>
  <c r="H133" i="2"/>
  <c r="AE132" i="2"/>
  <c r="AF132" i="2" s="1"/>
  <c r="H132" i="2"/>
  <c r="AE131" i="2"/>
  <c r="AF131" i="2" s="1"/>
  <c r="H131" i="2"/>
  <c r="AE130" i="2"/>
  <c r="AF130" i="2" s="1"/>
  <c r="H130" i="2"/>
  <c r="AF129" i="2"/>
  <c r="AE129" i="2"/>
  <c r="H129" i="2"/>
  <c r="AF128" i="2"/>
  <c r="AE128" i="2"/>
  <c r="H128" i="2"/>
  <c r="AF127" i="2"/>
  <c r="AE127" i="2"/>
  <c r="H127" i="2"/>
  <c r="AE126" i="2"/>
  <c r="AF126" i="2" s="1"/>
  <c r="H126" i="2"/>
  <c r="AF125" i="2"/>
  <c r="AE125" i="2"/>
  <c r="H125" i="2"/>
  <c r="AF124" i="2"/>
  <c r="AE124" i="2"/>
  <c r="H124" i="2"/>
  <c r="AF123" i="2"/>
  <c r="AE123" i="2"/>
  <c r="H123" i="2"/>
  <c r="AE122" i="2"/>
  <c r="AF122" i="2" s="1"/>
  <c r="H122" i="2"/>
  <c r="AF121" i="2"/>
  <c r="AE121" i="2"/>
  <c r="H121" i="2"/>
  <c r="AE120" i="2"/>
  <c r="AF120" i="2" s="1"/>
  <c r="H120" i="2"/>
  <c r="AE119" i="2"/>
  <c r="AF119" i="2" s="1"/>
  <c r="H119" i="2"/>
  <c r="AE118" i="2"/>
  <c r="AF118" i="2" s="1"/>
  <c r="H118" i="2"/>
  <c r="AE117" i="2"/>
  <c r="AF117" i="2" s="1"/>
  <c r="H117" i="2"/>
  <c r="AE116" i="2"/>
  <c r="AF116" i="2" s="1"/>
  <c r="H116" i="2"/>
  <c r="AE115" i="2"/>
  <c r="AF115" i="2" s="1"/>
  <c r="H115" i="2"/>
  <c r="AE114" i="2"/>
  <c r="AF114" i="2" s="1"/>
  <c r="H114" i="2"/>
  <c r="AF113" i="2"/>
  <c r="AE113" i="2"/>
  <c r="H113" i="2"/>
  <c r="AE112" i="2"/>
  <c r="AF112" i="2" s="1"/>
  <c r="H112" i="2"/>
  <c r="AE111" i="2"/>
  <c r="AF111" i="2" s="1"/>
  <c r="H111" i="2"/>
  <c r="AE110" i="2"/>
  <c r="AF110" i="2" s="1"/>
  <c r="H110" i="2"/>
  <c r="AF109" i="2"/>
  <c r="AE109" i="2"/>
  <c r="H109" i="2"/>
  <c r="AF108" i="2"/>
  <c r="AE108" i="2"/>
  <c r="H108" i="2"/>
  <c r="AF107" i="2"/>
  <c r="AE107" i="2"/>
  <c r="H107" i="2"/>
  <c r="AE106" i="2"/>
  <c r="AF106" i="2" s="1"/>
  <c r="H106" i="2"/>
  <c r="AF105" i="2"/>
  <c r="AE105" i="2"/>
  <c r="H105" i="2"/>
  <c r="AF104" i="2"/>
  <c r="AE104" i="2"/>
  <c r="H104" i="2"/>
  <c r="AF103" i="2"/>
  <c r="AE103" i="2"/>
  <c r="H103" i="2"/>
  <c r="AE102" i="2"/>
  <c r="AF102" i="2" s="1"/>
  <c r="H102" i="2"/>
  <c r="AF101" i="2"/>
  <c r="AE101" i="2"/>
  <c r="H101" i="2"/>
  <c r="AE100" i="2"/>
  <c r="AF100" i="2" s="1"/>
  <c r="H100" i="2"/>
  <c r="AE99" i="2"/>
  <c r="AF99" i="2" s="1"/>
  <c r="H99" i="2"/>
  <c r="AE98" i="2"/>
  <c r="AF98" i="2" s="1"/>
  <c r="H98" i="2"/>
  <c r="AE97" i="2"/>
  <c r="AF97" i="2" s="1"/>
  <c r="H97" i="2"/>
  <c r="AE96" i="2"/>
  <c r="AF96" i="2" s="1"/>
  <c r="H96" i="2"/>
  <c r="AE95" i="2"/>
  <c r="AF95" i="2" s="1"/>
  <c r="H95" i="2"/>
  <c r="AE94" i="2"/>
  <c r="AF94" i="2" s="1"/>
  <c r="H94" i="2"/>
  <c r="AF93" i="2"/>
  <c r="AE93" i="2"/>
  <c r="H93" i="2"/>
  <c r="AE92" i="2"/>
  <c r="AF92" i="2" s="1"/>
  <c r="H92" i="2"/>
  <c r="AE91" i="2"/>
  <c r="AF91" i="2" s="1"/>
  <c r="T91" i="2"/>
  <c r="H91" i="2"/>
  <c r="AF90" i="2"/>
  <c r="AE90" i="2"/>
  <c r="T90" i="2"/>
  <c r="H90" i="2"/>
  <c r="AE89" i="2"/>
  <c r="AF89" i="2" s="1"/>
  <c r="T89" i="2"/>
  <c r="H89" i="2"/>
  <c r="AF88" i="2"/>
  <c r="AE88" i="2"/>
  <c r="T88" i="2"/>
  <c r="H88" i="2"/>
  <c r="AE87" i="2"/>
  <c r="AF87" i="2" s="1"/>
  <c r="T87" i="2"/>
  <c r="H87" i="2"/>
  <c r="AE86" i="2"/>
  <c r="AF86" i="2" s="1"/>
  <c r="T86" i="2"/>
  <c r="H86" i="2"/>
  <c r="AF85" i="2"/>
  <c r="AE85" i="2"/>
  <c r="H85" i="2"/>
  <c r="AE84" i="2"/>
  <c r="AF84" i="2" s="1"/>
  <c r="H84" i="2"/>
  <c r="AF83" i="2"/>
  <c r="AE83" i="2"/>
  <c r="H83" i="2"/>
  <c r="AE82" i="2"/>
  <c r="AF82" i="2" s="1"/>
  <c r="H82" i="2"/>
  <c r="AE81" i="2"/>
  <c r="AF81" i="2" s="1"/>
  <c r="H81" i="2"/>
  <c r="AE80" i="2"/>
  <c r="AF80" i="2" s="1"/>
  <c r="H80" i="2"/>
  <c r="AE79" i="2"/>
  <c r="AF79" i="2" s="1"/>
  <c r="H79" i="2"/>
  <c r="AE78" i="2"/>
  <c r="AF78" i="2" s="1"/>
  <c r="H78" i="2"/>
  <c r="AE77" i="2"/>
  <c r="AF77" i="2" s="1"/>
  <c r="H77" i="2"/>
  <c r="AE76" i="2"/>
  <c r="AF76" i="2" s="1"/>
  <c r="H76" i="2"/>
  <c r="AF75" i="2"/>
  <c r="AE75" i="2"/>
  <c r="H75" i="2"/>
  <c r="AE74" i="2"/>
  <c r="AF74" i="2" s="1"/>
  <c r="H74" i="2"/>
  <c r="AE73" i="2"/>
  <c r="AF73" i="2" s="1"/>
  <c r="H73" i="2"/>
  <c r="AE72" i="2"/>
  <c r="AF72" i="2" s="1"/>
  <c r="H72" i="2"/>
  <c r="AF71" i="2"/>
  <c r="AE71" i="2"/>
  <c r="H71" i="2"/>
  <c r="AF70" i="2"/>
  <c r="AE70" i="2"/>
  <c r="H70" i="2"/>
  <c r="AF69" i="2"/>
  <c r="AE69" i="2"/>
  <c r="H69" i="2"/>
  <c r="AE68" i="2"/>
  <c r="AF68" i="2" s="1"/>
  <c r="H68" i="2"/>
  <c r="AF67" i="2"/>
  <c r="AE67" i="2"/>
  <c r="H67" i="2"/>
  <c r="AF66" i="2"/>
  <c r="AE66" i="2"/>
  <c r="H66" i="2"/>
  <c r="AF65" i="2"/>
  <c r="AE65" i="2"/>
  <c r="H65" i="2"/>
  <c r="AE64" i="2"/>
  <c r="AF64" i="2" s="1"/>
  <c r="H64" i="2"/>
  <c r="AF63" i="2"/>
  <c r="AE63" i="2"/>
  <c r="H63" i="2"/>
  <c r="AE62" i="2"/>
  <c r="AF62" i="2" s="1"/>
  <c r="H62" i="2"/>
  <c r="AE61" i="2"/>
  <c r="AF61" i="2" s="1"/>
  <c r="H61" i="2"/>
  <c r="AE60" i="2"/>
  <c r="AF60" i="2" s="1"/>
  <c r="H60" i="2"/>
  <c r="AE59" i="2"/>
  <c r="AF59" i="2" s="1"/>
  <c r="H59" i="2"/>
  <c r="AE58" i="2"/>
  <c r="AF58" i="2" s="1"/>
  <c r="H58" i="2"/>
  <c r="AE57" i="2"/>
  <c r="AF57" i="2" s="1"/>
  <c r="H57" i="2"/>
  <c r="AE56" i="2"/>
  <c r="AF56" i="2" s="1"/>
  <c r="H56" i="2"/>
  <c r="AF55" i="2"/>
  <c r="AE55" i="2"/>
  <c r="H55" i="2"/>
  <c r="AE54" i="2"/>
  <c r="AF54" i="2" s="1"/>
  <c r="H54" i="2"/>
  <c r="AE53" i="2"/>
  <c r="AF53" i="2" s="1"/>
  <c r="H53" i="2"/>
  <c r="AE52" i="2"/>
  <c r="AF52" i="2" s="1"/>
  <c r="H52" i="2"/>
  <c r="AF51" i="2"/>
  <c r="AE51" i="2"/>
  <c r="H51" i="2"/>
  <c r="AF50" i="2"/>
  <c r="AE50" i="2"/>
  <c r="H50" i="2"/>
  <c r="AF49" i="2"/>
  <c r="AE49" i="2"/>
  <c r="H49" i="2"/>
  <c r="AE48" i="2"/>
  <c r="AF48" i="2" s="1"/>
  <c r="H48" i="2"/>
  <c r="AF47" i="2"/>
  <c r="AE47" i="2"/>
  <c r="H47" i="2"/>
  <c r="AF46" i="2"/>
  <c r="AE46" i="2"/>
  <c r="H46" i="2"/>
  <c r="AF45" i="2"/>
  <c r="AE45" i="2"/>
  <c r="H45" i="2"/>
  <c r="AE44" i="2"/>
  <c r="AF44" i="2" s="1"/>
  <c r="H44" i="2"/>
  <c r="AF43" i="2"/>
  <c r="AE43" i="2"/>
  <c r="H43" i="2"/>
  <c r="AE42" i="2"/>
  <c r="AF42" i="2" s="1"/>
  <c r="H42" i="2"/>
  <c r="AE41" i="2"/>
  <c r="AF41" i="2" s="1"/>
  <c r="H41" i="2"/>
  <c r="AE40" i="2"/>
  <c r="AF40" i="2" s="1"/>
  <c r="H40" i="2"/>
  <c r="AE39" i="2"/>
  <c r="AF39" i="2" s="1"/>
  <c r="H39" i="2"/>
  <c r="AE38" i="2"/>
  <c r="AF38" i="2" s="1"/>
  <c r="H38" i="2"/>
  <c r="AE37" i="2"/>
  <c r="AF37" i="2" s="1"/>
  <c r="H37" i="2"/>
  <c r="AE36" i="2"/>
  <c r="AF36" i="2" s="1"/>
  <c r="H36" i="2"/>
  <c r="AF35" i="2"/>
  <c r="AE35" i="2"/>
  <c r="H35" i="2"/>
  <c r="AE34" i="2"/>
  <c r="AF34" i="2" s="1"/>
  <c r="H34" i="2"/>
  <c r="AE33" i="2"/>
  <c r="AF33" i="2" s="1"/>
  <c r="H33" i="2"/>
  <c r="AE32" i="2"/>
  <c r="AF32" i="2" s="1"/>
  <c r="H32" i="2"/>
  <c r="AF31" i="2"/>
  <c r="AE31" i="2"/>
  <c r="H31" i="2"/>
  <c r="AF30" i="2"/>
  <c r="AE30" i="2"/>
  <c r="H30" i="2"/>
  <c r="AF29" i="2"/>
  <c r="AE29" i="2"/>
  <c r="H29" i="2"/>
  <c r="AE28" i="2"/>
  <c r="AF28" i="2" s="1"/>
  <c r="H28" i="2"/>
  <c r="AF27" i="2"/>
  <c r="AE27" i="2"/>
  <c r="H27" i="2"/>
  <c r="AF26" i="2"/>
  <c r="AE26" i="2"/>
  <c r="H26" i="2"/>
  <c r="AF25" i="2"/>
  <c r="AE25" i="2"/>
  <c r="H25" i="2"/>
  <c r="AE24" i="2"/>
  <c r="AF24" i="2" s="1"/>
  <c r="H24" i="2"/>
  <c r="AF23" i="2"/>
  <c r="AE23" i="2"/>
  <c r="H23" i="2"/>
  <c r="AE22" i="2"/>
  <c r="AF22" i="2" s="1"/>
  <c r="H22" i="2"/>
  <c r="AE21" i="2"/>
  <c r="AF21" i="2" s="1"/>
  <c r="H21" i="2"/>
  <c r="AE20" i="2"/>
  <c r="AF20" i="2" s="1"/>
  <c r="H20" i="2"/>
  <c r="AE19" i="2"/>
  <c r="AF19" i="2" s="1"/>
  <c r="H19" i="2"/>
  <c r="AE18" i="2"/>
  <c r="AF18" i="2" s="1"/>
  <c r="H18" i="2"/>
  <c r="AE17" i="2"/>
  <c r="AF17" i="2" s="1"/>
  <c r="H17" i="2"/>
  <c r="AE16" i="2"/>
  <c r="AF16" i="2" s="1"/>
  <c r="H16" i="2"/>
  <c r="AF15" i="2"/>
  <c r="AE15" i="2"/>
  <c r="H15" i="2"/>
  <c r="AE14" i="2"/>
  <c r="AF14" i="2" s="1"/>
  <c r="H14" i="2"/>
  <c r="AE13" i="2"/>
  <c r="AF13" i="2" s="1"/>
  <c r="H13" i="2"/>
  <c r="AE12" i="2"/>
  <c r="AF12" i="2" s="1"/>
  <c r="H12" i="2"/>
  <c r="AF11" i="2"/>
  <c r="AE11" i="2"/>
  <c r="H11" i="2"/>
  <c r="AF10" i="2"/>
  <c r="AE10" i="2"/>
  <c r="H10" i="2"/>
  <c r="AF9" i="2"/>
  <c r="AE9" i="2"/>
  <c r="H9" i="2"/>
  <c r="AE8" i="2"/>
  <c r="AF8" i="2" s="1"/>
  <c r="H8" i="2"/>
  <c r="AF7" i="2"/>
  <c r="AE7" i="2"/>
  <c r="H7" i="2"/>
  <c r="AE6" i="2"/>
  <c r="AF6" i="2" s="1"/>
  <c r="H6" i="2"/>
  <c r="AF5" i="2"/>
  <c r="AE5" i="2"/>
  <c r="H5" i="2"/>
  <c r="AE4" i="2"/>
  <c r="AF4" i="2" s="1"/>
  <c r="H4" i="2"/>
  <c r="AE3" i="2"/>
  <c r="AF3" i="2" s="1"/>
  <c r="H3" i="2"/>
  <c r="AE2" i="2"/>
  <c r="AF2" i="2" s="1"/>
  <c r="H2" i="2"/>
</calcChain>
</file>

<file path=xl/sharedStrings.xml><?xml version="1.0" encoding="utf-8"?>
<sst xmlns="http://schemas.openxmlformats.org/spreadsheetml/2006/main" count="149" uniqueCount="138">
  <si>
    <t xml:space="preserve"> </t>
  </si>
  <si>
    <t>日期</t>
  </si>
  <si>
    <t>今日涨停封死计数</t>
  </si>
  <si>
    <t>今日涨停炸版计数</t>
  </si>
  <si>
    <t>盘中带量曾封跌停计数</t>
  </si>
  <si>
    <t>收盘带量封死跌停计数</t>
  </si>
  <si>
    <t>盘中超跌-5%计数</t>
  </si>
  <si>
    <t>收盘超跌-5%计数</t>
  </si>
  <si>
    <t>打板当日封板率</t>
  </si>
  <si>
    <t>昨日所有涨停收益率（不包含炸板）</t>
  </si>
  <si>
    <t>昨日所有涨停真实收益率（包含炸板）</t>
  </si>
  <si>
    <t>昨日首板理想收益率（封死涨停）</t>
  </si>
  <si>
    <t>昨日首板真实收益率（包含炸板）</t>
  </si>
  <si>
    <t>昨日二板理想收益率（封死涨停）</t>
  </si>
  <si>
    <t>昨日二板真实收益率（包含炸板）</t>
  </si>
  <si>
    <t>昨日三板理想收益率（封死涨停）</t>
  </si>
  <si>
    <t>昨日三板真实收益率（包含炸板）</t>
  </si>
  <si>
    <t>昨日最高板真实收益率（封死涨停）</t>
  </si>
  <si>
    <t>昨日最高板理想收益率（包含炸板）</t>
  </si>
  <si>
    <t>当天两市最高连板板数</t>
  </si>
  <si>
    <t>当天两市次高连板板数</t>
  </si>
  <si>
    <t>当天两市首板新发封死计数</t>
  </si>
  <si>
    <t>当天两市首板新发炸板计数</t>
  </si>
  <si>
    <t>当天两市首进二板封死计数</t>
  </si>
  <si>
    <t>当天两市首进二板炸板计数</t>
  </si>
  <si>
    <t>当天2板以上接力成功计数</t>
  </si>
  <si>
    <t>当天2板以上接力炸板计数</t>
  </si>
  <si>
    <t>ma3涨停</t>
  </si>
  <si>
    <t>偏离幅度</t>
  </si>
  <si>
    <t>小康股份</t>
  </si>
  <si>
    <t>2一字</t>
  </si>
  <si>
    <t>4天3低开放量</t>
  </si>
  <si>
    <t>5天4低开缩量</t>
  </si>
  <si>
    <t>6天5高开缩量</t>
  </si>
  <si>
    <t>炸3.50%</t>
  </si>
  <si>
    <t>炸8.05%</t>
  </si>
  <si>
    <t>7天4新高平量</t>
  </si>
  <si>
    <t>8天5烂板缩量</t>
  </si>
  <si>
    <t>9天6平开缩量</t>
  </si>
  <si>
    <t>炸0.21%</t>
  </si>
  <si>
    <t>而浪新高平量</t>
  </si>
  <si>
    <t>低开放量</t>
  </si>
  <si>
    <t>医美+婴童</t>
  </si>
  <si>
    <t>朗姿股份</t>
  </si>
  <si>
    <t>2高开放量</t>
  </si>
  <si>
    <t>5天3低开放量</t>
  </si>
  <si>
    <t>5天4低开放量</t>
  </si>
  <si>
    <t>炸4.89%</t>
  </si>
  <si>
    <t>低开缩量</t>
  </si>
  <si>
    <t>二浪未新高</t>
  </si>
  <si>
    <t>医美</t>
  </si>
  <si>
    <t>奥园美股</t>
  </si>
  <si>
    <t>炸6.64%</t>
  </si>
  <si>
    <t>4天2低开平量</t>
  </si>
  <si>
    <t>炸7.90%</t>
  </si>
  <si>
    <t>6天3长腿平量</t>
  </si>
  <si>
    <t>7天4平开缩量</t>
  </si>
  <si>
    <t>反抽平量</t>
  </si>
  <si>
    <t>炸6.76%</t>
  </si>
  <si>
    <t>低开缩量新高</t>
  </si>
  <si>
    <t>金刚石</t>
  </si>
  <si>
    <t>黄河旋风</t>
  </si>
  <si>
    <t>3天2低开放量</t>
  </si>
  <si>
    <t>炸-3.79%</t>
  </si>
  <si>
    <t>5天3高开长腿放量</t>
  </si>
  <si>
    <t>6天4高开缩量1/2</t>
  </si>
  <si>
    <t>8天5高开缩量</t>
  </si>
  <si>
    <t>9天6高开倍量</t>
  </si>
  <si>
    <t>炸6.96%</t>
  </si>
  <si>
    <t>而浪新高</t>
  </si>
  <si>
    <t>医美+业绩增长</t>
  </si>
  <si>
    <t>哈三联</t>
  </si>
  <si>
    <t>2高开缩量</t>
  </si>
  <si>
    <t>3T平量</t>
  </si>
  <si>
    <t>4T倍量</t>
  </si>
  <si>
    <t>炸1.14%</t>
  </si>
  <si>
    <t>6天5低开缩量</t>
  </si>
  <si>
    <t>8天7反包放量</t>
  </si>
  <si>
    <t>二浪1放量</t>
  </si>
  <si>
    <t>二浪2缩量</t>
  </si>
  <si>
    <t>业绩增长+医美</t>
  </si>
  <si>
    <t>苏宁环球</t>
  </si>
  <si>
    <t>2高开烂板</t>
  </si>
  <si>
    <t>3平开平量</t>
  </si>
  <si>
    <t>炸2.34%</t>
  </si>
  <si>
    <t>平开缩量</t>
  </si>
  <si>
    <t>反抽卡位</t>
  </si>
  <si>
    <t>2T缩量</t>
  </si>
  <si>
    <t>炸2.61%</t>
  </si>
  <si>
    <t>趋势新高放量</t>
  </si>
  <si>
    <t>炸6.77%</t>
  </si>
  <si>
    <t>趋势新高缩量</t>
  </si>
  <si>
    <t>炸8.28%</t>
  </si>
  <si>
    <t>华为汽车</t>
  </si>
  <si>
    <t>长安汽车</t>
  </si>
  <si>
    <t>炸6.09%</t>
  </si>
  <si>
    <t>3天2平开缩量</t>
  </si>
  <si>
    <t>5天3高开缩量</t>
  </si>
  <si>
    <t>中国国贸</t>
  </si>
  <si>
    <t>3T爆量</t>
  </si>
  <si>
    <t>炸8.64%</t>
  </si>
  <si>
    <t>7天4平开平量</t>
  </si>
  <si>
    <t>百年清点</t>
  </si>
  <si>
    <t>出版传媒</t>
  </si>
  <si>
    <t>炸5.73%</t>
  </si>
  <si>
    <t>3天2低开平量</t>
  </si>
  <si>
    <t>4天3平开放量</t>
  </si>
  <si>
    <t>证券</t>
  </si>
  <si>
    <t>湘财股份</t>
  </si>
  <si>
    <t>3高开爆量</t>
  </si>
  <si>
    <t>炸3.65%</t>
  </si>
  <si>
    <t>5天4平开缩量</t>
  </si>
  <si>
    <t>8天5低开缩量新高</t>
  </si>
  <si>
    <t>9天6一字</t>
  </si>
  <si>
    <t>810天7分歧放量</t>
  </si>
  <si>
    <t>次新+食品</t>
  </si>
  <si>
    <t>百龙创园</t>
  </si>
  <si>
    <t>2高开平量</t>
  </si>
  <si>
    <t>炸4.40%</t>
  </si>
  <si>
    <t>4天3低开缩量</t>
  </si>
  <si>
    <t>6天4高开秒缩量</t>
  </si>
  <si>
    <t>7天5T爆量</t>
  </si>
  <si>
    <t>白酒</t>
  </si>
  <si>
    <t>大豪科技</t>
  </si>
  <si>
    <t>6天4高开长天放量</t>
  </si>
  <si>
    <t>炸1.91%</t>
  </si>
  <si>
    <t>8天5高开长天放量</t>
  </si>
  <si>
    <t>特一药业</t>
  </si>
  <si>
    <t>2T爆量</t>
  </si>
  <si>
    <t>反抽涨停</t>
  </si>
  <si>
    <t>李子园</t>
  </si>
  <si>
    <t>3高开平量</t>
  </si>
  <si>
    <t>疫苗</t>
  </si>
  <si>
    <t>未名医药</t>
  </si>
  <si>
    <t>2高开爆量</t>
  </si>
  <si>
    <t>碳中和</t>
  </si>
  <si>
    <t>顺控发展</t>
  </si>
  <si>
    <t>3高开长腿爆量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</si>
</sst>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;[Red]\-0\ "/>
    <numFmt numFmtId="177" formatCode="0.00_ ;[Red]\-0.00\ "/>
    <numFmt numFmtId="178" formatCode="0.0%"/>
    <numFmt numFmtId="179" formatCode="0.00_ "/>
  </numFmts>
  <fonts count="25" x14ac:knownFonts="1">
    <font>
      <sz val="11"/>
      <color theme="1"/>
      <name val="等线"/>
      <charset val="134"/>
      <scheme val="minor"/>
    </font>
    <font>
      <sz val="16"/>
      <color theme="1"/>
      <name val="微软雅黑"/>
      <family val="2"/>
      <charset val="134"/>
    </font>
    <font>
      <sz val="16"/>
      <color theme="0"/>
      <name val="微软雅黑"/>
      <family val="2"/>
      <charset val="134"/>
    </font>
    <font>
      <b/>
      <sz val="20"/>
      <color rgb="FFFFFF00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16"/>
      <color rgb="FFFFFF00"/>
      <name val="微软雅黑"/>
      <family val="2"/>
      <charset val="134"/>
    </font>
    <font>
      <sz val="16"/>
      <color theme="1"/>
      <name val="等线"/>
      <family val="3"/>
      <charset val="134"/>
      <scheme val="minor"/>
    </font>
    <font>
      <b/>
      <sz val="16"/>
      <color theme="9" tint="-0.249977111117893"/>
      <name val="微软雅黑"/>
      <family val="2"/>
      <charset val="134"/>
    </font>
    <font>
      <b/>
      <sz val="16"/>
      <color rgb="FFC00000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rgb="FFC00000"/>
      <name val="Calibri"/>
      <family val="2"/>
    </font>
    <font>
      <sz val="11"/>
      <color theme="1"/>
      <name val="宋体"/>
      <family val="3"/>
      <charset val="134"/>
    </font>
    <font>
      <b/>
      <sz val="12"/>
      <color theme="4"/>
      <name val="Calibri"/>
      <family val="2"/>
    </font>
    <font>
      <sz val="11"/>
      <color rgb="FFC000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b/>
      <sz val="12"/>
      <color rgb="FF4472C4"/>
      <name val="Calibri"/>
      <family val="2"/>
    </font>
    <font>
      <sz val="11"/>
      <color theme="0"/>
      <name val="等线"/>
      <family val="3"/>
      <charset val="134"/>
      <scheme val="minor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2"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0" fontId="7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/>
    <xf numFmtId="176" fontId="0" fillId="0" borderId="0" xfId="0" applyNumberFormat="1" applyAlignment="1"/>
    <xf numFmtId="177" fontId="0" fillId="0" borderId="0" xfId="0" applyNumberFormat="1" applyAlignment="1"/>
    <xf numFmtId="0" fontId="9" fillId="0" borderId="0" xfId="0" applyFont="1" applyAlignment="1"/>
    <xf numFmtId="0" fontId="0" fillId="0" borderId="0" xfId="0" applyAlignment="1"/>
    <xf numFmtId="0" fontId="10" fillId="0" borderId="0" xfId="0" applyFont="1" applyAlignment="1"/>
    <xf numFmtId="178" fontId="0" fillId="0" borderId="0" xfId="0" applyNumberFormat="1" applyAlignment="1"/>
    <xf numFmtId="179" fontId="0" fillId="0" borderId="0" xfId="0" applyNumberFormat="1" applyAlignment="1"/>
    <xf numFmtId="10" fontId="0" fillId="0" borderId="0" xfId="0" applyNumberFormat="1" applyAlignment="1"/>
    <xf numFmtId="14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/>
    <xf numFmtId="176" fontId="0" fillId="7" borderId="0" xfId="0" applyNumberFormat="1" applyFill="1" applyAlignment="1"/>
    <xf numFmtId="177" fontId="0" fillId="7" borderId="0" xfId="0" applyNumberFormat="1" applyFill="1" applyAlignment="1"/>
    <xf numFmtId="14" fontId="0" fillId="8" borderId="0" xfId="0" applyNumberFormat="1" applyFill="1" applyAlignment="1"/>
    <xf numFmtId="176" fontId="0" fillId="8" borderId="0" xfId="0" applyNumberFormat="1" applyFill="1" applyAlignment="1"/>
    <xf numFmtId="177" fontId="0" fillId="8" borderId="0" xfId="0" applyNumberFormat="1" applyFill="1" applyAlignment="1"/>
    <xf numFmtId="177" fontId="11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/>
    <xf numFmtId="0" fontId="13" fillId="0" borderId="0" xfId="0" applyFont="1" applyAlignment="1"/>
    <xf numFmtId="0" fontId="12" fillId="7" borderId="0" xfId="0" applyFont="1" applyFill="1" applyAlignment="1"/>
    <xf numFmtId="0" fontId="13" fillId="7" borderId="0" xfId="0" applyFont="1" applyFill="1" applyAlignment="1"/>
    <xf numFmtId="0" fontId="10" fillId="7" borderId="0" xfId="0" applyFont="1" applyFill="1" applyAlignment="1"/>
    <xf numFmtId="0" fontId="0" fillId="7" borderId="0" xfId="0" applyFill="1" applyAlignment="1"/>
    <xf numFmtId="0" fontId="12" fillId="8" borderId="0" xfId="0" applyFont="1" applyFill="1" applyAlignment="1"/>
    <xf numFmtId="0" fontId="13" fillId="8" borderId="0" xfId="0" applyFont="1" applyFill="1" applyAlignment="1"/>
    <xf numFmtId="0" fontId="10" fillId="8" borderId="0" xfId="0" applyFont="1" applyFill="1" applyAlignment="1"/>
    <xf numFmtId="0" fontId="0" fillId="8" borderId="0" xfId="0" applyFill="1" applyAlignment="1"/>
    <xf numFmtId="178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78" fontId="0" fillId="7" borderId="0" xfId="0" applyNumberFormat="1" applyFill="1" applyAlignment="1"/>
    <xf numFmtId="179" fontId="0" fillId="7" borderId="0" xfId="0" applyNumberFormat="1" applyFill="1" applyAlignment="1"/>
    <xf numFmtId="10" fontId="0" fillId="7" borderId="0" xfId="0" applyNumberFormat="1" applyFill="1" applyAlignment="1"/>
    <xf numFmtId="178" fontId="0" fillId="8" borderId="0" xfId="0" applyNumberFormat="1" applyFill="1" applyAlignment="1"/>
    <xf numFmtId="179" fontId="0" fillId="8" borderId="0" xfId="0" applyNumberFormat="1" applyFill="1" applyAlignment="1"/>
    <xf numFmtId="10" fontId="0" fillId="8" borderId="0" xfId="0" applyNumberFormat="1" applyFill="1" applyAlignment="1"/>
    <xf numFmtId="14" fontId="0" fillId="9" borderId="0" xfId="0" applyNumberFormat="1" applyFill="1" applyAlignment="1"/>
    <xf numFmtId="176" fontId="0" fillId="9" borderId="0" xfId="0" applyNumberFormat="1" applyFill="1" applyAlignment="1"/>
    <xf numFmtId="177" fontId="0" fillId="9" borderId="0" xfId="0" applyNumberFormat="1" applyFill="1" applyAlignment="1"/>
    <xf numFmtId="14" fontId="0" fillId="10" borderId="0" xfId="0" applyNumberFormat="1" applyFill="1" applyAlignment="1"/>
    <xf numFmtId="176" fontId="0" fillId="10" borderId="0" xfId="0" applyNumberFormat="1" applyFill="1" applyAlignment="1"/>
    <xf numFmtId="177" fontId="0" fillId="10" borderId="0" xfId="0" applyNumberFormat="1" applyFill="1" applyAlignment="1"/>
    <xf numFmtId="14" fontId="0" fillId="11" borderId="0" xfId="0" applyNumberFormat="1" applyFill="1" applyAlignment="1"/>
    <xf numFmtId="176" fontId="0" fillId="11" borderId="0" xfId="0" applyNumberFormat="1" applyFill="1" applyAlignment="1"/>
    <xf numFmtId="177" fontId="0" fillId="11" borderId="0" xfId="0" applyNumberFormat="1" applyFill="1" applyAlignment="1"/>
    <xf numFmtId="176" fontId="14" fillId="0" borderId="0" xfId="0" applyNumberFormat="1" applyFont="1" applyAlignment="1"/>
    <xf numFmtId="176" fontId="15" fillId="0" borderId="0" xfId="0" applyNumberFormat="1" applyFont="1" applyAlignment="1"/>
    <xf numFmtId="177" fontId="14" fillId="0" borderId="0" xfId="0" applyNumberFormat="1" applyFont="1" applyAlignment="1"/>
    <xf numFmtId="0" fontId="16" fillId="0" borderId="0" xfId="0" applyFont="1" applyAlignment="1"/>
    <xf numFmtId="0" fontId="14" fillId="0" borderId="0" xfId="0" applyFont="1" applyAlignment="1"/>
    <xf numFmtId="10" fontId="14" fillId="0" borderId="0" xfId="0" applyNumberFormat="1" applyFont="1" applyAlignment="1"/>
    <xf numFmtId="0" fontId="12" fillId="9" borderId="0" xfId="0" applyFont="1" applyFill="1" applyAlignment="1"/>
    <xf numFmtId="0" fontId="13" fillId="9" borderId="0" xfId="0" applyFont="1" applyFill="1" applyAlignment="1"/>
    <xf numFmtId="0" fontId="10" fillId="9" borderId="0" xfId="0" applyFont="1" applyFill="1" applyAlignment="1"/>
    <xf numFmtId="0" fontId="0" fillId="9" borderId="0" xfId="0" applyFill="1" applyAlignment="1"/>
    <xf numFmtId="0" fontId="12" fillId="10" borderId="0" xfId="0" applyFont="1" applyFill="1" applyAlignment="1"/>
    <xf numFmtId="0" fontId="13" fillId="10" borderId="0" xfId="0" applyFont="1" applyFill="1" applyAlignment="1"/>
    <xf numFmtId="0" fontId="10" fillId="10" borderId="0" xfId="0" applyFont="1" applyFill="1" applyAlignment="1"/>
    <xf numFmtId="0" fontId="0" fillId="10" borderId="0" xfId="0" applyFill="1" applyAlignment="1"/>
    <xf numFmtId="0" fontId="12" fillId="11" borderId="0" xfId="0" applyFont="1" applyFill="1" applyAlignment="1"/>
    <xf numFmtId="0" fontId="13" fillId="11" borderId="0" xfId="0" applyFont="1" applyFill="1" applyAlignment="1"/>
    <xf numFmtId="0" fontId="10" fillId="11" borderId="0" xfId="0" applyFont="1" applyFill="1" applyAlignment="1"/>
    <xf numFmtId="0" fontId="0" fillId="11" borderId="0" xfId="0" applyFill="1" applyAlignment="1"/>
    <xf numFmtId="178" fontId="0" fillId="9" borderId="0" xfId="0" applyNumberFormat="1" applyFill="1" applyAlignment="1"/>
    <xf numFmtId="179" fontId="0" fillId="9" borderId="0" xfId="0" applyNumberFormat="1" applyFill="1" applyAlignment="1"/>
    <xf numFmtId="10" fontId="0" fillId="9" borderId="0" xfId="0" applyNumberFormat="1" applyFill="1" applyAlignment="1"/>
    <xf numFmtId="178" fontId="0" fillId="10" borderId="0" xfId="0" applyNumberFormat="1" applyFill="1" applyAlignment="1"/>
    <xf numFmtId="179" fontId="0" fillId="10" borderId="0" xfId="0" applyNumberFormat="1" applyFill="1" applyAlignment="1"/>
    <xf numFmtId="10" fontId="0" fillId="10" borderId="0" xfId="0" applyNumberFormat="1" applyFill="1" applyAlignment="1"/>
    <xf numFmtId="178" fontId="0" fillId="11" borderId="0" xfId="0" applyNumberFormat="1" applyFill="1" applyAlignment="1"/>
    <xf numFmtId="179" fontId="0" fillId="11" borderId="0" xfId="0" applyNumberFormat="1" applyFill="1" applyAlignment="1"/>
    <xf numFmtId="10" fontId="0" fillId="11" borderId="0" xfId="0" applyNumberFormat="1" applyFill="1" applyAlignment="1"/>
    <xf numFmtId="14" fontId="17" fillId="2" borderId="0" xfId="0" applyNumberFormat="1" applyFont="1" applyFill="1" applyAlignment="1"/>
    <xf numFmtId="176" fontId="17" fillId="2" borderId="0" xfId="0" applyNumberFormat="1" applyFont="1" applyFill="1" applyAlignment="1"/>
    <xf numFmtId="177" fontId="17" fillId="2" borderId="0" xfId="0" applyNumberFormat="1" applyFont="1" applyFill="1" applyAlignment="1"/>
    <xf numFmtId="0" fontId="18" fillId="2" borderId="0" xfId="0" applyFont="1" applyFill="1" applyAlignment="1"/>
    <xf numFmtId="0" fontId="17" fillId="2" borderId="0" xfId="0" applyFont="1" applyFill="1" applyAlignment="1"/>
    <xf numFmtId="0" fontId="19" fillId="2" borderId="0" xfId="0" applyFont="1" applyFill="1" applyAlignment="1"/>
    <xf numFmtId="178" fontId="17" fillId="2" borderId="0" xfId="0" applyNumberFormat="1" applyFont="1" applyFill="1" applyAlignment="1"/>
    <xf numFmtId="179" fontId="17" fillId="2" borderId="0" xfId="0" applyNumberFormat="1" applyFont="1" applyFill="1" applyAlignment="1"/>
    <xf numFmtId="10" fontId="17" fillId="2" borderId="0" xfId="0" applyNumberFormat="1" applyFont="1" applyFill="1" applyAlignment="1"/>
    <xf numFmtId="0" fontId="20" fillId="0" borderId="0" xfId="0" applyFont="1">
      <alignment vertical="center"/>
    </xf>
    <xf numFmtId="9" fontId="0" fillId="0" borderId="0" xfId="1" applyFont="1">
      <alignment vertical="center"/>
    </xf>
    <xf numFmtId="0" fontId="21" fillId="0" borderId="0" xfId="0" applyFont="1">
      <alignment vertical="center"/>
    </xf>
    <xf numFmtId="14" fontId="22" fillId="0" borderId="0" xfId="0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FF9900"/>
      <color rgb="FFFF3300"/>
      <color rgb="FFF7860C"/>
      <color rgb="FFDDDDDD"/>
      <color rgb="FFE42708"/>
      <color rgb="FFFF33CC"/>
      <color rgb="FFFFC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1435106776461E-2"/>
          <c:y val="0.15697001578116801"/>
          <c:w val="0.97682454398567198"/>
          <c:h val="0.7841136244082059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情绪数据!$S$1</c:f>
              <c:strCache>
                <c:ptCount val="1"/>
                <c:pt idx="0">
                  <c:v>当天两市最高连板板数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情绪数据!$A$2:$A$205</c:f>
              <c:numCache>
                <c:formatCode>m/d/yyyy</c:formatCode>
                <c:ptCount val="204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  <c:pt idx="19">
                  <c:v>44190</c:v>
                </c:pt>
                <c:pt idx="20">
                  <c:v>44193</c:v>
                </c:pt>
                <c:pt idx="21">
                  <c:v>44194</c:v>
                </c:pt>
                <c:pt idx="22">
                  <c:v>44195</c:v>
                </c:pt>
                <c:pt idx="23">
                  <c:v>44196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44245</c:v>
                </c:pt>
                <c:pt idx="53">
                  <c:v>44246</c:v>
                </c:pt>
                <c:pt idx="54">
                  <c:v>44249</c:v>
                </c:pt>
                <c:pt idx="55">
                  <c:v>44250</c:v>
                </c:pt>
                <c:pt idx="56">
                  <c:v>44251</c:v>
                </c:pt>
                <c:pt idx="57">
                  <c:v>44252</c:v>
                </c:pt>
                <c:pt idx="58">
                  <c:v>44253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44263</c:v>
                </c:pt>
                <c:pt idx="65">
                  <c:v>44264</c:v>
                </c:pt>
                <c:pt idx="66">
                  <c:v>44265</c:v>
                </c:pt>
                <c:pt idx="67">
                  <c:v>44266</c:v>
                </c:pt>
                <c:pt idx="68">
                  <c:v>44267</c:v>
                </c:pt>
                <c:pt idx="69">
                  <c:v>44270</c:v>
                </c:pt>
                <c:pt idx="70">
                  <c:v>44271</c:v>
                </c:pt>
                <c:pt idx="71">
                  <c:v>44272</c:v>
                </c:pt>
                <c:pt idx="72">
                  <c:v>44273</c:v>
                </c:pt>
                <c:pt idx="73">
                  <c:v>44274</c:v>
                </c:pt>
                <c:pt idx="74">
                  <c:v>44277</c:v>
                </c:pt>
                <c:pt idx="75">
                  <c:v>44278</c:v>
                </c:pt>
                <c:pt idx="76">
                  <c:v>44279</c:v>
                </c:pt>
                <c:pt idx="77">
                  <c:v>44280</c:v>
                </c:pt>
                <c:pt idx="78">
                  <c:v>44281</c:v>
                </c:pt>
                <c:pt idx="79">
                  <c:v>44284</c:v>
                </c:pt>
                <c:pt idx="80">
                  <c:v>44285</c:v>
                </c:pt>
                <c:pt idx="81">
                  <c:v>44286</c:v>
                </c:pt>
                <c:pt idx="82">
                  <c:v>44287</c:v>
                </c:pt>
                <c:pt idx="83">
                  <c:v>44288</c:v>
                </c:pt>
                <c:pt idx="84">
                  <c:v>44292</c:v>
                </c:pt>
                <c:pt idx="85">
                  <c:v>44293</c:v>
                </c:pt>
                <c:pt idx="86">
                  <c:v>44294</c:v>
                </c:pt>
                <c:pt idx="87">
                  <c:v>44295</c:v>
                </c:pt>
                <c:pt idx="88">
                  <c:v>44298</c:v>
                </c:pt>
                <c:pt idx="89">
                  <c:v>44299</c:v>
                </c:pt>
                <c:pt idx="90">
                  <c:v>44300</c:v>
                </c:pt>
                <c:pt idx="91">
                  <c:v>44301</c:v>
                </c:pt>
                <c:pt idx="92">
                  <c:v>44302</c:v>
                </c:pt>
                <c:pt idx="93">
                  <c:v>44305</c:v>
                </c:pt>
                <c:pt idx="94">
                  <c:v>44306</c:v>
                </c:pt>
                <c:pt idx="95">
                  <c:v>44307</c:v>
                </c:pt>
                <c:pt idx="96">
                  <c:v>44308</c:v>
                </c:pt>
                <c:pt idx="97">
                  <c:v>44309</c:v>
                </c:pt>
                <c:pt idx="98">
                  <c:v>44312</c:v>
                </c:pt>
                <c:pt idx="99">
                  <c:v>44313</c:v>
                </c:pt>
                <c:pt idx="100">
                  <c:v>44314</c:v>
                </c:pt>
                <c:pt idx="101">
                  <c:v>44315</c:v>
                </c:pt>
                <c:pt idx="102">
                  <c:v>44316</c:v>
                </c:pt>
                <c:pt idx="103">
                  <c:v>44322</c:v>
                </c:pt>
                <c:pt idx="104">
                  <c:v>44323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44333</c:v>
                </c:pt>
                <c:pt idx="110">
                  <c:v>44334</c:v>
                </c:pt>
                <c:pt idx="111">
                  <c:v>44335</c:v>
                </c:pt>
                <c:pt idx="112">
                  <c:v>44336</c:v>
                </c:pt>
                <c:pt idx="113">
                  <c:v>44337</c:v>
                </c:pt>
                <c:pt idx="114">
                  <c:v>44340</c:v>
                </c:pt>
                <c:pt idx="115">
                  <c:v>44341</c:v>
                </c:pt>
                <c:pt idx="116">
                  <c:v>44342</c:v>
                </c:pt>
                <c:pt idx="117">
                  <c:v>44343</c:v>
                </c:pt>
                <c:pt idx="118">
                  <c:v>44344</c:v>
                </c:pt>
                <c:pt idx="119">
                  <c:v>44347</c:v>
                </c:pt>
                <c:pt idx="120">
                  <c:v>44348</c:v>
                </c:pt>
                <c:pt idx="121">
                  <c:v>44349</c:v>
                </c:pt>
                <c:pt idx="122">
                  <c:v>44350</c:v>
                </c:pt>
                <c:pt idx="123">
                  <c:v>44351</c:v>
                </c:pt>
                <c:pt idx="124">
                  <c:v>44354</c:v>
                </c:pt>
                <c:pt idx="125">
                  <c:v>44355</c:v>
                </c:pt>
                <c:pt idx="126">
                  <c:v>44356</c:v>
                </c:pt>
                <c:pt idx="127">
                  <c:v>44357</c:v>
                </c:pt>
                <c:pt idx="128">
                  <c:v>44358</c:v>
                </c:pt>
                <c:pt idx="129">
                  <c:v>44362</c:v>
                </c:pt>
                <c:pt idx="130">
                  <c:v>44363</c:v>
                </c:pt>
                <c:pt idx="131">
                  <c:v>44364</c:v>
                </c:pt>
                <c:pt idx="132">
                  <c:v>44365</c:v>
                </c:pt>
                <c:pt idx="133">
                  <c:v>44368</c:v>
                </c:pt>
                <c:pt idx="134">
                  <c:v>44369</c:v>
                </c:pt>
                <c:pt idx="135">
                  <c:v>44370</c:v>
                </c:pt>
                <c:pt idx="136">
                  <c:v>44371</c:v>
                </c:pt>
                <c:pt idx="137">
                  <c:v>44372</c:v>
                </c:pt>
                <c:pt idx="138">
                  <c:v>44375</c:v>
                </c:pt>
                <c:pt idx="139">
                  <c:v>44376</c:v>
                </c:pt>
                <c:pt idx="140">
                  <c:v>44377</c:v>
                </c:pt>
                <c:pt idx="141">
                  <c:v>44378</c:v>
                </c:pt>
                <c:pt idx="142">
                  <c:v>44379</c:v>
                </c:pt>
                <c:pt idx="143">
                  <c:v>44382</c:v>
                </c:pt>
                <c:pt idx="144">
                  <c:v>44383</c:v>
                </c:pt>
                <c:pt idx="145">
                  <c:v>44384</c:v>
                </c:pt>
                <c:pt idx="146">
                  <c:v>44385</c:v>
                </c:pt>
                <c:pt idx="147">
                  <c:v>44386</c:v>
                </c:pt>
                <c:pt idx="148">
                  <c:v>44389</c:v>
                </c:pt>
                <c:pt idx="149">
                  <c:v>44390</c:v>
                </c:pt>
                <c:pt idx="150">
                  <c:v>44391</c:v>
                </c:pt>
                <c:pt idx="151">
                  <c:v>44392</c:v>
                </c:pt>
                <c:pt idx="152">
                  <c:v>44393</c:v>
                </c:pt>
                <c:pt idx="153">
                  <c:v>44396</c:v>
                </c:pt>
                <c:pt idx="154">
                  <c:v>44397</c:v>
                </c:pt>
                <c:pt idx="155">
                  <c:v>44398</c:v>
                </c:pt>
                <c:pt idx="156">
                  <c:v>44399</c:v>
                </c:pt>
                <c:pt idx="157">
                  <c:v>44400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44410</c:v>
                </c:pt>
                <c:pt idx="164">
                  <c:v>44411</c:v>
                </c:pt>
                <c:pt idx="165">
                  <c:v>44412</c:v>
                </c:pt>
                <c:pt idx="166">
                  <c:v>44413</c:v>
                </c:pt>
                <c:pt idx="167">
                  <c:v>44414</c:v>
                </c:pt>
                <c:pt idx="168">
                  <c:v>44417</c:v>
                </c:pt>
                <c:pt idx="169">
                  <c:v>44418</c:v>
                </c:pt>
                <c:pt idx="170">
                  <c:v>44419</c:v>
                </c:pt>
                <c:pt idx="171">
                  <c:v>44420</c:v>
                </c:pt>
                <c:pt idx="172">
                  <c:v>44423</c:v>
                </c:pt>
                <c:pt idx="173">
                  <c:v>44424</c:v>
                </c:pt>
                <c:pt idx="174">
                  <c:v>44425</c:v>
                </c:pt>
                <c:pt idx="175">
                  <c:v>44426</c:v>
                </c:pt>
                <c:pt idx="176">
                  <c:v>44427</c:v>
                </c:pt>
                <c:pt idx="177">
                  <c:v>44428</c:v>
                </c:pt>
                <c:pt idx="178">
                  <c:v>44431</c:v>
                </c:pt>
                <c:pt idx="179">
                  <c:v>44432</c:v>
                </c:pt>
                <c:pt idx="180">
                  <c:v>44433</c:v>
                </c:pt>
                <c:pt idx="181">
                  <c:v>44434</c:v>
                </c:pt>
                <c:pt idx="182">
                  <c:v>44435</c:v>
                </c:pt>
                <c:pt idx="183">
                  <c:v>44438</c:v>
                </c:pt>
                <c:pt idx="184">
                  <c:v>44439</c:v>
                </c:pt>
                <c:pt idx="185">
                  <c:v>44440</c:v>
                </c:pt>
                <c:pt idx="186">
                  <c:v>44441</c:v>
                </c:pt>
                <c:pt idx="187">
                  <c:v>44442</c:v>
                </c:pt>
                <c:pt idx="188">
                  <c:v>44445</c:v>
                </c:pt>
                <c:pt idx="189">
                  <c:v>44446</c:v>
                </c:pt>
                <c:pt idx="190">
                  <c:v>44447</c:v>
                </c:pt>
                <c:pt idx="191">
                  <c:v>44448</c:v>
                </c:pt>
                <c:pt idx="192">
                  <c:v>44449</c:v>
                </c:pt>
                <c:pt idx="193">
                  <c:v>44452</c:v>
                </c:pt>
                <c:pt idx="194">
                  <c:v>44453</c:v>
                </c:pt>
                <c:pt idx="195">
                  <c:v>44454</c:v>
                </c:pt>
                <c:pt idx="196">
                  <c:v>44455</c:v>
                </c:pt>
                <c:pt idx="197">
                  <c:v>44456</c:v>
                </c:pt>
                <c:pt idx="198">
                  <c:v>44461</c:v>
                </c:pt>
                <c:pt idx="199">
                  <c:v>44462</c:v>
                </c:pt>
                <c:pt idx="200">
                  <c:v>44463</c:v>
                </c:pt>
                <c:pt idx="201">
                  <c:v>44466</c:v>
                </c:pt>
                <c:pt idx="202">
                  <c:v>44467</c:v>
                </c:pt>
                <c:pt idx="203">
                  <c:v>44468</c:v>
                </c:pt>
              </c:numCache>
            </c:numRef>
          </c:cat>
          <c:val>
            <c:numRef>
              <c:f>情绪数据!最高连板</c:f>
              <c:numCache>
                <c:formatCode>General</c:formatCode>
                <c:ptCount val="58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5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6</c:v>
                </c:pt>
                <c:pt idx="37">
                  <c:v>6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5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4</c:v>
                </c:pt>
                <c:pt idx="56">
                  <c:v>5</c:v>
                </c:pt>
                <c:pt idx="57">
                  <c:v>3</c:v>
                </c:pt>
                <c:pt idx="58">
                  <c:v>4</c:v>
                </c:pt>
                <c:pt idx="59">
                  <c:v>5</c:v>
                </c:pt>
                <c:pt idx="60">
                  <c:v>3</c:v>
                </c:pt>
                <c:pt idx="61">
                  <c:v>4</c:v>
                </c:pt>
                <c:pt idx="62">
                  <c:v>5</c:v>
                </c:pt>
                <c:pt idx="63">
                  <c:v>6</c:v>
                </c:pt>
                <c:pt idx="64">
                  <c:v>7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5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0">
                  <c:v>11</c:v>
                </c:pt>
                <c:pt idx="81">
                  <c:v>12</c:v>
                </c:pt>
                <c:pt idx="82">
                  <c:v>13</c:v>
                </c:pt>
                <c:pt idx="83">
                  <c:v>14</c:v>
                </c:pt>
                <c:pt idx="84">
                  <c:v>15</c:v>
                </c:pt>
                <c:pt idx="85">
                  <c:v>9</c:v>
                </c:pt>
                <c:pt idx="86">
                  <c:v>7</c:v>
                </c:pt>
                <c:pt idx="87">
                  <c:v>8</c:v>
                </c:pt>
                <c:pt idx="88">
                  <c:v>6</c:v>
                </c:pt>
                <c:pt idx="89">
                  <c:v>7</c:v>
                </c:pt>
                <c:pt idx="90">
                  <c:v>4</c:v>
                </c:pt>
                <c:pt idx="91">
                  <c:v>5</c:v>
                </c:pt>
                <c:pt idx="92">
                  <c:v>6</c:v>
                </c:pt>
                <c:pt idx="93">
                  <c:v>5</c:v>
                </c:pt>
                <c:pt idx="94">
                  <c:v>4</c:v>
                </c:pt>
                <c:pt idx="95">
                  <c:v>5</c:v>
                </c:pt>
                <c:pt idx="96">
                  <c:v>5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3</c:v>
                </c:pt>
                <c:pt idx="105">
                  <c:v>4</c:v>
                </c:pt>
                <c:pt idx="106">
                  <c:v>5</c:v>
                </c:pt>
                <c:pt idx="107">
                  <c:v>6</c:v>
                </c:pt>
                <c:pt idx="108">
                  <c:v>5</c:v>
                </c:pt>
                <c:pt idx="109">
                  <c:v>3</c:v>
                </c:pt>
                <c:pt idx="110">
                  <c:v>4</c:v>
                </c:pt>
                <c:pt idx="111">
                  <c:v>5</c:v>
                </c:pt>
                <c:pt idx="112">
                  <c:v>6</c:v>
                </c:pt>
                <c:pt idx="113">
                  <c:v>7</c:v>
                </c:pt>
                <c:pt idx="114">
                  <c:v>7</c:v>
                </c:pt>
                <c:pt idx="115">
                  <c:v>8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7</c:v>
                </c:pt>
                <c:pt idx="120">
                  <c:v>8</c:v>
                </c:pt>
                <c:pt idx="121">
                  <c:v>9</c:v>
                </c:pt>
                <c:pt idx="122">
                  <c:v>10</c:v>
                </c:pt>
                <c:pt idx="123">
                  <c:v>5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5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4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4</c:v>
                </c:pt>
                <c:pt idx="137">
                  <c:v>5</c:v>
                </c:pt>
                <c:pt idx="138">
                  <c:v>6</c:v>
                </c:pt>
                <c:pt idx="139">
                  <c:v>3</c:v>
                </c:pt>
                <c:pt idx="140">
                  <c:v>4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2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4</c:v>
                </c:pt>
                <c:pt idx="154">
                  <c:v>5</c:v>
                </c:pt>
                <c:pt idx="155">
                  <c:v>6</c:v>
                </c:pt>
                <c:pt idx="156">
                  <c:v>2</c:v>
                </c:pt>
                <c:pt idx="157">
                  <c:v>3</c:v>
                </c:pt>
                <c:pt idx="158">
                  <c:v>4</c:v>
                </c:pt>
                <c:pt idx="159">
                  <c:v>5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4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3</c:v>
                </c:pt>
                <c:pt idx="168">
                  <c:v>4</c:v>
                </c:pt>
                <c:pt idx="169">
                  <c:v>5</c:v>
                </c:pt>
                <c:pt idx="170">
                  <c:v>6</c:v>
                </c:pt>
                <c:pt idx="171">
                  <c:v>7</c:v>
                </c:pt>
                <c:pt idx="172">
                  <c:v>8</c:v>
                </c:pt>
                <c:pt idx="173">
                  <c:v>8</c:v>
                </c:pt>
                <c:pt idx="174">
                  <c:v>7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6</c:v>
                </c:pt>
                <c:pt idx="179">
                  <c:v>3</c:v>
                </c:pt>
                <c:pt idx="180">
                  <c:v>4</c:v>
                </c:pt>
                <c:pt idx="181">
                  <c:v>5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4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5</c:v>
                </c:pt>
                <c:pt idx="191">
                  <c:v>5</c:v>
                </c:pt>
                <c:pt idx="192">
                  <c:v>6</c:v>
                </c:pt>
                <c:pt idx="193">
                  <c:v>6</c:v>
                </c:pt>
                <c:pt idx="194">
                  <c:v>7</c:v>
                </c:pt>
                <c:pt idx="195">
                  <c:v>8</c:v>
                </c:pt>
                <c:pt idx="196">
                  <c:v>9</c:v>
                </c:pt>
                <c:pt idx="197">
                  <c:v>10</c:v>
                </c:pt>
                <c:pt idx="198">
                  <c:v>11</c:v>
                </c:pt>
                <c:pt idx="199">
                  <c:v>12</c:v>
                </c:pt>
                <c:pt idx="200">
                  <c:v>13</c:v>
                </c:pt>
                <c:pt idx="201">
                  <c:v>2</c:v>
                </c:pt>
                <c:pt idx="202">
                  <c:v>3</c:v>
                </c:pt>
                <c:pt idx="203">
                  <c:v>4</c:v>
                </c:pt>
                <c:pt idx="204">
                  <c:v>5</c:v>
                </c:pt>
                <c:pt idx="205">
                  <c:v>3</c:v>
                </c:pt>
                <c:pt idx="206">
                  <c:v>3</c:v>
                </c:pt>
                <c:pt idx="207">
                  <c:v>4</c:v>
                </c:pt>
                <c:pt idx="208">
                  <c:v>4</c:v>
                </c:pt>
                <c:pt idx="209">
                  <c:v>2</c:v>
                </c:pt>
                <c:pt idx="210">
                  <c:v>3</c:v>
                </c:pt>
                <c:pt idx="211">
                  <c:v>4</c:v>
                </c:pt>
                <c:pt idx="212">
                  <c:v>2</c:v>
                </c:pt>
                <c:pt idx="213">
                  <c:v>3</c:v>
                </c:pt>
                <c:pt idx="214">
                  <c:v>4</c:v>
                </c:pt>
                <c:pt idx="215">
                  <c:v>2</c:v>
                </c:pt>
                <c:pt idx="216">
                  <c:v>3</c:v>
                </c:pt>
                <c:pt idx="217">
                  <c:v>3</c:v>
                </c:pt>
                <c:pt idx="218">
                  <c:v>4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4</c:v>
                </c:pt>
                <c:pt idx="224">
                  <c:v>5</c:v>
                </c:pt>
                <c:pt idx="225">
                  <c:v>4</c:v>
                </c:pt>
                <c:pt idx="226">
                  <c:v>5</c:v>
                </c:pt>
                <c:pt idx="227">
                  <c:v>3</c:v>
                </c:pt>
                <c:pt idx="228">
                  <c:v>4</c:v>
                </c:pt>
                <c:pt idx="229">
                  <c:v>5</c:v>
                </c:pt>
                <c:pt idx="230">
                  <c:v>6</c:v>
                </c:pt>
                <c:pt idx="231">
                  <c:v>7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5</c:v>
                </c:pt>
                <c:pt idx="236">
                  <c:v>6</c:v>
                </c:pt>
                <c:pt idx="237">
                  <c:v>7</c:v>
                </c:pt>
                <c:pt idx="238">
                  <c:v>8</c:v>
                </c:pt>
                <c:pt idx="239">
                  <c:v>9</c:v>
                </c:pt>
                <c:pt idx="240">
                  <c:v>4</c:v>
                </c:pt>
                <c:pt idx="241">
                  <c:v>5</c:v>
                </c:pt>
                <c:pt idx="242">
                  <c:v>5</c:v>
                </c:pt>
                <c:pt idx="243">
                  <c:v>4</c:v>
                </c:pt>
                <c:pt idx="244">
                  <c:v>5</c:v>
                </c:pt>
                <c:pt idx="245">
                  <c:v>5</c:v>
                </c:pt>
                <c:pt idx="246">
                  <c:v>6</c:v>
                </c:pt>
                <c:pt idx="247">
                  <c:v>5</c:v>
                </c:pt>
                <c:pt idx="248">
                  <c:v>6</c:v>
                </c:pt>
                <c:pt idx="249">
                  <c:v>7</c:v>
                </c:pt>
                <c:pt idx="250">
                  <c:v>5</c:v>
                </c:pt>
                <c:pt idx="251">
                  <c:v>6</c:v>
                </c:pt>
                <c:pt idx="252">
                  <c:v>7</c:v>
                </c:pt>
                <c:pt idx="253">
                  <c:v>7</c:v>
                </c:pt>
                <c:pt idx="254">
                  <c:v>8</c:v>
                </c:pt>
                <c:pt idx="255">
                  <c:v>9</c:v>
                </c:pt>
                <c:pt idx="256">
                  <c:v>10</c:v>
                </c:pt>
                <c:pt idx="257">
                  <c:v>11</c:v>
                </c:pt>
                <c:pt idx="258">
                  <c:v>8</c:v>
                </c:pt>
                <c:pt idx="259">
                  <c:v>5</c:v>
                </c:pt>
                <c:pt idx="260">
                  <c:v>6</c:v>
                </c:pt>
                <c:pt idx="261">
                  <c:v>4</c:v>
                </c:pt>
                <c:pt idx="262">
                  <c:v>5</c:v>
                </c:pt>
                <c:pt idx="263">
                  <c:v>12</c:v>
                </c:pt>
                <c:pt idx="264">
                  <c:v>7</c:v>
                </c:pt>
                <c:pt idx="265">
                  <c:v>8</c:v>
                </c:pt>
                <c:pt idx="266">
                  <c:v>9</c:v>
                </c:pt>
                <c:pt idx="267">
                  <c:v>10</c:v>
                </c:pt>
                <c:pt idx="268">
                  <c:v>6</c:v>
                </c:pt>
                <c:pt idx="269">
                  <c:v>7</c:v>
                </c:pt>
                <c:pt idx="270">
                  <c:v>6</c:v>
                </c:pt>
                <c:pt idx="271">
                  <c:v>7</c:v>
                </c:pt>
                <c:pt idx="272">
                  <c:v>8</c:v>
                </c:pt>
                <c:pt idx="273">
                  <c:v>6</c:v>
                </c:pt>
                <c:pt idx="274">
                  <c:v>5</c:v>
                </c:pt>
                <c:pt idx="275">
                  <c:v>6</c:v>
                </c:pt>
                <c:pt idx="276">
                  <c:v>5</c:v>
                </c:pt>
                <c:pt idx="277">
                  <c:v>6</c:v>
                </c:pt>
                <c:pt idx="278">
                  <c:v>7</c:v>
                </c:pt>
                <c:pt idx="279">
                  <c:v>7</c:v>
                </c:pt>
                <c:pt idx="280">
                  <c:v>4</c:v>
                </c:pt>
                <c:pt idx="281">
                  <c:v>5</c:v>
                </c:pt>
                <c:pt idx="282">
                  <c:v>4</c:v>
                </c:pt>
                <c:pt idx="283">
                  <c:v>2</c:v>
                </c:pt>
                <c:pt idx="284">
                  <c:v>3</c:v>
                </c:pt>
                <c:pt idx="285">
                  <c:v>4</c:v>
                </c:pt>
                <c:pt idx="286">
                  <c:v>5</c:v>
                </c:pt>
                <c:pt idx="287">
                  <c:v>6</c:v>
                </c:pt>
                <c:pt idx="288">
                  <c:v>7</c:v>
                </c:pt>
                <c:pt idx="289">
                  <c:v>8</c:v>
                </c:pt>
                <c:pt idx="290">
                  <c:v>6</c:v>
                </c:pt>
                <c:pt idx="291">
                  <c:v>4</c:v>
                </c:pt>
                <c:pt idx="292">
                  <c:v>5</c:v>
                </c:pt>
                <c:pt idx="293">
                  <c:v>4</c:v>
                </c:pt>
                <c:pt idx="294">
                  <c:v>5</c:v>
                </c:pt>
                <c:pt idx="295">
                  <c:v>6</c:v>
                </c:pt>
                <c:pt idx="296">
                  <c:v>7</c:v>
                </c:pt>
                <c:pt idx="297">
                  <c:v>6</c:v>
                </c:pt>
                <c:pt idx="298">
                  <c:v>7</c:v>
                </c:pt>
                <c:pt idx="299">
                  <c:v>6</c:v>
                </c:pt>
                <c:pt idx="300">
                  <c:v>7</c:v>
                </c:pt>
                <c:pt idx="301">
                  <c:v>4</c:v>
                </c:pt>
                <c:pt idx="302">
                  <c:v>5</c:v>
                </c:pt>
                <c:pt idx="303">
                  <c:v>6</c:v>
                </c:pt>
                <c:pt idx="304">
                  <c:v>7</c:v>
                </c:pt>
                <c:pt idx="305">
                  <c:v>7</c:v>
                </c:pt>
                <c:pt idx="306">
                  <c:v>6</c:v>
                </c:pt>
                <c:pt idx="307">
                  <c:v>4</c:v>
                </c:pt>
                <c:pt idx="308">
                  <c:v>5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6</c:v>
                </c:pt>
                <c:pt idx="313">
                  <c:v>5</c:v>
                </c:pt>
                <c:pt idx="314">
                  <c:v>6</c:v>
                </c:pt>
                <c:pt idx="315">
                  <c:v>6</c:v>
                </c:pt>
                <c:pt idx="316">
                  <c:v>7</c:v>
                </c:pt>
                <c:pt idx="317">
                  <c:v>7</c:v>
                </c:pt>
                <c:pt idx="318">
                  <c:v>8</c:v>
                </c:pt>
                <c:pt idx="319">
                  <c:v>9</c:v>
                </c:pt>
                <c:pt idx="320">
                  <c:v>9</c:v>
                </c:pt>
                <c:pt idx="321">
                  <c:v>5</c:v>
                </c:pt>
                <c:pt idx="322">
                  <c:v>5</c:v>
                </c:pt>
                <c:pt idx="323">
                  <c:v>6</c:v>
                </c:pt>
                <c:pt idx="324">
                  <c:v>6</c:v>
                </c:pt>
                <c:pt idx="325">
                  <c:v>7</c:v>
                </c:pt>
                <c:pt idx="326">
                  <c:v>5</c:v>
                </c:pt>
                <c:pt idx="327">
                  <c:v>6</c:v>
                </c:pt>
                <c:pt idx="328">
                  <c:v>6</c:v>
                </c:pt>
                <c:pt idx="329">
                  <c:v>5</c:v>
                </c:pt>
                <c:pt idx="330">
                  <c:v>6</c:v>
                </c:pt>
                <c:pt idx="331">
                  <c:v>5</c:v>
                </c:pt>
                <c:pt idx="332">
                  <c:v>5</c:v>
                </c:pt>
                <c:pt idx="333">
                  <c:v>6</c:v>
                </c:pt>
                <c:pt idx="334">
                  <c:v>4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4</c:v>
                </c:pt>
                <c:pt idx="339">
                  <c:v>3</c:v>
                </c:pt>
                <c:pt idx="340">
                  <c:v>4</c:v>
                </c:pt>
                <c:pt idx="341">
                  <c:v>5</c:v>
                </c:pt>
                <c:pt idx="342">
                  <c:v>6</c:v>
                </c:pt>
                <c:pt idx="343">
                  <c:v>7</c:v>
                </c:pt>
                <c:pt idx="344">
                  <c:v>6</c:v>
                </c:pt>
                <c:pt idx="345">
                  <c:v>7</c:v>
                </c:pt>
                <c:pt idx="346">
                  <c:v>8</c:v>
                </c:pt>
                <c:pt idx="347">
                  <c:v>9</c:v>
                </c:pt>
                <c:pt idx="348">
                  <c:v>10</c:v>
                </c:pt>
                <c:pt idx="349">
                  <c:v>11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8</c:v>
                </c:pt>
                <c:pt idx="355">
                  <c:v>7</c:v>
                </c:pt>
                <c:pt idx="356">
                  <c:v>8</c:v>
                </c:pt>
                <c:pt idx="357">
                  <c:v>9</c:v>
                </c:pt>
                <c:pt idx="358">
                  <c:v>10</c:v>
                </c:pt>
                <c:pt idx="359">
                  <c:v>11</c:v>
                </c:pt>
                <c:pt idx="360">
                  <c:v>12</c:v>
                </c:pt>
                <c:pt idx="361">
                  <c:v>13</c:v>
                </c:pt>
                <c:pt idx="362">
                  <c:v>7</c:v>
                </c:pt>
                <c:pt idx="363">
                  <c:v>8</c:v>
                </c:pt>
                <c:pt idx="364">
                  <c:v>5</c:v>
                </c:pt>
                <c:pt idx="365">
                  <c:v>6</c:v>
                </c:pt>
                <c:pt idx="366">
                  <c:v>7</c:v>
                </c:pt>
                <c:pt idx="367">
                  <c:v>8</c:v>
                </c:pt>
                <c:pt idx="368">
                  <c:v>9</c:v>
                </c:pt>
                <c:pt idx="369">
                  <c:v>10</c:v>
                </c:pt>
                <c:pt idx="370">
                  <c:v>11</c:v>
                </c:pt>
                <c:pt idx="371">
                  <c:v>5</c:v>
                </c:pt>
                <c:pt idx="372">
                  <c:v>5</c:v>
                </c:pt>
                <c:pt idx="373">
                  <c:v>6</c:v>
                </c:pt>
                <c:pt idx="374">
                  <c:v>7</c:v>
                </c:pt>
                <c:pt idx="375">
                  <c:v>8</c:v>
                </c:pt>
                <c:pt idx="376">
                  <c:v>9</c:v>
                </c:pt>
                <c:pt idx="377">
                  <c:v>10</c:v>
                </c:pt>
                <c:pt idx="378">
                  <c:v>11</c:v>
                </c:pt>
                <c:pt idx="379">
                  <c:v>7</c:v>
                </c:pt>
                <c:pt idx="380">
                  <c:v>8</c:v>
                </c:pt>
                <c:pt idx="381">
                  <c:v>9</c:v>
                </c:pt>
                <c:pt idx="382">
                  <c:v>6</c:v>
                </c:pt>
                <c:pt idx="383">
                  <c:v>7</c:v>
                </c:pt>
                <c:pt idx="384">
                  <c:v>5</c:v>
                </c:pt>
                <c:pt idx="385">
                  <c:v>6</c:v>
                </c:pt>
                <c:pt idx="386">
                  <c:v>7</c:v>
                </c:pt>
                <c:pt idx="387">
                  <c:v>8</c:v>
                </c:pt>
                <c:pt idx="388">
                  <c:v>9</c:v>
                </c:pt>
                <c:pt idx="389">
                  <c:v>6</c:v>
                </c:pt>
                <c:pt idx="390">
                  <c:v>7</c:v>
                </c:pt>
                <c:pt idx="391">
                  <c:v>6</c:v>
                </c:pt>
                <c:pt idx="392">
                  <c:v>7</c:v>
                </c:pt>
                <c:pt idx="393">
                  <c:v>5</c:v>
                </c:pt>
                <c:pt idx="394">
                  <c:v>6</c:v>
                </c:pt>
                <c:pt idx="395">
                  <c:v>7</c:v>
                </c:pt>
                <c:pt idx="396">
                  <c:v>4</c:v>
                </c:pt>
                <c:pt idx="397">
                  <c:v>5</c:v>
                </c:pt>
                <c:pt idx="398">
                  <c:v>5</c:v>
                </c:pt>
                <c:pt idx="399">
                  <c:v>3</c:v>
                </c:pt>
                <c:pt idx="400">
                  <c:v>4</c:v>
                </c:pt>
                <c:pt idx="401">
                  <c:v>5</c:v>
                </c:pt>
                <c:pt idx="402">
                  <c:v>6</c:v>
                </c:pt>
                <c:pt idx="403">
                  <c:v>6</c:v>
                </c:pt>
                <c:pt idx="404">
                  <c:v>7</c:v>
                </c:pt>
                <c:pt idx="405">
                  <c:v>6</c:v>
                </c:pt>
                <c:pt idx="406">
                  <c:v>4</c:v>
                </c:pt>
                <c:pt idx="407">
                  <c:v>4</c:v>
                </c:pt>
                <c:pt idx="408">
                  <c:v>5</c:v>
                </c:pt>
                <c:pt idx="409">
                  <c:v>5</c:v>
                </c:pt>
                <c:pt idx="410">
                  <c:v>6</c:v>
                </c:pt>
                <c:pt idx="411">
                  <c:v>7</c:v>
                </c:pt>
                <c:pt idx="412">
                  <c:v>8</c:v>
                </c:pt>
                <c:pt idx="413">
                  <c:v>4</c:v>
                </c:pt>
                <c:pt idx="414">
                  <c:v>4</c:v>
                </c:pt>
                <c:pt idx="415">
                  <c:v>5</c:v>
                </c:pt>
                <c:pt idx="416">
                  <c:v>6</c:v>
                </c:pt>
                <c:pt idx="417">
                  <c:v>5</c:v>
                </c:pt>
                <c:pt idx="418">
                  <c:v>4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6</c:v>
                </c:pt>
                <c:pt idx="424">
                  <c:v>4</c:v>
                </c:pt>
                <c:pt idx="425">
                  <c:v>4</c:v>
                </c:pt>
                <c:pt idx="426">
                  <c:v>3</c:v>
                </c:pt>
                <c:pt idx="427">
                  <c:v>4</c:v>
                </c:pt>
                <c:pt idx="428">
                  <c:v>5</c:v>
                </c:pt>
                <c:pt idx="429">
                  <c:v>3</c:v>
                </c:pt>
                <c:pt idx="430">
                  <c:v>4</c:v>
                </c:pt>
                <c:pt idx="431">
                  <c:v>5</c:v>
                </c:pt>
                <c:pt idx="432">
                  <c:v>6</c:v>
                </c:pt>
                <c:pt idx="433">
                  <c:v>7</c:v>
                </c:pt>
                <c:pt idx="434">
                  <c:v>3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4</c:v>
                </c:pt>
                <c:pt idx="439">
                  <c:v>5</c:v>
                </c:pt>
                <c:pt idx="440">
                  <c:v>4</c:v>
                </c:pt>
                <c:pt idx="441">
                  <c:v>5</c:v>
                </c:pt>
                <c:pt idx="442">
                  <c:v>5</c:v>
                </c:pt>
                <c:pt idx="443">
                  <c:v>2</c:v>
                </c:pt>
                <c:pt idx="444">
                  <c:v>3</c:v>
                </c:pt>
                <c:pt idx="445">
                  <c:v>4</c:v>
                </c:pt>
                <c:pt idx="446">
                  <c:v>5</c:v>
                </c:pt>
                <c:pt idx="447">
                  <c:v>5</c:v>
                </c:pt>
                <c:pt idx="448">
                  <c:v>4</c:v>
                </c:pt>
                <c:pt idx="449">
                  <c:v>2</c:v>
                </c:pt>
                <c:pt idx="450">
                  <c:v>3</c:v>
                </c:pt>
                <c:pt idx="451">
                  <c:v>4</c:v>
                </c:pt>
                <c:pt idx="452">
                  <c:v>5</c:v>
                </c:pt>
                <c:pt idx="453">
                  <c:v>6</c:v>
                </c:pt>
                <c:pt idx="454">
                  <c:v>7</c:v>
                </c:pt>
                <c:pt idx="455">
                  <c:v>8</c:v>
                </c:pt>
                <c:pt idx="456">
                  <c:v>7</c:v>
                </c:pt>
                <c:pt idx="457">
                  <c:v>5</c:v>
                </c:pt>
                <c:pt idx="458">
                  <c:v>6</c:v>
                </c:pt>
                <c:pt idx="459">
                  <c:v>3</c:v>
                </c:pt>
                <c:pt idx="460">
                  <c:v>4</c:v>
                </c:pt>
                <c:pt idx="461">
                  <c:v>4</c:v>
                </c:pt>
                <c:pt idx="462">
                  <c:v>3</c:v>
                </c:pt>
                <c:pt idx="463">
                  <c:v>4</c:v>
                </c:pt>
                <c:pt idx="464">
                  <c:v>5</c:v>
                </c:pt>
                <c:pt idx="465">
                  <c:v>6</c:v>
                </c:pt>
                <c:pt idx="466">
                  <c:v>4</c:v>
                </c:pt>
                <c:pt idx="467">
                  <c:v>5</c:v>
                </c:pt>
                <c:pt idx="468">
                  <c:v>6</c:v>
                </c:pt>
                <c:pt idx="469">
                  <c:v>7</c:v>
                </c:pt>
                <c:pt idx="470">
                  <c:v>8</c:v>
                </c:pt>
                <c:pt idx="471">
                  <c:v>9</c:v>
                </c:pt>
                <c:pt idx="472">
                  <c:v>10</c:v>
                </c:pt>
                <c:pt idx="473">
                  <c:v>4</c:v>
                </c:pt>
                <c:pt idx="474">
                  <c:v>5</c:v>
                </c:pt>
                <c:pt idx="475">
                  <c:v>5</c:v>
                </c:pt>
                <c:pt idx="476">
                  <c:v>6</c:v>
                </c:pt>
                <c:pt idx="477">
                  <c:v>6</c:v>
                </c:pt>
                <c:pt idx="478">
                  <c:v>4</c:v>
                </c:pt>
                <c:pt idx="479">
                  <c:v>5</c:v>
                </c:pt>
                <c:pt idx="480">
                  <c:v>6</c:v>
                </c:pt>
                <c:pt idx="481">
                  <c:v>4</c:v>
                </c:pt>
                <c:pt idx="482">
                  <c:v>4</c:v>
                </c:pt>
                <c:pt idx="483">
                  <c:v>5</c:v>
                </c:pt>
                <c:pt idx="484">
                  <c:v>6</c:v>
                </c:pt>
                <c:pt idx="485">
                  <c:v>7</c:v>
                </c:pt>
                <c:pt idx="486">
                  <c:v>8</c:v>
                </c:pt>
                <c:pt idx="487">
                  <c:v>7</c:v>
                </c:pt>
                <c:pt idx="488">
                  <c:v>10</c:v>
                </c:pt>
                <c:pt idx="489">
                  <c:v>11</c:v>
                </c:pt>
                <c:pt idx="490">
                  <c:v>5</c:v>
                </c:pt>
                <c:pt idx="491">
                  <c:v>5</c:v>
                </c:pt>
                <c:pt idx="492">
                  <c:v>4</c:v>
                </c:pt>
                <c:pt idx="493">
                  <c:v>5</c:v>
                </c:pt>
                <c:pt idx="494">
                  <c:v>6</c:v>
                </c:pt>
                <c:pt idx="495">
                  <c:v>7</c:v>
                </c:pt>
                <c:pt idx="496">
                  <c:v>4</c:v>
                </c:pt>
                <c:pt idx="497">
                  <c:v>5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3</c:v>
                </c:pt>
                <c:pt idx="503">
                  <c:v>4</c:v>
                </c:pt>
                <c:pt idx="504">
                  <c:v>5</c:v>
                </c:pt>
                <c:pt idx="505">
                  <c:v>6</c:v>
                </c:pt>
                <c:pt idx="506">
                  <c:v>7</c:v>
                </c:pt>
                <c:pt idx="507">
                  <c:v>8</c:v>
                </c:pt>
                <c:pt idx="508">
                  <c:v>4</c:v>
                </c:pt>
                <c:pt idx="509">
                  <c:v>5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4</c:v>
                </c:pt>
                <c:pt idx="514">
                  <c:v>5</c:v>
                </c:pt>
                <c:pt idx="515">
                  <c:v>6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6</c:v>
                </c:pt>
                <c:pt idx="523">
                  <c:v>7</c:v>
                </c:pt>
                <c:pt idx="524">
                  <c:v>8</c:v>
                </c:pt>
                <c:pt idx="525">
                  <c:v>5</c:v>
                </c:pt>
                <c:pt idx="526">
                  <c:v>6</c:v>
                </c:pt>
                <c:pt idx="527">
                  <c:v>6</c:v>
                </c:pt>
                <c:pt idx="528">
                  <c:v>7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8</c:v>
                </c:pt>
                <c:pt idx="533">
                  <c:v>2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2</c:v>
                </c:pt>
                <c:pt idx="539">
                  <c:v>3</c:v>
                </c:pt>
                <c:pt idx="540">
                  <c:v>3</c:v>
                </c:pt>
                <c:pt idx="541">
                  <c:v>4</c:v>
                </c:pt>
                <c:pt idx="542">
                  <c:v>2</c:v>
                </c:pt>
                <c:pt idx="543">
                  <c:v>3</c:v>
                </c:pt>
                <c:pt idx="544">
                  <c:v>4</c:v>
                </c:pt>
                <c:pt idx="545">
                  <c:v>5</c:v>
                </c:pt>
                <c:pt idx="546">
                  <c:v>5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3</c:v>
                </c:pt>
                <c:pt idx="551">
                  <c:v>2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4</c:v>
                </c:pt>
                <c:pt idx="557">
                  <c:v>5</c:v>
                </c:pt>
                <c:pt idx="558">
                  <c:v>3</c:v>
                </c:pt>
                <c:pt idx="559">
                  <c:v>4</c:v>
                </c:pt>
                <c:pt idx="560">
                  <c:v>2</c:v>
                </c:pt>
                <c:pt idx="561">
                  <c:v>3</c:v>
                </c:pt>
                <c:pt idx="562">
                  <c:v>4</c:v>
                </c:pt>
                <c:pt idx="563">
                  <c:v>2</c:v>
                </c:pt>
                <c:pt idx="564">
                  <c:v>2</c:v>
                </c:pt>
                <c:pt idx="565">
                  <c:v>3</c:v>
                </c:pt>
                <c:pt idx="566">
                  <c:v>4</c:v>
                </c:pt>
                <c:pt idx="567">
                  <c:v>2</c:v>
                </c:pt>
                <c:pt idx="568">
                  <c:v>3</c:v>
                </c:pt>
                <c:pt idx="569">
                  <c:v>3</c:v>
                </c:pt>
                <c:pt idx="570">
                  <c:v>2</c:v>
                </c:pt>
                <c:pt idx="571">
                  <c:v>2</c:v>
                </c:pt>
                <c:pt idx="572">
                  <c:v>3</c:v>
                </c:pt>
                <c:pt idx="573">
                  <c:v>4</c:v>
                </c:pt>
                <c:pt idx="574">
                  <c:v>5</c:v>
                </c:pt>
                <c:pt idx="575">
                  <c:v>5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2</c:v>
                </c:pt>
                <c:pt idx="583">
                  <c:v>3</c:v>
                </c:pt>
                <c:pt idx="584">
                  <c:v>2</c:v>
                </c:pt>
                <c:pt idx="58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B-49AB-B7B3-6AACB23A1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562600"/>
        <c:axId val="485562208"/>
      </c:barChart>
      <c:lineChart>
        <c:grouping val="standard"/>
        <c:varyColors val="0"/>
        <c:ser>
          <c:idx val="3"/>
          <c:order val="3"/>
          <c:tx>
            <c:strRef>
              <c:f>情绪数据!$T$1</c:f>
              <c:strCache>
                <c:ptCount val="1"/>
                <c:pt idx="0">
                  <c:v>当天两市次高连板板数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情绪数据!日期</c:f>
              <c:numCache>
                <c:formatCode>m/d/yyyy</c:formatCode>
                <c:ptCount val="586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  <c:pt idx="19">
                  <c:v>44190</c:v>
                </c:pt>
                <c:pt idx="20">
                  <c:v>44193</c:v>
                </c:pt>
                <c:pt idx="21">
                  <c:v>44194</c:v>
                </c:pt>
                <c:pt idx="22">
                  <c:v>44195</c:v>
                </c:pt>
                <c:pt idx="23">
                  <c:v>44196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44245</c:v>
                </c:pt>
                <c:pt idx="53">
                  <c:v>44246</c:v>
                </c:pt>
                <c:pt idx="54">
                  <c:v>44249</c:v>
                </c:pt>
                <c:pt idx="55">
                  <c:v>44250</c:v>
                </c:pt>
                <c:pt idx="56">
                  <c:v>44251</c:v>
                </c:pt>
                <c:pt idx="57">
                  <c:v>44252</c:v>
                </c:pt>
                <c:pt idx="58">
                  <c:v>44253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44263</c:v>
                </c:pt>
                <c:pt idx="65">
                  <c:v>44264</c:v>
                </c:pt>
                <c:pt idx="66">
                  <c:v>44265</c:v>
                </c:pt>
                <c:pt idx="67">
                  <c:v>44266</c:v>
                </c:pt>
                <c:pt idx="68">
                  <c:v>44267</c:v>
                </c:pt>
                <c:pt idx="69">
                  <c:v>44270</c:v>
                </c:pt>
                <c:pt idx="70">
                  <c:v>44271</c:v>
                </c:pt>
                <c:pt idx="71">
                  <c:v>44272</c:v>
                </c:pt>
                <c:pt idx="72">
                  <c:v>44273</c:v>
                </c:pt>
                <c:pt idx="73">
                  <c:v>44274</c:v>
                </c:pt>
                <c:pt idx="74">
                  <c:v>44277</c:v>
                </c:pt>
                <c:pt idx="75">
                  <c:v>44278</c:v>
                </c:pt>
                <c:pt idx="76">
                  <c:v>44279</c:v>
                </c:pt>
                <c:pt idx="77">
                  <c:v>44280</c:v>
                </c:pt>
                <c:pt idx="78">
                  <c:v>44281</c:v>
                </c:pt>
                <c:pt idx="79">
                  <c:v>44284</c:v>
                </c:pt>
                <c:pt idx="80">
                  <c:v>44285</c:v>
                </c:pt>
                <c:pt idx="81">
                  <c:v>44286</c:v>
                </c:pt>
                <c:pt idx="82">
                  <c:v>44287</c:v>
                </c:pt>
                <c:pt idx="83">
                  <c:v>44288</c:v>
                </c:pt>
                <c:pt idx="84">
                  <c:v>44292</c:v>
                </c:pt>
                <c:pt idx="85">
                  <c:v>44293</c:v>
                </c:pt>
                <c:pt idx="86">
                  <c:v>44294</c:v>
                </c:pt>
                <c:pt idx="87">
                  <c:v>44295</c:v>
                </c:pt>
                <c:pt idx="88">
                  <c:v>44298</c:v>
                </c:pt>
                <c:pt idx="89">
                  <c:v>44299</c:v>
                </c:pt>
                <c:pt idx="90">
                  <c:v>44300</c:v>
                </c:pt>
                <c:pt idx="91">
                  <c:v>44301</c:v>
                </c:pt>
                <c:pt idx="92">
                  <c:v>44302</c:v>
                </c:pt>
                <c:pt idx="93">
                  <c:v>44305</c:v>
                </c:pt>
                <c:pt idx="94">
                  <c:v>44306</c:v>
                </c:pt>
                <c:pt idx="95">
                  <c:v>44307</c:v>
                </c:pt>
                <c:pt idx="96">
                  <c:v>44308</c:v>
                </c:pt>
                <c:pt idx="97">
                  <c:v>44309</c:v>
                </c:pt>
                <c:pt idx="98">
                  <c:v>44312</c:v>
                </c:pt>
                <c:pt idx="99">
                  <c:v>44313</c:v>
                </c:pt>
                <c:pt idx="100">
                  <c:v>44314</c:v>
                </c:pt>
                <c:pt idx="101">
                  <c:v>44315</c:v>
                </c:pt>
                <c:pt idx="102">
                  <c:v>44316</c:v>
                </c:pt>
                <c:pt idx="103">
                  <c:v>44322</c:v>
                </c:pt>
                <c:pt idx="104">
                  <c:v>44323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44333</c:v>
                </c:pt>
                <c:pt idx="110">
                  <c:v>44334</c:v>
                </c:pt>
                <c:pt idx="111">
                  <c:v>44335</c:v>
                </c:pt>
                <c:pt idx="112">
                  <c:v>44336</c:v>
                </c:pt>
                <c:pt idx="113">
                  <c:v>44337</c:v>
                </c:pt>
                <c:pt idx="114">
                  <c:v>44340</c:v>
                </c:pt>
                <c:pt idx="115">
                  <c:v>44341</c:v>
                </c:pt>
                <c:pt idx="116">
                  <c:v>44342</c:v>
                </c:pt>
                <c:pt idx="117">
                  <c:v>44343</c:v>
                </c:pt>
                <c:pt idx="118">
                  <c:v>44344</c:v>
                </c:pt>
                <c:pt idx="119">
                  <c:v>44347</c:v>
                </c:pt>
                <c:pt idx="120">
                  <c:v>44348</c:v>
                </c:pt>
                <c:pt idx="121">
                  <c:v>44349</c:v>
                </c:pt>
                <c:pt idx="122">
                  <c:v>44350</c:v>
                </c:pt>
                <c:pt idx="123">
                  <c:v>44351</c:v>
                </c:pt>
                <c:pt idx="124">
                  <c:v>44354</c:v>
                </c:pt>
                <c:pt idx="125">
                  <c:v>44355</c:v>
                </c:pt>
                <c:pt idx="126">
                  <c:v>44356</c:v>
                </c:pt>
                <c:pt idx="127">
                  <c:v>44357</c:v>
                </c:pt>
                <c:pt idx="128">
                  <c:v>44358</c:v>
                </c:pt>
                <c:pt idx="129">
                  <c:v>44362</c:v>
                </c:pt>
                <c:pt idx="130">
                  <c:v>44363</c:v>
                </c:pt>
                <c:pt idx="131">
                  <c:v>44364</c:v>
                </c:pt>
                <c:pt idx="132">
                  <c:v>44365</c:v>
                </c:pt>
                <c:pt idx="133">
                  <c:v>44368</c:v>
                </c:pt>
                <c:pt idx="134">
                  <c:v>44369</c:v>
                </c:pt>
                <c:pt idx="135">
                  <c:v>44370</c:v>
                </c:pt>
                <c:pt idx="136">
                  <c:v>44371</c:v>
                </c:pt>
                <c:pt idx="137">
                  <c:v>44372</c:v>
                </c:pt>
                <c:pt idx="138">
                  <c:v>44375</c:v>
                </c:pt>
                <c:pt idx="139">
                  <c:v>44376</c:v>
                </c:pt>
                <c:pt idx="140">
                  <c:v>44377</c:v>
                </c:pt>
                <c:pt idx="141">
                  <c:v>44378</c:v>
                </c:pt>
                <c:pt idx="142">
                  <c:v>44379</c:v>
                </c:pt>
                <c:pt idx="143">
                  <c:v>44382</c:v>
                </c:pt>
                <c:pt idx="144">
                  <c:v>44383</c:v>
                </c:pt>
                <c:pt idx="145">
                  <c:v>44384</c:v>
                </c:pt>
                <c:pt idx="146">
                  <c:v>44385</c:v>
                </c:pt>
                <c:pt idx="147">
                  <c:v>44386</c:v>
                </c:pt>
                <c:pt idx="148">
                  <c:v>44389</c:v>
                </c:pt>
                <c:pt idx="149">
                  <c:v>44390</c:v>
                </c:pt>
                <c:pt idx="150">
                  <c:v>44391</c:v>
                </c:pt>
                <c:pt idx="151">
                  <c:v>44392</c:v>
                </c:pt>
                <c:pt idx="152">
                  <c:v>44393</c:v>
                </c:pt>
                <c:pt idx="153">
                  <c:v>44396</c:v>
                </c:pt>
                <c:pt idx="154">
                  <c:v>44397</c:v>
                </c:pt>
                <c:pt idx="155">
                  <c:v>44398</c:v>
                </c:pt>
                <c:pt idx="156">
                  <c:v>44399</c:v>
                </c:pt>
                <c:pt idx="157">
                  <c:v>44400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44410</c:v>
                </c:pt>
                <c:pt idx="164">
                  <c:v>44411</c:v>
                </c:pt>
                <c:pt idx="165">
                  <c:v>44412</c:v>
                </c:pt>
                <c:pt idx="166">
                  <c:v>44413</c:v>
                </c:pt>
                <c:pt idx="167">
                  <c:v>44414</c:v>
                </c:pt>
                <c:pt idx="168">
                  <c:v>44417</c:v>
                </c:pt>
                <c:pt idx="169">
                  <c:v>44418</c:v>
                </c:pt>
                <c:pt idx="170">
                  <c:v>44419</c:v>
                </c:pt>
                <c:pt idx="171">
                  <c:v>44420</c:v>
                </c:pt>
                <c:pt idx="172">
                  <c:v>44423</c:v>
                </c:pt>
                <c:pt idx="173">
                  <c:v>44424</c:v>
                </c:pt>
                <c:pt idx="174">
                  <c:v>44425</c:v>
                </c:pt>
                <c:pt idx="175">
                  <c:v>44426</c:v>
                </c:pt>
                <c:pt idx="176">
                  <c:v>44427</c:v>
                </c:pt>
                <c:pt idx="177">
                  <c:v>44428</c:v>
                </c:pt>
                <c:pt idx="178">
                  <c:v>44431</c:v>
                </c:pt>
                <c:pt idx="179">
                  <c:v>44432</c:v>
                </c:pt>
                <c:pt idx="180">
                  <c:v>44433</c:v>
                </c:pt>
                <c:pt idx="181">
                  <c:v>44434</c:v>
                </c:pt>
                <c:pt idx="182">
                  <c:v>44435</c:v>
                </c:pt>
                <c:pt idx="183">
                  <c:v>44438</c:v>
                </c:pt>
                <c:pt idx="184">
                  <c:v>44439</c:v>
                </c:pt>
                <c:pt idx="185">
                  <c:v>44440</c:v>
                </c:pt>
                <c:pt idx="186">
                  <c:v>44441</c:v>
                </c:pt>
                <c:pt idx="187">
                  <c:v>44442</c:v>
                </c:pt>
                <c:pt idx="188">
                  <c:v>44445</c:v>
                </c:pt>
                <c:pt idx="189">
                  <c:v>44446</c:v>
                </c:pt>
                <c:pt idx="190">
                  <c:v>44447</c:v>
                </c:pt>
                <c:pt idx="191">
                  <c:v>44448</c:v>
                </c:pt>
                <c:pt idx="192">
                  <c:v>44449</c:v>
                </c:pt>
                <c:pt idx="193">
                  <c:v>44452</c:v>
                </c:pt>
                <c:pt idx="194">
                  <c:v>44453</c:v>
                </c:pt>
                <c:pt idx="195">
                  <c:v>44454</c:v>
                </c:pt>
                <c:pt idx="196">
                  <c:v>44455</c:v>
                </c:pt>
                <c:pt idx="197">
                  <c:v>44456</c:v>
                </c:pt>
                <c:pt idx="198">
                  <c:v>44461</c:v>
                </c:pt>
                <c:pt idx="199">
                  <c:v>44462</c:v>
                </c:pt>
                <c:pt idx="200">
                  <c:v>44463</c:v>
                </c:pt>
                <c:pt idx="201">
                  <c:v>44466</c:v>
                </c:pt>
                <c:pt idx="202">
                  <c:v>44467</c:v>
                </c:pt>
                <c:pt idx="203">
                  <c:v>44468</c:v>
                </c:pt>
                <c:pt idx="204">
                  <c:v>44469</c:v>
                </c:pt>
                <c:pt idx="205">
                  <c:v>44477</c:v>
                </c:pt>
                <c:pt idx="206">
                  <c:v>44480</c:v>
                </c:pt>
                <c:pt idx="207">
                  <c:v>44481</c:v>
                </c:pt>
                <c:pt idx="208">
                  <c:v>44482</c:v>
                </c:pt>
                <c:pt idx="209">
                  <c:v>44483</c:v>
                </c:pt>
                <c:pt idx="210">
                  <c:v>44484</c:v>
                </c:pt>
                <c:pt idx="211">
                  <c:v>44487</c:v>
                </c:pt>
                <c:pt idx="212">
                  <c:v>44488</c:v>
                </c:pt>
                <c:pt idx="213">
                  <c:v>44489</c:v>
                </c:pt>
                <c:pt idx="214">
                  <c:v>44490</c:v>
                </c:pt>
                <c:pt idx="215">
                  <c:v>44491</c:v>
                </c:pt>
                <c:pt idx="216">
                  <c:v>44494</c:v>
                </c:pt>
                <c:pt idx="217">
                  <c:v>44495</c:v>
                </c:pt>
                <c:pt idx="218">
                  <c:v>44496</c:v>
                </c:pt>
                <c:pt idx="219">
                  <c:v>44497</c:v>
                </c:pt>
                <c:pt idx="220">
                  <c:v>44498</c:v>
                </c:pt>
                <c:pt idx="221">
                  <c:v>44501</c:v>
                </c:pt>
                <c:pt idx="222">
                  <c:v>44502</c:v>
                </c:pt>
                <c:pt idx="223">
                  <c:v>44503</c:v>
                </c:pt>
                <c:pt idx="224">
                  <c:v>44504</c:v>
                </c:pt>
                <c:pt idx="225">
                  <c:v>44505</c:v>
                </c:pt>
                <c:pt idx="226">
                  <c:v>44508</c:v>
                </c:pt>
                <c:pt idx="227">
                  <c:v>44509</c:v>
                </c:pt>
                <c:pt idx="228">
                  <c:v>44510</c:v>
                </c:pt>
                <c:pt idx="229">
                  <c:v>44511</c:v>
                </c:pt>
                <c:pt idx="230">
                  <c:v>44512</c:v>
                </c:pt>
                <c:pt idx="231">
                  <c:v>44515</c:v>
                </c:pt>
                <c:pt idx="232">
                  <c:v>44516</c:v>
                </c:pt>
                <c:pt idx="233">
                  <c:v>44517</c:v>
                </c:pt>
                <c:pt idx="234">
                  <c:v>44518</c:v>
                </c:pt>
                <c:pt idx="235">
                  <c:v>44519</c:v>
                </c:pt>
                <c:pt idx="236">
                  <c:v>44522</c:v>
                </c:pt>
                <c:pt idx="237">
                  <c:v>44523</c:v>
                </c:pt>
                <c:pt idx="238">
                  <c:v>44524</c:v>
                </c:pt>
                <c:pt idx="239">
                  <c:v>44525</c:v>
                </c:pt>
                <c:pt idx="240">
                  <c:v>44526</c:v>
                </c:pt>
                <c:pt idx="241">
                  <c:v>44529</c:v>
                </c:pt>
                <c:pt idx="242">
                  <c:v>44530</c:v>
                </c:pt>
                <c:pt idx="243">
                  <c:v>44531</c:v>
                </c:pt>
                <c:pt idx="244">
                  <c:v>44532</c:v>
                </c:pt>
                <c:pt idx="245">
                  <c:v>44533</c:v>
                </c:pt>
                <c:pt idx="246">
                  <c:v>44536</c:v>
                </c:pt>
                <c:pt idx="247">
                  <c:v>44537</c:v>
                </c:pt>
                <c:pt idx="248">
                  <c:v>44538</c:v>
                </c:pt>
                <c:pt idx="249">
                  <c:v>44539</c:v>
                </c:pt>
                <c:pt idx="250">
                  <c:v>44540</c:v>
                </c:pt>
                <c:pt idx="251">
                  <c:v>44543</c:v>
                </c:pt>
                <c:pt idx="252">
                  <c:v>44544</c:v>
                </c:pt>
                <c:pt idx="253">
                  <c:v>44545</c:v>
                </c:pt>
                <c:pt idx="254">
                  <c:v>44546</c:v>
                </c:pt>
                <c:pt idx="255">
                  <c:v>44547</c:v>
                </c:pt>
                <c:pt idx="256">
                  <c:v>44550</c:v>
                </c:pt>
                <c:pt idx="257">
                  <c:v>44551</c:v>
                </c:pt>
                <c:pt idx="258">
                  <c:v>44552</c:v>
                </c:pt>
                <c:pt idx="259">
                  <c:v>44553</c:v>
                </c:pt>
                <c:pt idx="260">
                  <c:v>44554</c:v>
                </c:pt>
                <c:pt idx="261">
                  <c:v>44557</c:v>
                </c:pt>
                <c:pt idx="262">
                  <c:v>44558</c:v>
                </c:pt>
                <c:pt idx="263">
                  <c:v>44559</c:v>
                </c:pt>
                <c:pt idx="264">
                  <c:v>44560</c:v>
                </c:pt>
                <c:pt idx="265">
                  <c:v>44561</c:v>
                </c:pt>
                <c:pt idx="266">
                  <c:v>44565</c:v>
                </c:pt>
                <c:pt idx="267">
                  <c:v>44566</c:v>
                </c:pt>
                <c:pt idx="268">
                  <c:v>44567</c:v>
                </c:pt>
                <c:pt idx="269">
                  <c:v>44568</c:v>
                </c:pt>
                <c:pt idx="270">
                  <c:v>44571</c:v>
                </c:pt>
                <c:pt idx="271">
                  <c:v>44572</c:v>
                </c:pt>
                <c:pt idx="272">
                  <c:v>44573</c:v>
                </c:pt>
                <c:pt idx="273">
                  <c:v>44574</c:v>
                </c:pt>
                <c:pt idx="274">
                  <c:v>44575</c:v>
                </c:pt>
                <c:pt idx="275">
                  <c:v>44578</c:v>
                </c:pt>
                <c:pt idx="276">
                  <c:v>44579</c:v>
                </c:pt>
                <c:pt idx="277">
                  <c:v>44580</c:v>
                </c:pt>
                <c:pt idx="278">
                  <c:v>44581</c:v>
                </c:pt>
                <c:pt idx="279">
                  <c:v>44582</c:v>
                </c:pt>
                <c:pt idx="280">
                  <c:v>44585</c:v>
                </c:pt>
                <c:pt idx="281">
                  <c:v>44586</c:v>
                </c:pt>
                <c:pt idx="282">
                  <c:v>44587</c:v>
                </c:pt>
                <c:pt idx="283">
                  <c:v>44588</c:v>
                </c:pt>
                <c:pt idx="284">
                  <c:v>44589</c:v>
                </c:pt>
                <c:pt idx="285">
                  <c:v>44599</c:v>
                </c:pt>
                <c:pt idx="286">
                  <c:v>44600</c:v>
                </c:pt>
                <c:pt idx="287">
                  <c:v>44601</c:v>
                </c:pt>
                <c:pt idx="288">
                  <c:v>44602</c:v>
                </c:pt>
                <c:pt idx="289">
                  <c:v>44603</c:v>
                </c:pt>
                <c:pt idx="290">
                  <c:v>44606</c:v>
                </c:pt>
                <c:pt idx="291">
                  <c:v>44607</c:v>
                </c:pt>
                <c:pt idx="292">
                  <c:v>44608</c:v>
                </c:pt>
                <c:pt idx="293">
                  <c:v>44609</c:v>
                </c:pt>
                <c:pt idx="294">
                  <c:v>44610</c:v>
                </c:pt>
                <c:pt idx="295">
                  <c:v>44613</c:v>
                </c:pt>
                <c:pt idx="296">
                  <c:v>44614</c:v>
                </c:pt>
                <c:pt idx="297">
                  <c:v>44615</c:v>
                </c:pt>
                <c:pt idx="298">
                  <c:v>44616</c:v>
                </c:pt>
                <c:pt idx="299">
                  <c:v>44617</c:v>
                </c:pt>
                <c:pt idx="300">
                  <c:v>44620</c:v>
                </c:pt>
                <c:pt idx="301">
                  <c:v>44621</c:v>
                </c:pt>
                <c:pt idx="302">
                  <c:v>44622</c:v>
                </c:pt>
                <c:pt idx="303">
                  <c:v>44623</c:v>
                </c:pt>
                <c:pt idx="304">
                  <c:v>44624</c:v>
                </c:pt>
                <c:pt idx="305">
                  <c:v>44627</c:v>
                </c:pt>
                <c:pt idx="306">
                  <c:v>44628</c:v>
                </c:pt>
                <c:pt idx="307">
                  <c:v>44629</c:v>
                </c:pt>
                <c:pt idx="308">
                  <c:v>44630</c:v>
                </c:pt>
                <c:pt idx="309">
                  <c:v>44631</c:v>
                </c:pt>
                <c:pt idx="310">
                  <c:v>44634</c:v>
                </c:pt>
                <c:pt idx="311">
                  <c:v>44635</c:v>
                </c:pt>
                <c:pt idx="312">
                  <c:v>44636</c:v>
                </c:pt>
                <c:pt idx="313">
                  <c:v>44637</c:v>
                </c:pt>
                <c:pt idx="314">
                  <c:v>44638</c:v>
                </c:pt>
                <c:pt idx="315">
                  <c:v>44641</c:v>
                </c:pt>
                <c:pt idx="316">
                  <c:v>44642</c:v>
                </c:pt>
                <c:pt idx="317">
                  <c:v>44643</c:v>
                </c:pt>
                <c:pt idx="318">
                  <c:v>44644</c:v>
                </c:pt>
                <c:pt idx="319">
                  <c:v>44645</c:v>
                </c:pt>
                <c:pt idx="320">
                  <c:v>44648</c:v>
                </c:pt>
                <c:pt idx="321">
                  <c:v>44649</c:v>
                </c:pt>
                <c:pt idx="322">
                  <c:v>44650</c:v>
                </c:pt>
                <c:pt idx="323">
                  <c:v>44651</c:v>
                </c:pt>
                <c:pt idx="324">
                  <c:v>44652</c:v>
                </c:pt>
                <c:pt idx="325">
                  <c:v>44657</c:v>
                </c:pt>
                <c:pt idx="326">
                  <c:v>44658</c:v>
                </c:pt>
                <c:pt idx="327">
                  <c:v>44659</c:v>
                </c:pt>
                <c:pt idx="328">
                  <c:v>44662</c:v>
                </c:pt>
                <c:pt idx="329">
                  <c:v>44663</c:v>
                </c:pt>
                <c:pt idx="330">
                  <c:v>44664</c:v>
                </c:pt>
                <c:pt idx="331">
                  <c:v>44665</c:v>
                </c:pt>
                <c:pt idx="332">
                  <c:v>44666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44686</c:v>
                </c:pt>
                <c:pt idx="344">
                  <c:v>44687</c:v>
                </c:pt>
                <c:pt idx="345">
                  <c:v>44690</c:v>
                </c:pt>
                <c:pt idx="346">
                  <c:v>44691</c:v>
                </c:pt>
                <c:pt idx="347">
                  <c:v>44692</c:v>
                </c:pt>
                <c:pt idx="348">
                  <c:v>44693</c:v>
                </c:pt>
                <c:pt idx="349">
                  <c:v>44694</c:v>
                </c:pt>
                <c:pt idx="350">
                  <c:v>44697</c:v>
                </c:pt>
                <c:pt idx="351">
                  <c:v>44698</c:v>
                </c:pt>
                <c:pt idx="352">
                  <c:v>44699</c:v>
                </c:pt>
                <c:pt idx="353">
                  <c:v>44700</c:v>
                </c:pt>
                <c:pt idx="354">
                  <c:v>44701</c:v>
                </c:pt>
                <c:pt idx="355">
                  <c:v>44704</c:v>
                </c:pt>
                <c:pt idx="356">
                  <c:v>44705</c:v>
                </c:pt>
                <c:pt idx="357">
                  <c:v>44706</c:v>
                </c:pt>
                <c:pt idx="358">
                  <c:v>44707</c:v>
                </c:pt>
                <c:pt idx="359">
                  <c:v>44708</c:v>
                </c:pt>
                <c:pt idx="360">
                  <c:v>44711</c:v>
                </c:pt>
                <c:pt idx="361">
                  <c:v>44712</c:v>
                </c:pt>
                <c:pt idx="362">
                  <c:v>44713</c:v>
                </c:pt>
                <c:pt idx="363">
                  <c:v>44714</c:v>
                </c:pt>
                <c:pt idx="364">
                  <c:v>44718</c:v>
                </c:pt>
                <c:pt idx="365">
                  <c:v>44719</c:v>
                </c:pt>
                <c:pt idx="366">
                  <c:v>44720</c:v>
                </c:pt>
                <c:pt idx="367">
                  <c:v>44721</c:v>
                </c:pt>
                <c:pt idx="368">
                  <c:v>44722</c:v>
                </c:pt>
                <c:pt idx="369">
                  <c:v>44725</c:v>
                </c:pt>
                <c:pt idx="370">
                  <c:v>44726</c:v>
                </c:pt>
                <c:pt idx="371">
                  <c:v>44727</c:v>
                </c:pt>
                <c:pt idx="372">
                  <c:v>44728</c:v>
                </c:pt>
                <c:pt idx="373">
                  <c:v>44729</c:v>
                </c:pt>
                <c:pt idx="374">
                  <c:v>44732</c:v>
                </c:pt>
                <c:pt idx="375">
                  <c:v>44733</c:v>
                </c:pt>
                <c:pt idx="376">
                  <c:v>44734</c:v>
                </c:pt>
                <c:pt idx="377">
                  <c:v>44735</c:v>
                </c:pt>
                <c:pt idx="378">
                  <c:v>44736</c:v>
                </c:pt>
                <c:pt idx="379">
                  <c:v>44739</c:v>
                </c:pt>
                <c:pt idx="380">
                  <c:v>44740</c:v>
                </c:pt>
                <c:pt idx="381">
                  <c:v>44741</c:v>
                </c:pt>
                <c:pt idx="382">
                  <c:v>44742</c:v>
                </c:pt>
                <c:pt idx="383">
                  <c:v>44743</c:v>
                </c:pt>
                <c:pt idx="384">
                  <c:v>44746</c:v>
                </c:pt>
                <c:pt idx="385">
                  <c:v>44747</c:v>
                </c:pt>
                <c:pt idx="386">
                  <c:v>44748</c:v>
                </c:pt>
                <c:pt idx="387">
                  <c:v>44749</c:v>
                </c:pt>
                <c:pt idx="388">
                  <c:v>44750</c:v>
                </c:pt>
                <c:pt idx="389">
                  <c:v>44753</c:v>
                </c:pt>
                <c:pt idx="390">
                  <c:v>44754</c:v>
                </c:pt>
                <c:pt idx="391">
                  <c:v>44755</c:v>
                </c:pt>
                <c:pt idx="392">
                  <c:v>44756</c:v>
                </c:pt>
                <c:pt idx="393">
                  <c:v>44757</c:v>
                </c:pt>
                <c:pt idx="394">
                  <c:v>44760</c:v>
                </c:pt>
                <c:pt idx="395">
                  <c:v>44761</c:v>
                </c:pt>
                <c:pt idx="396">
                  <c:v>44762</c:v>
                </c:pt>
                <c:pt idx="397">
                  <c:v>44763</c:v>
                </c:pt>
                <c:pt idx="398">
                  <c:v>44764</c:v>
                </c:pt>
                <c:pt idx="399">
                  <c:v>44767</c:v>
                </c:pt>
                <c:pt idx="400">
                  <c:v>44768</c:v>
                </c:pt>
                <c:pt idx="401">
                  <c:v>44769</c:v>
                </c:pt>
                <c:pt idx="402">
                  <c:v>44770</c:v>
                </c:pt>
                <c:pt idx="403">
                  <c:v>44771</c:v>
                </c:pt>
                <c:pt idx="404">
                  <c:v>44774</c:v>
                </c:pt>
                <c:pt idx="405">
                  <c:v>44775</c:v>
                </c:pt>
                <c:pt idx="406">
                  <c:v>44776</c:v>
                </c:pt>
                <c:pt idx="407">
                  <c:v>44777</c:v>
                </c:pt>
                <c:pt idx="408">
                  <c:v>44778</c:v>
                </c:pt>
                <c:pt idx="409">
                  <c:v>44781</c:v>
                </c:pt>
                <c:pt idx="410">
                  <c:v>44782</c:v>
                </c:pt>
                <c:pt idx="411">
                  <c:v>44783</c:v>
                </c:pt>
                <c:pt idx="412">
                  <c:v>44784</c:v>
                </c:pt>
                <c:pt idx="413">
                  <c:v>44785</c:v>
                </c:pt>
                <c:pt idx="414">
                  <c:v>44788</c:v>
                </c:pt>
                <c:pt idx="415">
                  <c:v>44789</c:v>
                </c:pt>
                <c:pt idx="416">
                  <c:v>44790</c:v>
                </c:pt>
                <c:pt idx="417">
                  <c:v>44791</c:v>
                </c:pt>
                <c:pt idx="418">
                  <c:v>44792</c:v>
                </c:pt>
                <c:pt idx="419">
                  <c:v>44795</c:v>
                </c:pt>
                <c:pt idx="420">
                  <c:v>44796</c:v>
                </c:pt>
                <c:pt idx="421">
                  <c:v>44797</c:v>
                </c:pt>
                <c:pt idx="422">
                  <c:v>44798</c:v>
                </c:pt>
                <c:pt idx="423">
                  <c:v>44799</c:v>
                </c:pt>
                <c:pt idx="424">
                  <c:v>44802</c:v>
                </c:pt>
                <c:pt idx="425">
                  <c:v>44803</c:v>
                </c:pt>
                <c:pt idx="426">
                  <c:v>44804</c:v>
                </c:pt>
                <c:pt idx="427">
                  <c:v>44805</c:v>
                </c:pt>
                <c:pt idx="428">
                  <c:v>44806</c:v>
                </c:pt>
                <c:pt idx="429">
                  <c:v>44809</c:v>
                </c:pt>
                <c:pt idx="430">
                  <c:v>44810</c:v>
                </c:pt>
                <c:pt idx="431">
                  <c:v>44811</c:v>
                </c:pt>
                <c:pt idx="432">
                  <c:v>44812</c:v>
                </c:pt>
                <c:pt idx="433">
                  <c:v>44813</c:v>
                </c:pt>
                <c:pt idx="434">
                  <c:v>44817</c:v>
                </c:pt>
                <c:pt idx="435">
                  <c:v>44818</c:v>
                </c:pt>
                <c:pt idx="436">
                  <c:v>44819</c:v>
                </c:pt>
                <c:pt idx="437">
                  <c:v>44820</c:v>
                </c:pt>
                <c:pt idx="438">
                  <c:v>44823</c:v>
                </c:pt>
                <c:pt idx="439">
                  <c:v>44824</c:v>
                </c:pt>
                <c:pt idx="440">
                  <c:v>44825</c:v>
                </c:pt>
                <c:pt idx="441">
                  <c:v>44826</c:v>
                </c:pt>
                <c:pt idx="442">
                  <c:v>44827</c:v>
                </c:pt>
                <c:pt idx="443">
                  <c:v>44830</c:v>
                </c:pt>
                <c:pt idx="444">
                  <c:v>44831</c:v>
                </c:pt>
                <c:pt idx="445">
                  <c:v>44832</c:v>
                </c:pt>
                <c:pt idx="446">
                  <c:v>44833</c:v>
                </c:pt>
                <c:pt idx="447">
                  <c:v>44834</c:v>
                </c:pt>
                <c:pt idx="448">
                  <c:v>44844</c:v>
                </c:pt>
                <c:pt idx="449">
                  <c:v>44845</c:v>
                </c:pt>
                <c:pt idx="450">
                  <c:v>44846</c:v>
                </c:pt>
                <c:pt idx="451">
                  <c:v>44847</c:v>
                </c:pt>
                <c:pt idx="452">
                  <c:v>44848</c:v>
                </c:pt>
                <c:pt idx="453">
                  <c:v>44851</c:v>
                </c:pt>
                <c:pt idx="454">
                  <c:v>44852</c:v>
                </c:pt>
                <c:pt idx="455">
                  <c:v>44853</c:v>
                </c:pt>
                <c:pt idx="456">
                  <c:v>44854</c:v>
                </c:pt>
                <c:pt idx="457">
                  <c:v>44855</c:v>
                </c:pt>
                <c:pt idx="458">
                  <c:v>44858</c:v>
                </c:pt>
                <c:pt idx="459">
                  <c:v>44859</c:v>
                </c:pt>
                <c:pt idx="460">
                  <c:v>44860</c:v>
                </c:pt>
                <c:pt idx="461">
                  <c:v>44861</c:v>
                </c:pt>
                <c:pt idx="462">
                  <c:v>44862</c:v>
                </c:pt>
                <c:pt idx="463">
                  <c:v>44865</c:v>
                </c:pt>
                <c:pt idx="464">
                  <c:v>44866</c:v>
                </c:pt>
                <c:pt idx="465">
                  <c:v>44867</c:v>
                </c:pt>
                <c:pt idx="466">
                  <c:v>44868</c:v>
                </c:pt>
                <c:pt idx="467">
                  <c:v>44869</c:v>
                </c:pt>
                <c:pt idx="468">
                  <c:v>44872</c:v>
                </c:pt>
                <c:pt idx="469">
                  <c:v>44873</c:v>
                </c:pt>
                <c:pt idx="470">
                  <c:v>44874</c:v>
                </c:pt>
                <c:pt idx="471">
                  <c:v>44875</c:v>
                </c:pt>
                <c:pt idx="472">
                  <c:v>44876</c:v>
                </c:pt>
                <c:pt idx="473">
                  <c:v>44879</c:v>
                </c:pt>
                <c:pt idx="474">
                  <c:v>44880</c:v>
                </c:pt>
                <c:pt idx="475">
                  <c:v>44881</c:v>
                </c:pt>
                <c:pt idx="476">
                  <c:v>44882</c:v>
                </c:pt>
                <c:pt idx="477">
                  <c:v>44883</c:v>
                </c:pt>
                <c:pt idx="478">
                  <c:v>44886</c:v>
                </c:pt>
                <c:pt idx="479">
                  <c:v>44887</c:v>
                </c:pt>
                <c:pt idx="480">
                  <c:v>44888</c:v>
                </c:pt>
                <c:pt idx="481">
                  <c:v>44889</c:v>
                </c:pt>
                <c:pt idx="482">
                  <c:v>44890</c:v>
                </c:pt>
                <c:pt idx="483">
                  <c:v>44893</c:v>
                </c:pt>
                <c:pt idx="484">
                  <c:v>44894</c:v>
                </c:pt>
                <c:pt idx="485">
                  <c:v>44895</c:v>
                </c:pt>
                <c:pt idx="486">
                  <c:v>44896</c:v>
                </c:pt>
                <c:pt idx="487">
                  <c:v>44897</c:v>
                </c:pt>
                <c:pt idx="488">
                  <c:v>44900</c:v>
                </c:pt>
                <c:pt idx="489">
                  <c:v>44901</c:v>
                </c:pt>
                <c:pt idx="490">
                  <c:v>44902</c:v>
                </c:pt>
                <c:pt idx="491">
                  <c:v>44903</c:v>
                </c:pt>
                <c:pt idx="492">
                  <c:v>44904</c:v>
                </c:pt>
                <c:pt idx="493">
                  <c:v>44907</c:v>
                </c:pt>
                <c:pt idx="494">
                  <c:v>44908</c:v>
                </c:pt>
                <c:pt idx="495">
                  <c:v>44909</c:v>
                </c:pt>
                <c:pt idx="496">
                  <c:v>44910</c:v>
                </c:pt>
                <c:pt idx="497">
                  <c:v>44911</c:v>
                </c:pt>
                <c:pt idx="498">
                  <c:v>44914</c:v>
                </c:pt>
                <c:pt idx="499">
                  <c:v>44915</c:v>
                </c:pt>
                <c:pt idx="500">
                  <c:v>44916</c:v>
                </c:pt>
                <c:pt idx="501">
                  <c:v>44917</c:v>
                </c:pt>
                <c:pt idx="502">
                  <c:v>44918</c:v>
                </c:pt>
                <c:pt idx="503">
                  <c:v>44921</c:v>
                </c:pt>
                <c:pt idx="504">
                  <c:v>44922</c:v>
                </c:pt>
                <c:pt idx="505">
                  <c:v>44923</c:v>
                </c:pt>
                <c:pt idx="506">
                  <c:v>44924</c:v>
                </c:pt>
                <c:pt idx="507">
                  <c:v>44925</c:v>
                </c:pt>
                <c:pt idx="508">
                  <c:v>44929</c:v>
                </c:pt>
                <c:pt idx="509">
                  <c:v>44930</c:v>
                </c:pt>
                <c:pt idx="510">
                  <c:v>44931</c:v>
                </c:pt>
                <c:pt idx="511">
                  <c:v>44932</c:v>
                </c:pt>
                <c:pt idx="512">
                  <c:v>44935</c:v>
                </c:pt>
                <c:pt idx="513">
                  <c:v>44936</c:v>
                </c:pt>
                <c:pt idx="514">
                  <c:v>44937</c:v>
                </c:pt>
                <c:pt idx="515">
                  <c:v>44938</c:v>
                </c:pt>
                <c:pt idx="516">
                  <c:v>44939</c:v>
                </c:pt>
                <c:pt idx="517">
                  <c:v>44942</c:v>
                </c:pt>
                <c:pt idx="518">
                  <c:v>44943</c:v>
                </c:pt>
                <c:pt idx="519">
                  <c:v>44944</c:v>
                </c:pt>
                <c:pt idx="520">
                  <c:v>44945</c:v>
                </c:pt>
                <c:pt idx="521">
                  <c:v>44946</c:v>
                </c:pt>
                <c:pt idx="522">
                  <c:v>44956</c:v>
                </c:pt>
                <c:pt idx="523">
                  <c:v>44957</c:v>
                </c:pt>
                <c:pt idx="524">
                  <c:v>44958</c:v>
                </c:pt>
                <c:pt idx="525">
                  <c:v>44959</c:v>
                </c:pt>
                <c:pt idx="526">
                  <c:v>44960</c:v>
                </c:pt>
                <c:pt idx="527">
                  <c:v>44963</c:v>
                </c:pt>
                <c:pt idx="528">
                  <c:v>44964</c:v>
                </c:pt>
                <c:pt idx="529">
                  <c:v>44965</c:v>
                </c:pt>
                <c:pt idx="530">
                  <c:v>44966</c:v>
                </c:pt>
                <c:pt idx="531">
                  <c:v>44967</c:v>
                </c:pt>
                <c:pt idx="532">
                  <c:v>44970</c:v>
                </c:pt>
                <c:pt idx="533">
                  <c:v>44971</c:v>
                </c:pt>
                <c:pt idx="534">
                  <c:v>44972</c:v>
                </c:pt>
                <c:pt idx="535">
                  <c:v>44973</c:v>
                </c:pt>
                <c:pt idx="536">
                  <c:v>44974</c:v>
                </c:pt>
                <c:pt idx="537">
                  <c:v>44977</c:v>
                </c:pt>
                <c:pt idx="538">
                  <c:v>44978</c:v>
                </c:pt>
                <c:pt idx="539">
                  <c:v>44979</c:v>
                </c:pt>
                <c:pt idx="540">
                  <c:v>44980</c:v>
                </c:pt>
                <c:pt idx="541">
                  <c:v>44981</c:v>
                </c:pt>
                <c:pt idx="542">
                  <c:v>44984</c:v>
                </c:pt>
                <c:pt idx="543">
                  <c:v>44985</c:v>
                </c:pt>
                <c:pt idx="544">
                  <c:v>44986</c:v>
                </c:pt>
                <c:pt idx="545">
                  <c:v>44987</c:v>
                </c:pt>
                <c:pt idx="546">
                  <c:v>44988</c:v>
                </c:pt>
                <c:pt idx="547">
                  <c:v>44991</c:v>
                </c:pt>
                <c:pt idx="548">
                  <c:v>44992</c:v>
                </c:pt>
                <c:pt idx="549">
                  <c:v>44993</c:v>
                </c:pt>
                <c:pt idx="550">
                  <c:v>44994</c:v>
                </c:pt>
                <c:pt idx="551">
                  <c:v>44995</c:v>
                </c:pt>
                <c:pt idx="552">
                  <c:v>44998</c:v>
                </c:pt>
                <c:pt idx="553">
                  <c:v>44999</c:v>
                </c:pt>
                <c:pt idx="554">
                  <c:v>45000</c:v>
                </c:pt>
                <c:pt idx="555">
                  <c:v>45001</c:v>
                </c:pt>
                <c:pt idx="556">
                  <c:v>45002</c:v>
                </c:pt>
                <c:pt idx="557">
                  <c:v>45005</c:v>
                </c:pt>
                <c:pt idx="558">
                  <c:v>45006</c:v>
                </c:pt>
                <c:pt idx="559">
                  <c:v>45007</c:v>
                </c:pt>
                <c:pt idx="560">
                  <c:v>45008</c:v>
                </c:pt>
                <c:pt idx="561">
                  <c:v>45009</c:v>
                </c:pt>
                <c:pt idx="562">
                  <c:v>45012</c:v>
                </c:pt>
                <c:pt idx="563">
                  <c:v>45013</c:v>
                </c:pt>
                <c:pt idx="564">
                  <c:v>45014</c:v>
                </c:pt>
                <c:pt idx="565">
                  <c:v>45015</c:v>
                </c:pt>
                <c:pt idx="566">
                  <c:v>45016</c:v>
                </c:pt>
                <c:pt idx="567">
                  <c:v>45019</c:v>
                </c:pt>
                <c:pt idx="568">
                  <c:v>45020</c:v>
                </c:pt>
                <c:pt idx="569">
                  <c:v>45022</c:v>
                </c:pt>
                <c:pt idx="570">
                  <c:v>45023</c:v>
                </c:pt>
                <c:pt idx="571">
                  <c:v>45026</c:v>
                </c:pt>
                <c:pt idx="572">
                  <c:v>45027</c:v>
                </c:pt>
                <c:pt idx="573">
                  <c:v>45028</c:v>
                </c:pt>
                <c:pt idx="574">
                  <c:v>45029</c:v>
                </c:pt>
                <c:pt idx="575">
                  <c:v>45030</c:v>
                </c:pt>
                <c:pt idx="576">
                  <c:v>45033</c:v>
                </c:pt>
                <c:pt idx="577">
                  <c:v>45034</c:v>
                </c:pt>
                <c:pt idx="578">
                  <c:v>45035</c:v>
                </c:pt>
                <c:pt idx="579">
                  <c:v>45036</c:v>
                </c:pt>
                <c:pt idx="580">
                  <c:v>45037</c:v>
                </c:pt>
                <c:pt idx="581">
                  <c:v>45040</c:v>
                </c:pt>
                <c:pt idx="582">
                  <c:v>45041</c:v>
                </c:pt>
                <c:pt idx="583">
                  <c:v>45042</c:v>
                </c:pt>
                <c:pt idx="584">
                  <c:v>45043</c:v>
                </c:pt>
                <c:pt idx="585">
                  <c:v>45044</c:v>
                </c:pt>
              </c:numCache>
            </c:numRef>
          </c:cat>
          <c:val>
            <c:numRef>
              <c:f>情绪数据!次高连板</c:f>
              <c:numCache>
                <c:formatCode>General</c:formatCode>
                <c:ptCount val="58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4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3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6</c:v>
                </c:pt>
                <c:pt idx="83">
                  <c:v>7</c:v>
                </c:pt>
                <c:pt idx="84">
                  <c:v>14</c:v>
                </c:pt>
                <c:pt idx="85">
                  <c:v>8</c:v>
                </c:pt>
                <c:pt idx="86">
                  <c:v>6</c:v>
                </c:pt>
                <c:pt idx="87">
                  <c:v>7</c:v>
                </c:pt>
                <c:pt idx="88">
                  <c:v>5</c:v>
                </c:pt>
                <c:pt idx="89">
                  <c:v>6</c:v>
                </c:pt>
                <c:pt idx="90">
                  <c:v>3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4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3</c:v>
                </c:pt>
                <c:pt idx="108">
                  <c:v>3</c:v>
                </c:pt>
                <c:pt idx="109">
                  <c:v>2</c:v>
                </c:pt>
                <c:pt idx="110">
                  <c:v>3</c:v>
                </c:pt>
                <c:pt idx="111">
                  <c:v>4</c:v>
                </c:pt>
                <c:pt idx="112">
                  <c:v>5</c:v>
                </c:pt>
                <c:pt idx="113">
                  <c:v>6</c:v>
                </c:pt>
                <c:pt idx="114">
                  <c:v>4</c:v>
                </c:pt>
                <c:pt idx="115">
                  <c:v>5</c:v>
                </c:pt>
                <c:pt idx="116">
                  <c:v>4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6</c:v>
                </c:pt>
                <c:pt idx="121">
                  <c:v>7</c:v>
                </c:pt>
                <c:pt idx="122">
                  <c:v>4</c:v>
                </c:pt>
                <c:pt idx="123">
                  <c:v>3</c:v>
                </c:pt>
                <c:pt idx="124">
                  <c:v>3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5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3</c:v>
                </c:pt>
                <c:pt idx="155">
                  <c:v>3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3</c:v>
                </c:pt>
                <c:pt idx="164">
                  <c:v>2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3</c:v>
                </c:pt>
                <c:pt idx="169">
                  <c:v>4</c:v>
                </c:pt>
                <c:pt idx="170">
                  <c:v>5</c:v>
                </c:pt>
                <c:pt idx="171">
                  <c:v>6</c:v>
                </c:pt>
                <c:pt idx="172">
                  <c:v>7</c:v>
                </c:pt>
                <c:pt idx="173">
                  <c:v>6</c:v>
                </c:pt>
                <c:pt idx="174">
                  <c:v>4</c:v>
                </c:pt>
                <c:pt idx="175">
                  <c:v>4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2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4</c:v>
                </c:pt>
                <c:pt idx="186">
                  <c:v>3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5</c:v>
                </c:pt>
                <c:pt idx="194">
                  <c:v>5</c:v>
                </c:pt>
                <c:pt idx="195">
                  <c:v>4</c:v>
                </c:pt>
                <c:pt idx="196">
                  <c:v>2</c:v>
                </c:pt>
                <c:pt idx="197">
                  <c:v>3</c:v>
                </c:pt>
                <c:pt idx="198">
                  <c:v>4</c:v>
                </c:pt>
                <c:pt idx="199">
                  <c:v>3</c:v>
                </c:pt>
                <c:pt idx="200">
                  <c:v>4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2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2</c:v>
                </c:pt>
                <c:pt idx="215">
                  <c:v>1</c:v>
                </c:pt>
                <c:pt idx="216">
                  <c:v>2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3</c:v>
                </c:pt>
                <c:pt idx="224">
                  <c:v>4</c:v>
                </c:pt>
                <c:pt idx="225">
                  <c:v>3</c:v>
                </c:pt>
                <c:pt idx="226">
                  <c:v>4</c:v>
                </c:pt>
                <c:pt idx="227">
                  <c:v>2</c:v>
                </c:pt>
                <c:pt idx="228">
                  <c:v>3</c:v>
                </c:pt>
                <c:pt idx="229">
                  <c:v>4</c:v>
                </c:pt>
                <c:pt idx="230">
                  <c:v>2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5</c:v>
                </c:pt>
                <c:pt idx="239">
                  <c:v>6</c:v>
                </c:pt>
                <c:pt idx="240">
                  <c:v>3</c:v>
                </c:pt>
                <c:pt idx="241">
                  <c:v>4</c:v>
                </c:pt>
                <c:pt idx="242">
                  <c:v>4</c:v>
                </c:pt>
                <c:pt idx="243">
                  <c:v>3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4</c:v>
                </c:pt>
                <c:pt idx="248">
                  <c:v>3</c:v>
                </c:pt>
                <c:pt idx="249">
                  <c:v>4</c:v>
                </c:pt>
                <c:pt idx="250">
                  <c:v>4</c:v>
                </c:pt>
                <c:pt idx="251">
                  <c:v>5</c:v>
                </c:pt>
                <c:pt idx="252">
                  <c:v>6</c:v>
                </c:pt>
                <c:pt idx="253">
                  <c:v>5</c:v>
                </c:pt>
                <c:pt idx="254">
                  <c:v>6</c:v>
                </c:pt>
                <c:pt idx="255">
                  <c:v>7</c:v>
                </c:pt>
                <c:pt idx="256">
                  <c:v>8</c:v>
                </c:pt>
                <c:pt idx="257">
                  <c:v>7</c:v>
                </c:pt>
                <c:pt idx="258">
                  <c:v>6</c:v>
                </c:pt>
                <c:pt idx="259">
                  <c:v>4</c:v>
                </c:pt>
                <c:pt idx="260">
                  <c:v>4</c:v>
                </c:pt>
                <c:pt idx="261">
                  <c:v>3</c:v>
                </c:pt>
                <c:pt idx="262">
                  <c:v>2</c:v>
                </c:pt>
                <c:pt idx="263">
                  <c:v>6</c:v>
                </c:pt>
                <c:pt idx="264">
                  <c:v>5</c:v>
                </c:pt>
                <c:pt idx="265">
                  <c:v>4</c:v>
                </c:pt>
                <c:pt idx="266">
                  <c:v>4</c:v>
                </c:pt>
                <c:pt idx="267">
                  <c:v>5</c:v>
                </c:pt>
                <c:pt idx="268">
                  <c:v>4</c:v>
                </c:pt>
                <c:pt idx="269">
                  <c:v>5</c:v>
                </c:pt>
                <c:pt idx="270">
                  <c:v>5</c:v>
                </c:pt>
                <c:pt idx="271">
                  <c:v>4</c:v>
                </c:pt>
                <c:pt idx="272">
                  <c:v>5</c:v>
                </c:pt>
                <c:pt idx="273">
                  <c:v>5</c:v>
                </c:pt>
                <c:pt idx="274">
                  <c:v>4</c:v>
                </c:pt>
                <c:pt idx="275">
                  <c:v>5</c:v>
                </c:pt>
                <c:pt idx="276">
                  <c:v>4</c:v>
                </c:pt>
                <c:pt idx="277">
                  <c:v>5</c:v>
                </c:pt>
                <c:pt idx="278">
                  <c:v>6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2</c:v>
                </c:pt>
                <c:pt idx="283">
                  <c:v>1</c:v>
                </c:pt>
                <c:pt idx="284">
                  <c:v>2</c:v>
                </c:pt>
                <c:pt idx="285">
                  <c:v>2</c:v>
                </c:pt>
                <c:pt idx="286">
                  <c:v>3</c:v>
                </c:pt>
                <c:pt idx="287">
                  <c:v>4</c:v>
                </c:pt>
                <c:pt idx="288">
                  <c:v>5</c:v>
                </c:pt>
                <c:pt idx="289">
                  <c:v>6</c:v>
                </c:pt>
                <c:pt idx="290">
                  <c:v>3</c:v>
                </c:pt>
                <c:pt idx="291">
                  <c:v>2</c:v>
                </c:pt>
                <c:pt idx="292">
                  <c:v>3</c:v>
                </c:pt>
                <c:pt idx="293">
                  <c:v>2</c:v>
                </c:pt>
                <c:pt idx="294">
                  <c:v>3</c:v>
                </c:pt>
                <c:pt idx="295">
                  <c:v>4</c:v>
                </c:pt>
                <c:pt idx="296">
                  <c:v>5</c:v>
                </c:pt>
                <c:pt idx="297">
                  <c:v>4</c:v>
                </c:pt>
                <c:pt idx="298">
                  <c:v>5</c:v>
                </c:pt>
                <c:pt idx="299">
                  <c:v>5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5</c:v>
                </c:pt>
                <c:pt idx="304">
                  <c:v>6</c:v>
                </c:pt>
                <c:pt idx="305">
                  <c:v>5</c:v>
                </c:pt>
                <c:pt idx="306">
                  <c:v>3</c:v>
                </c:pt>
                <c:pt idx="307">
                  <c:v>3</c:v>
                </c:pt>
                <c:pt idx="308">
                  <c:v>4</c:v>
                </c:pt>
                <c:pt idx="309">
                  <c:v>5</c:v>
                </c:pt>
                <c:pt idx="310">
                  <c:v>3</c:v>
                </c:pt>
                <c:pt idx="311">
                  <c:v>3</c:v>
                </c:pt>
                <c:pt idx="312">
                  <c:v>4</c:v>
                </c:pt>
                <c:pt idx="313">
                  <c:v>4</c:v>
                </c:pt>
                <c:pt idx="314">
                  <c:v>5</c:v>
                </c:pt>
                <c:pt idx="315">
                  <c:v>5</c:v>
                </c:pt>
                <c:pt idx="316">
                  <c:v>6</c:v>
                </c:pt>
                <c:pt idx="317">
                  <c:v>6</c:v>
                </c:pt>
                <c:pt idx="318">
                  <c:v>7</c:v>
                </c:pt>
                <c:pt idx="319">
                  <c:v>8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5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4</c:v>
                </c:pt>
                <c:pt idx="337">
                  <c:v>3</c:v>
                </c:pt>
                <c:pt idx="338">
                  <c:v>3</c:v>
                </c:pt>
                <c:pt idx="339">
                  <c:v>2</c:v>
                </c:pt>
                <c:pt idx="340">
                  <c:v>3</c:v>
                </c:pt>
                <c:pt idx="341">
                  <c:v>3</c:v>
                </c:pt>
                <c:pt idx="342">
                  <c:v>4</c:v>
                </c:pt>
                <c:pt idx="343">
                  <c:v>5</c:v>
                </c:pt>
                <c:pt idx="344">
                  <c:v>5</c:v>
                </c:pt>
                <c:pt idx="345">
                  <c:v>6</c:v>
                </c:pt>
                <c:pt idx="346">
                  <c:v>7</c:v>
                </c:pt>
                <c:pt idx="347">
                  <c:v>8</c:v>
                </c:pt>
                <c:pt idx="348">
                  <c:v>9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4</c:v>
                </c:pt>
                <c:pt idx="353">
                  <c:v>5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4</c:v>
                </c:pt>
                <c:pt idx="359">
                  <c:v>4</c:v>
                </c:pt>
                <c:pt idx="360">
                  <c:v>5</c:v>
                </c:pt>
                <c:pt idx="361">
                  <c:v>6</c:v>
                </c:pt>
                <c:pt idx="362">
                  <c:v>6</c:v>
                </c:pt>
                <c:pt idx="363">
                  <c:v>7</c:v>
                </c:pt>
                <c:pt idx="364">
                  <c:v>4</c:v>
                </c:pt>
                <c:pt idx="365">
                  <c:v>4</c:v>
                </c:pt>
                <c:pt idx="366">
                  <c:v>5</c:v>
                </c:pt>
                <c:pt idx="367">
                  <c:v>6</c:v>
                </c:pt>
                <c:pt idx="368">
                  <c:v>7</c:v>
                </c:pt>
                <c:pt idx="369">
                  <c:v>5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5</c:v>
                </c:pt>
                <c:pt idx="374">
                  <c:v>6</c:v>
                </c:pt>
                <c:pt idx="375">
                  <c:v>7</c:v>
                </c:pt>
                <c:pt idx="376">
                  <c:v>8</c:v>
                </c:pt>
                <c:pt idx="377">
                  <c:v>9</c:v>
                </c:pt>
                <c:pt idx="378">
                  <c:v>10</c:v>
                </c:pt>
                <c:pt idx="379">
                  <c:v>6</c:v>
                </c:pt>
                <c:pt idx="380">
                  <c:v>7</c:v>
                </c:pt>
                <c:pt idx="381">
                  <c:v>7</c:v>
                </c:pt>
                <c:pt idx="382">
                  <c:v>5</c:v>
                </c:pt>
                <c:pt idx="383">
                  <c:v>4</c:v>
                </c:pt>
                <c:pt idx="384">
                  <c:v>3</c:v>
                </c:pt>
                <c:pt idx="385">
                  <c:v>3</c:v>
                </c:pt>
                <c:pt idx="386">
                  <c:v>4</c:v>
                </c:pt>
                <c:pt idx="387">
                  <c:v>5</c:v>
                </c:pt>
                <c:pt idx="388">
                  <c:v>6</c:v>
                </c:pt>
                <c:pt idx="389">
                  <c:v>4</c:v>
                </c:pt>
                <c:pt idx="390">
                  <c:v>5</c:v>
                </c:pt>
                <c:pt idx="391">
                  <c:v>5</c:v>
                </c:pt>
                <c:pt idx="392">
                  <c:v>4</c:v>
                </c:pt>
                <c:pt idx="393">
                  <c:v>4</c:v>
                </c:pt>
                <c:pt idx="394">
                  <c:v>5</c:v>
                </c:pt>
                <c:pt idx="395">
                  <c:v>6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2</c:v>
                </c:pt>
                <c:pt idx="400">
                  <c:v>3</c:v>
                </c:pt>
                <c:pt idx="401">
                  <c:v>4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3</c:v>
                </c:pt>
                <c:pt idx="407">
                  <c:v>3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5</c:v>
                </c:pt>
                <c:pt idx="412">
                  <c:v>5</c:v>
                </c:pt>
                <c:pt idx="413">
                  <c:v>3</c:v>
                </c:pt>
                <c:pt idx="414">
                  <c:v>3</c:v>
                </c:pt>
                <c:pt idx="415">
                  <c:v>4</c:v>
                </c:pt>
                <c:pt idx="416">
                  <c:v>4</c:v>
                </c:pt>
                <c:pt idx="417">
                  <c:v>3</c:v>
                </c:pt>
                <c:pt idx="418">
                  <c:v>3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2</c:v>
                </c:pt>
                <c:pt idx="427">
                  <c:v>3</c:v>
                </c:pt>
                <c:pt idx="428">
                  <c:v>3</c:v>
                </c:pt>
                <c:pt idx="429">
                  <c:v>2</c:v>
                </c:pt>
                <c:pt idx="430">
                  <c:v>3</c:v>
                </c:pt>
                <c:pt idx="431">
                  <c:v>4</c:v>
                </c:pt>
                <c:pt idx="432">
                  <c:v>5</c:v>
                </c:pt>
                <c:pt idx="433">
                  <c:v>3</c:v>
                </c:pt>
                <c:pt idx="434">
                  <c:v>2</c:v>
                </c:pt>
                <c:pt idx="435">
                  <c:v>3</c:v>
                </c:pt>
                <c:pt idx="436">
                  <c:v>2</c:v>
                </c:pt>
                <c:pt idx="437">
                  <c:v>2</c:v>
                </c:pt>
                <c:pt idx="438">
                  <c:v>3</c:v>
                </c:pt>
                <c:pt idx="439">
                  <c:v>4</c:v>
                </c:pt>
                <c:pt idx="440">
                  <c:v>3</c:v>
                </c:pt>
                <c:pt idx="441">
                  <c:v>4</c:v>
                </c:pt>
                <c:pt idx="442">
                  <c:v>3</c:v>
                </c:pt>
                <c:pt idx="443">
                  <c:v>1</c:v>
                </c:pt>
                <c:pt idx="444">
                  <c:v>2</c:v>
                </c:pt>
                <c:pt idx="445">
                  <c:v>3</c:v>
                </c:pt>
                <c:pt idx="446">
                  <c:v>4</c:v>
                </c:pt>
                <c:pt idx="447">
                  <c:v>4</c:v>
                </c:pt>
                <c:pt idx="448">
                  <c:v>2</c:v>
                </c:pt>
                <c:pt idx="449">
                  <c:v>1</c:v>
                </c:pt>
                <c:pt idx="450">
                  <c:v>2</c:v>
                </c:pt>
                <c:pt idx="451">
                  <c:v>3</c:v>
                </c:pt>
                <c:pt idx="452">
                  <c:v>4</c:v>
                </c:pt>
                <c:pt idx="453">
                  <c:v>5</c:v>
                </c:pt>
                <c:pt idx="454">
                  <c:v>6</c:v>
                </c:pt>
                <c:pt idx="455">
                  <c:v>7</c:v>
                </c:pt>
                <c:pt idx="456">
                  <c:v>4</c:v>
                </c:pt>
                <c:pt idx="457">
                  <c:v>4</c:v>
                </c:pt>
                <c:pt idx="458">
                  <c:v>3</c:v>
                </c:pt>
                <c:pt idx="459">
                  <c:v>2</c:v>
                </c:pt>
                <c:pt idx="460">
                  <c:v>3</c:v>
                </c:pt>
                <c:pt idx="461">
                  <c:v>3</c:v>
                </c:pt>
                <c:pt idx="462">
                  <c:v>2</c:v>
                </c:pt>
                <c:pt idx="463">
                  <c:v>3</c:v>
                </c:pt>
                <c:pt idx="464">
                  <c:v>4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4</c:v>
                </c:pt>
                <c:pt idx="469">
                  <c:v>5</c:v>
                </c:pt>
                <c:pt idx="470">
                  <c:v>5</c:v>
                </c:pt>
                <c:pt idx="471">
                  <c:v>6</c:v>
                </c:pt>
                <c:pt idx="472">
                  <c:v>4</c:v>
                </c:pt>
                <c:pt idx="473">
                  <c:v>3</c:v>
                </c:pt>
                <c:pt idx="474">
                  <c:v>4</c:v>
                </c:pt>
                <c:pt idx="475">
                  <c:v>4</c:v>
                </c:pt>
                <c:pt idx="476">
                  <c:v>5</c:v>
                </c:pt>
                <c:pt idx="477">
                  <c:v>3</c:v>
                </c:pt>
                <c:pt idx="478">
                  <c:v>3</c:v>
                </c:pt>
                <c:pt idx="479">
                  <c:v>4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5</c:v>
                </c:pt>
                <c:pt idx="486">
                  <c:v>6</c:v>
                </c:pt>
                <c:pt idx="487">
                  <c:v>5</c:v>
                </c:pt>
                <c:pt idx="488">
                  <c:v>5</c:v>
                </c:pt>
                <c:pt idx="489">
                  <c:v>4</c:v>
                </c:pt>
                <c:pt idx="490">
                  <c:v>4</c:v>
                </c:pt>
                <c:pt idx="491">
                  <c:v>3</c:v>
                </c:pt>
                <c:pt idx="492">
                  <c:v>3</c:v>
                </c:pt>
                <c:pt idx="493">
                  <c:v>4</c:v>
                </c:pt>
                <c:pt idx="494">
                  <c:v>5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3</c:v>
                </c:pt>
                <c:pt idx="502">
                  <c:v>2</c:v>
                </c:pt>
                <c:pt idx="503">
                  <c:v>3</c:v>
                </c:pt>
                <c:pt idx="504">
                  <c:v>4</c:v>
                </c:pt>
                <c:pt idx="505">
                  <c:v>3</c:v>
                </c:pt>
                <c:pt idx="506">
                  <c:v>4</c:v>
                </c:pt>
                <c:pt idx="507">
                  <c:v>5</c:v>
                </c:pt>
                <c:pt idx="508">
                  <c:v>3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3</c:v>
                </c:pt>
                <c:pt idx="515">
                  <c:v>4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4</c:v>
                </c:pt>
                <c:pt idx="520">
                  <c:v>2</c:v>
                </c:pt>
                <c:pt idx="521">
                  <c:v>3</c:v>
                </c:pt>
                <c:pt idx="522">
                  <c:v>4</c:v>
                </c:pt>
                <c:pt idx="523">
                  <c:v>3</c:v>
                </c:pt>
                <c:pt idx="524">
                  <c:v>4</c:v>
                </c:pt>
                <c:pt idx="525">
                  <c:v>4</c:v>
                </c:pt>
                <c:pt idx="526">
                  <c:v>5</c:v>
                </c:pt>
                <c:pt idx="527">
                  <c:v>3</c:v>
                </c:pt>
                <c:pt idx="528">
                  <c:v>4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5</c:v>
                </c:pt>
                <c:pt idx="533">
                  <c:v>1</c:v>
                </c:pt>
                <c:pt idx="534">
                  <c:v>2</c:v>
                </c:pt>
                <c:pt idx="535">
                  <c:v>1</c:v>
                </c:pt>
                <c:pt idx="536">
                  <c:v>2</c:v>
                </c:pt>
                <c:pt idx="537">
                  <c:v>1</c:v>
                </c:pt>
                <c:pt idx="538">
                  <c:v>1</c:v>
                </c:pt>
                <c:pt idx="539">
                  <c:v>2</c:v>
                </c:pt>
                <c:pt idx="540">
                  <c:v>2</c:v>
                </c:pt>
                <c:pt idx="541">
                  <c:v>3</c:v>
                </c:pt>
                <c:pt idx="542">
                  <c:v>1</c:v>
                </c:pt>
                <c:pt idx="543">
                  <c:v>2</c:v>
                </c:pt>
                <c:pt idx="544">
                  <c:v>3</c:v>
                </c:pt>
                <c:pt idx="545">
                  <c:v>4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1</c:v>
                </c:pt>
                <c:pt idx="552">
                  <c:v>1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3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1</c:v>
                </c:pt>
                <c:pt idx="561">
                  <c:v>1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1</c:v>
                </c:pt>
                <c:pt idx="568">
                  <c:v>2</c:v>
                </c:pt>
                <c:pt idx="569">
                  <c:v>2</c:v>
                </c:pt>
                <c:pt idx="570">
                  <c:v>1</c:v>
                </c:pt>
                <c:pt idx="571">
                  <c:v>1</c:v>
                </c:pt>
                <c:pt idx="572">
                  <c:v>2</c:v>
                </c:pt>
                <c:pt idx="573">
                  <c:v>3</c:v>
                </c:pt>
                <c:pt idx="574">
                  <c:v>4</c:v>
                </c:pt>
                <c:pt idx="575">
                  <c:v>4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1</c:v>
                </c:pt>
                <c:pt idx="581">
                  <c:v>2</c:v>
                </c:pt>
                <c:pt idx="582">
                  <c:v>1</c:v>
                </c:pt>
                <c:pt idx="583">
                  <c:v>2</c:v>
                </c:pt>
                <c:pt idx="584">
                  <c:v>1</c:v>
                </c:pt>
                <c:pt idx="58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0B-49AB-B7B3-6AACB23A1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562600"/>
        <c:axId val="485562208"/>
      </c:lineChart>
      <c:lineChart>
        <c:grouping val="standard"/>
        <c:varyColors val="0"/>
        <c:ser>
          <c:idx val="0"/>
          <c:order val="0"/>
          <c:tx>
            <c:strRef>
              <c:f>情绪数据!$I$1</c:f>
              <c:strCache>
                <c:ptCount val="1"/>
                <c:pt idx="0">
                  <c:v>昨日所有涨停收益率（不包含炸板）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情绪数据!$A$2:$A$220</c:f>
              <c:numCache>
                <c:formatCode>m/d/yyyy</c:formatCode>
                <c:ptCount val="219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  <c:pt idx="19">
                  <c:v>44190</c:v>
                </c:pt>
                <c:pt idx="20">
                  <c:v>44193</c:v>
                </c:pt>
                <c:pt idx="21">
                  <c:v>44194</c:v>
                </c:pt>
                <c:pt idx="22">
                  <c:v>44195</c:v>
                </c:pt>
                <c:pt idx="23">
                  <c:v>44196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44245</c:v>
                </c:pt>
                <c:pt idx="53">
                  <c:v>44246</c:v>
                </c:pt>
                <c:pt idx="54">
                  <c:v>44249</c:v>
                </c:pt>
                <c:pt idx="55">
                  <c:v>44250</c:v>
                </c:pt>
                <c:pt idx="56">
                  <c:v>44251</c:v>
                </c:pt>
                <c:pt idx="57">
                  <c:v>44252</c:v>
                </c:pt>
                <c:pt idx="58">
                  <c:v>44253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44263</c:v>
                </c:pt>
                <c:pt idx="65">
                  <c:v>44264</c:v>
                </c:pt>
                <c:pt idx="66">
                  <c:v>44265</c:v>
                </c:pt>
                <c:pt idx="67">
                  <c:v>44266</c:v>
                </c:pt>
                <c:pt idx="68">
                  <c:v>44267</c:v>
                </c:pt>
                <c:pt idx="69">
                  <c:v>44270</c:v>
                </c:pt>
                <c:pt idx="70">
                  <c:v>44271</c:v>
                </c:pt>
                <c:pt idx="71">
                  <c:v>44272</c:v>
                </c:pt>
                <c:pt idx="72">
                  <c:v>44273</c:v>
                </c:pt>
                <c:pt idx="73">
                  <c:v>44274</c:v>
                </c:pt>
                <c:pt idx="74">
                  <c:v>44277</c:v>
                </c:pt>
                <c:pt idx="75">
                  <c:v>44278</c:v>
                </c:pt>
                <c:pt idx="76">
                  <c:v>44279</c:v>
                </c:pt>
                <c:pt idx="77">
                  <c:v>44280</c:v>
                </c:pt>
                <c:pt idx="78">
                  <c:v>44281</c:v>
                </c:pt>
                <c:pt idx="79">
                  <c:v>44284</c:v>
                </c:pt>
                <c:pt idx="80">
                  <c:v>44285</c:v>
                </c:pt>
                <c:pt idx="81">
                  <c:v>44286</c:v>
                </c:pt>
                <c:pt idx="82">
                  <c:v>44287</c:v>
                </c:pt>
                <c:pt idx="83">
                  <c:v>44288</c:v>
                </c:pt>
                <c:pt idx="84">
                  <c:v>44292</c:v>
                </c:pt>
                <c:pt idx="85">
                  <c:v>44293</c:v>
                </c:pt>
                <c:pt idx="86">
                  <c:v>44294</c:v>
                </c:pt>
                <c:pt idx="87">
                  <c:v>44295</c:v>
                </c:pt>
                <c:pt idx="88">
                  <c:v>44298</c:v>
                </c:pt>
                <c:pt idx="89">
                  <c:v>44299</c:v>
                </c:pt>
                <c:pt idx="90">
                  <c:v>44300</c:v>
                </c:pt>
                <c:pt idx="91">
                  <c:v>44301</c:v>
                </c:pt>
                <c:pt idx="92">
                  <c:v>44302</c:v>
                </c:pt>
                <c:pt idx="93">
                  <c:v>44305</c:v>
                </c:pt>
                <c:pt idx="94">
                  <c:v>44306</c:v>
                </c:pt>
                <c:pt idx="95">
                  <c:v>44307</c:v>
                </c:pt>
                <c:pt idx="96">
                  <c:v>44308</c:v>
                </c:pt>
                <c:pt idx="97">
                  <c:v>44309</c:v>
                </c:pt>
                <c:pt idx="98">
                  <c:v>44312</c:v>
                </c:pt>
                <c:pt idx="99">
                  <c:v>44313</c:v>
                </c:pt>
                <c:pt idx="100">
                  <c:v>44314</c:v>
                </c:pt>
                <c:pt idx="101">
                  <c:v>44315</c:v>
                </c:pt>
                <c:pt idx="102">
                  <c:v>44316</c:v>
                </c:pt>
                <c:pt idx="103">
                  <c:v>44322</c:v>
                </c:pt>
                <c:pt idx="104">
                  <c:v>44323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44333</c:v>
                </c:pt>
                <c:pt idx="110">
                  <c:v>44334</c:v>
                </c:pt>
                <c:pt idx="111">
                  <c:v>44335</c:v>
                </c:pt>
                <c:pt idx="112">
                  <c:v>44336</c:v>
                </c:pt>
                <c:pt idx="113">
                  <c:v>44337</c:v>
                </c:pt>
                <c:pt idx="114">
                  <c:v>44340</c:v>
                </c:pt>
                <c:pt idx="115">
                  <c:v>44341</c:v>
                </c:pt>
                <c:pt idx="116">
                  <c:v>44342</c:v>
                </c:pt>
                <c:pt idx="117">
                  <c:v>44343</c:v>
                </c:pt>
                <c:pt idx="118">
                  <c:v>44344</c:v>
                </c:pt>
                <c:pt idx="119">
                  <c:v>44347</c:v>
                </c:pt>
                <c:pt idx="120">
                  <c:v>44348</c:v>
                </c:pt>
                <c:pt idx="121">
                  <c:v>44349</c:v>
                </c:pt>
                <c:pt idx="122">
                  <c:v>44350</c:v>
                </c:pt>
                <c:pt idx="123">
                  <c:v>44351</c:v>
                </c:pt>
                <c:pt idx="124">
                  <c:v>44354</c:v>
                </c:pt>
                <c:pt idx="125">
                  <c:v>44355</c:v>
                </c:pt>
                <c:pt idx="126">
                  <c:v>44356</c:v>
                </c:pt>
                <c:pt idx="127">
                  <c:v>44357</c:v>
                </c:pt>
                <c:pt idx="128">
                  <c:v>44358</c:v>
                </c:pt>
                <c:pt idx="129">
                  <c:v>44362</c:v>
                </c:pt>
                <c:pt idx="130">
                  <c:v>44363</c:v>
                </c:pt>
                <c:pt idx="131">
                  <c:v>44364</c:v>
                </c:pt>
                <c:pt idx="132">
                  <c:v>44365</c:v>
                </c:pt>
                <c:pt idx="133">
                  <c:v>44368</c:v>
                </c:pt>
                <c:pt idx="134">
                  <c:v>44369</c:v>
                </c:pt>
                <c:pt idx="135">
                  <c:v>44370</c:v>
                </c:pt>
                <c:pt idx="136">
                  <c:v>44371</c:v>
                </c:pt>
                <c:pt idx="137">
                  <c:v>44372</c:v>
                </c:pt>
                <c:pt idx="138">
                  <c:v>44375</c:v>
                </c:pt>
                <c:pt idx="139">
                  <c:v>44376</c:v>
                </c:pt>
                <c:pt idx="140">
                  <c:v>44377</c:v>
                </c:pt>
                <c:pt idx="141">
                  <c:v>44378</c:v>
                </c:pt>
                <c:pt idx="142">
                  <c:v>44379</c:v>
                </c:pt>
                <c:pt idx="143">
                  <c:v>44382</c:v>
                </c:pt>
                <c:pt idx="144">
                  <c:v>44383</c:v>
                </c:pt>
                <c:pt idx="145">
                  <c:v>44384</c:v>
                </c:pt>
                <c:pt idx="146">
                  <c:v>44385</c:v>
                </c:pt>
                <c:pt idx="147">
                  <c:v>44386</c:v>
                </c:pt>
                <c:pt idx="148">
                  <c:v>44389</c:v>
                </c:pt>
                <c:pt idx="149">
                  <c:v>44390</c:v>
                </c:pt>
                <c:pt idx="150">
                  <c:v>44391</c:v>
                </c:pt>
                <c:pt idx="151">
                  <c:v>44392</c:v>
                </c:pt>
                <c:pt idx="152">
                  <c:v>44393</c:v>
                </c:pt>
                <c:pt idx="153">
                  <c:v>44396</c:v>
                </c:pt>
                <c:pt idx="154">
                  <c:v>44397</c:v>
                </c:pt>
                <c:pt idx="155">
                  <c:v>44398</c:v>
                </c:pt>
                <c:pt idx="156">
                  <c:v>44399</c:v>
                </c:pt>
                <c:pt idx="157">
                  <c:v>44400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44410</c:v>
                </c:pt>
                <c:pt idx="164">
                  <c:v>44411</c:v>
                </c:pt>
                <c:pt idx="165">
                  <c:v>44412</c:v>
                </c:pt>
                <c:pt idx="166">
                  <c:v>44413</c:v>
                </c:pt>
                <c:pt idx="167">
                  <c:v>44414</c:v>
                </c:pt>
                <c:pt idx="168">
                  <c:v>44417</c:v>
                </c:pt>
                <c:pt idx="169">
                  <c:v>44418</c:v>
                </c:pt>
                <c:pt idx="170">
                  <c:v>44419</c:v>
                </c:pt>
                <c:pt idx="171">
                  <c:v>44420</c:v>
                </c:pt>
                <c:pt idx="172">
                  <c:v>44423</c:v>
                </c:pt>
                <c:pt idx="173">
                  <c:v>44424</c:v>
                </c:pt>
                <c:pt idx="174">
                  <c:v>44425</c:v>
                </c:pt>
                <c:pt idx="175">
                  <c:v>44426</c:v>
                </c:pt>
                <c:pt idx="176">
                  <c:v>44427</c:v>
                </c:pt>
                <c:pt idx="177">
                  <c:v>44428</c:v>
                </c:pt>
                <c:pt idx="178">
                  <c:v>44431</c:v>
                </c:pt>
                <c:pt idx="179">
                  <c:v>44432</c:v>
                </c:pt>
                <c:pt idx="180">
                  <c:v>44433</c:v>
                </c:pt>
                <c:pt idx="181">
                  <c:v>44434</c:v>
                </c:pt>
                <c:pt idx="182">
                  <c:v>44435</c:v>
                </c:pt>
                <c:pt idx="183">
                  <c:v>44438</c:v>
                </c:pt>
                <c:pt idx="184">
                  <c:v>44439</c:v>
                </c:pt>
                <c:pt idx="185">
                  <c:v>44440</c:v>
                </c:pt>
                <c:pt idx="186">
                  <c:v>44441</c:v>
                </c:pt>
                <c:pt idx="187">
                  <c:v>44442</c:v>
                </c:pt>
                <c:pt idx="188">
                  <c:v>44445</c:v>
                </c:pt>
                <c:pt idx="189">
                  <c:v>44446</c:v>
                </c:pt>
                <c:pt idx="190">
                  <c:v>44447</c:v>
                </c:pt>
                <c:pt idx="191">
                  <c:v>44448</c:v>
                </c:pt>
                <c:pt idx="192">
                  <c:v>44449</c:v>
                </c:pt>
                <c:pt idx="193">
                  <c:v>44452</c:v>
                </c:pt>
                <c:pt idx="194">
                  <c:v>44453</c:v>
                </c:pt>
                <c:pt idx="195">
                  <c:v>44454</c:v>
                </c:pt>
                <c:pt idx="196">
                  <c:v>44455</c:v>
                </c:pt>
                <c:pt idx="197">
                  <c:v>44456</c:v>
                </c:pt>
                <c:pt idx="198">
                  <c:v>44461</c:v>
                </c:pt>
                <c:pt idx="199">
                  <c:v>44462</c:v>
                </c:pt>
                <c:pt idx="200">
                  <c:v>44463</c:v>
                </c:pt>
                <c:pt idx="201">
                  <c:v>44466</c:v>
                </c:pt>
                <c:pt idx="202">
                  <c:v>44467</c:v>
                </c:pt>
                <c:pt idx="203">
                  <c:v>44468</c:v>
                </c:pt>
                <c:pt idx="204">
                  <c:v>44469</c:v>
                </c:pt>
                <c:pt idx="205">
                  <c:v>44477</c:v>
                </c:pt>
                <c:pt idx="206">
                  <c:v>44480</c:v>
                </c:pt>
                <c:pt idx="207">
                  <c:v>44481</c:v>
                </c:pt>
                <c:pt idx="208">
                  <c:v>44482</c:v>
                </c:pt>
                <c:pt idx="209">
                  <c:v>44483</c:v>
                </c:pt>
                <c:pt idx="210">
                  <c:v>44484</c:v>
                </c:pt>
                <c:pt idx="211">
                  <c:v>44487</c:v>
                </c:pt>
                <c:pt idx="212">
                  <c:v>44488</c:v>
                </c:pt>
                <c:pt idx="213">
                  <c:v>44489</c:v>
                </c:pt>
                <c:pt idx="214">
                  <c:v>44490</c:v>
                </c:pt>
                <c:pt idx="215">
                  <c:v>44491</c:v>
                </c:pt>
                <c:pt idx="216">
                  <c:v>44494</c:v>
                </c:pt>
                <c:pt idx="217">
                  <c:v>44495</c:v>
                </c:pt>
                <c:pt idx="218">
                  <c:v>44496</c:v>
                </c:pt>
              </c:numCache>
            </c:numRef>
          </c:cat>
          <c:val>
            <c:numRef>
              <c:f>情绪数据!昨日不含炸板</c:f>
              <c:numCache>
                <c:formatCode>0.00_ ;[Red]\-0.00\ </c:formatCode>
                <c:ptCount val="586"/>
                <c:pt idx="0">
                  <c:v>1.8</c:v>
                </c:pt>
                <c:pt idx="1">
                  <c:v>4.37</c:v>
                </c:pt>
                <c:pt idx="2">
                  <c:v>4.8</c:v>
                </c:pt>
                <c:pt idx="3">
                  <c:v>2.29</c:v>
                </c:pt>
                <c:pt idx="4">
                  <c:v>0</c:v>
                </c:pt>
                <c:pt idx="5">
                  <c:v>1.62</c:v>
                </c:pt>
                <c:pt idx="6">
                  <c:v>-0.79</c:v>
                </c:pt>
                <c:pt idx="7">
                  <c:v>0.97</c:v>
                </c:pt>
                <c:pt idx="8">
                  <c:v>1.41</c:v>
                </c:pt>
                <c:pt idx="9">
                  <c:v>2.88</c:v>
                </c:pt>
                <c:pt idx="10">
                  <c:v>3.3</c:v>
                </c:pt>
                <c:pt idx="11">
                  <c:v>1.69</c:v>
                </c:pt>
                <c:pt idx="12">
                  <c:v>0.56000000000000005</c:v>
                </c:pt>
                <c:pt idx="13">
                  <c:v>1.7</c:v>
                </c:pt>
                <c:pt idx="14">
                  <c:v>1.8</c:v>
                </c:pt>
                <c:pt idx="15">
                  <c:v>4.18</c:v>
                </c:pt>
                <c:pt idx="16">
                  <c:v>1.21</c:v>
                </c:pt>
                <c:pt idx="17">
                  <c:v>4.32</c:v>
                </c:pt>
                <c:pt idx="18">
                  <c:v>1.72</c:v>
                </c:pt>
                <c:pt idx="19">
                  <c:v>4.88</c:v>
                </c:pt>
                <c:pt idx="20">
                  <c:v>3.87</c:v>
                </c:pt>
                <c:pt idx="21">
                  <c:v>0.56999999999999995</c:v>
                </c:pt>
                <c:pt idx="22">
                  <c:v>1.01</c:v>
                </c:pt>
                <c:pt idx="23">
                  <c:v>3.82</c:v>
                </c:pt>
                <c:pt idx="24">
                  <c:v>4.33</c:v>
                </c:pt>
                <c:pt idx="25">
                  <c:v>2.69</c:v>
                </c:pt>
                <c:pt idx="26">
                  <c:v>0.15</c:v>
                </c:pt>
                <c:pt idx="27">
                  <c:v>1.49E-2</c:v>
                </c:pt>
                <c:pt idx="28">
                  <c:v>0.73</c:v>
                </c:pt>
                <c:pt idx="29">
                  <c:v>0.26</c:v>
                </c:pt>
                <c:pt idx="30">
                  <c:v>2.34</c:v>
                </c:pt>
                <c:pt idx="31">
                  <c:v>2.2799999999999998</c:v>
                </c:pt>
                <c:pt idx="32">
                  <c:v>1.76</c:v>
                </c:pt>
                <c:pt idx="33">
                  <c:v>1.71</c:v>
                </c:pt>
                <c:pt idx="34">
                  <c:v>3.71</c:v>
                </c:pt>
                <c:pt idx="35">
                  <c:v>2.67</c:v>
                </c:pt>
                <c:pt idx="36">
                  <c:v>1.24</c:v>
                </c:pt>
                <c:pt idx="37">
                  <c:v>3.16</c:v>
                </c:pt>
                <c:pt idx="38">
                  <c:v>0.14000000000000001</c:v>
                </c:pt>
                <c:pt idx="39">
                  <c:v>1.8</c:v>
                </c:pt>
                <c:pt idx="40">
                  <c:v>-0.03</c:v>
                </c:pt>
                <c:pt idx="41">
                  <c:v>3.18</c:v>
                </c:pt>
                <c:pt idx="42">
                  <c:v>0.48</c:v>
                </c:pt>
                <c:pt idx="43">
                  <c:v>-2.92</c:v>
                </c:pt>
                <c:pt idx="44">
                  <c:v>4.8499999999999996</c:v>
                </c:pt>
                <c:pt idx="45">
                  <c:v>1.77</c:v>
                </c:pt>
                <c:pt idx="46">
                  <c:v>-0.24</c:v>
                </c:pt>
                <c:pt idx="47">
                  <c:v>1.53</c:v>
                </c:pt>
                <c:pt idx="48">
                  <c:v>-3.5</c:v>
                </c:pt>
                <c:pt idx="49">
                  <c:v>-0.54</c:v>
                </c:pt>
                <c:pt idx="50">
                  <c:v>4.2300000000000004</c:v>
                </c:pt>
                <c:pt idx="51">
                  <c:v>1.18</c:v>
                </c:pt>
                <c:pt idx="52">
                  <c:v>4.42</c:v>
                </c:pt>
                <c:pt idx="53">
                  <c:v>4.8600000000000003</c:v>
                </c:pt>
                <c:pt idx="54">
                  <c:v>5.27</c:v>
                </c:pt>
                <c:pt idx="55">
                  <c:v>0.96</c:v>
                </c:pt>
                <c:pt idx="56">
                  <c:v>-0.28999999999999998</c:v>
                </c:pt>
                <c:pt idx="57">
                  <c:v>1.97</c:v>
                </c:pt>
                <c:pt idx="58">
                  <c:v>1.5</c:v>
                </c:pt>
                <c:pt idx="59">
                  <c:v>4.68</c:v>
                </c:pt>
                <c:pt idx="60">
                  <c:v>0.42</c:v>
                </c:pt>
                <c:pt idx="61">
                  <c:v>4.24</c:v>
                </c:pt>
                <c:pt idx="62">
                  <c:v>2.87</c:v>
                </c:pt>
                <c:pt idx="63">
                  <c:v>1.37</c:v>
                </c:pt>
                <c:pt idx="64">
                  <c:v>1.38</c:v>
                </c:pt>
                <c:pt idx="65">
                  <c:v>-1.64</c:v>
                </c:pt>
                <c:pt idx="66">
                  <c:v>-2.5099999999999998</c:v>
                </c:pt>
                <c:pt idx="67">
                  <c:v>3.13</c:v>
                </c:pt>
                <c:pt idx="68">
                  <c:v>2.42</c:v>
                </c:pt>
                <c:pt idx="69">
                  <c:v>1.44</c:v>
                </c:pt>
                <c:pt idx="70">
                  <c:v>3.43</c:v>
                </c:pt>
                <c:pt idx="71">
                  <c:v>2.76</c:v>
                </c:pt>
                <c:pt idx="72">
                  <c:v>1.96</c:v>
                </c:pt>
                <c:pt idx="73">
                  <c:v>1.78</c:v>
                </c:pt>
                <c:pt idx="74">
                  <c:v>4.82</c:v>
                </c:pt>
                <c:pt idx="75">
                  <c:v>1.19</c:v>
                </c:pt>
                <c:pt idx="76">
                  <c:v>2.97</c:v>
                </c:pt>
                <c:pt idx="77">
                  <c:v>-0.92</c:v>
                </c:pt>
                <c:pt idx="78">
                  <c:v>2.5</c:v>
                </c:pt>
                <c:pt idx="79">
                  <c:v>3.57</c:v>
                </c:pt>
                <c:pt idx="80">
                  <c:v>3.33</c:v>
                </c:pt>
                <c:pt idx="81">
                  <c:v>2.4</c:v>
                </c:pt>
                <c:pt idx="82">
                  <c:v>0.69</c:v>
                </c:pt>
                <c:pt idx="83">
                  <c:v>2.0699999999999998</c:v>
                </c:pt>
                <c:pt idx="84">
                  <c:v>3.22</c:v>
                </c:pt>
                <c:pt idx="85">
                  <c:v>3.66</c:v>
                </c:pt>
                <c:pt idx="86">
                  <c:v>-0.41</c:v>
                </c:pt>
                <c:pt idx="87">
                  <c:v>3.73</c:v>
                </c:pt>
                <c:pt idx="88">
                  <c:v>3.5</c:v>
                </c:pt>
                <c:pt idx="89">
                  <c:v>0.16</c:v>
                </c:pt>
                <c:pt idx="90">
                  <c:v>2.08</c:v>
                </c:pt>
                <c:pt idx="91">
                  <c:v>-0.6</c:v>
                </c:pt>
                <c:pt idx="92">
                  <c:v>2.76</c:v>
                </c:pt>
                <c:pt idx="93">
                  <c:v>1.46</c:v>
                </c:pt>
                <c:pt idx="94">
                  <c:v>0.73</c:v>
                </c:pt>
                <c:pt idx="95">
                  <c:v>-0.78</c:v>
                </c:pt>
                <c:pt idx="96">
                  <c:v>1.22</c:v>
                </c:pt>
                <c:pt idx="97">
                  <c:v>0.55000000000000004</c:v>
                </c:pt>
                <c:pt idx="98">
                  <c:v>2.93</c:v>
                </c:pt>
                <c:pt idx="99">
                  <c:v>0.46</c:v>
                </c:pt>
                <c:pt idx="100">
                  <c:v>3.41</c:v>
                </c:pt>
                <c:pt idx="101">
                  <c:v>0.7</c:v>
                </c:pt>
                <c:pt idx="102">
                  <c:v>1.1599999999999999</c:v>
                </c:pt>
                <c:pt idx="103">
                  <c:v>3.64</c:v>
                </c:pt>
                <c:pt idx="104">
                  <c:v>3.79</c:v>
                </c:pt>
                <c:pt idx="105">
                  <c:v>6.67</c:v>
                </c:pt>
                <c:pt idx="106">
                  <c:v>1.76</c:v>
                </c:pt>
                <c:pt idx="107">
                  <c:v>1.42</c:v>
                </c:pt>
                <c:pt idx="108">
                  <c:v>2.99</c:v>
                </c:pt>
                <c:pt idx="109">
                  <c:v>0.44</c:v>
                </c:pt>
                <c:pt idx="110">
                  <c:v>4.6100000000000003</c:v>
                </c:pt>
                <c:pt idx="111">
                  <c:v>0.84</c:v>
                </c:pt>
                <c:pt idx="112">
                  <c:v>0.9</c:v>
                </c:pt>
                <c:pt idx="113">
                  <c:v>1.74</c:v>
                </c:pt>
                <c:pt idx="114">
                  <c:v>2.17</c:v>
                </c:pt>
                <c:pt idx="115">
                  <c:v>0.54</c:v>
                </c:pt>
                <c:pt idx="116">
                  <c:v>1.77</c:v>
                </c:pt>
                <c:pt idx="117">
                  <c:v>1.05</c:v>
                </c:pt>
                <c:pt idx="118">
                  <c:v>1.73</c:v>
                </c:pt>
                <c:pt idx="119">
                  <c:v>5.72</c:v>
                </c:pt>
                <c:pt idx="120">
                  <c:v>2.74</c:v>
                </c:pt>
                <c:pt idx="121">
                  <c:v>0.63</c:v>
                </c:pt>
                <c:pt idx="122">
                  <c:v>1.19</c:v>
                </c:pt>
                <c:pt idx="123">
                  <c:v>-0.17</c:v>
                </c:pt>
                <c:pt idx="124">
                  <c:v>3.2</c:v>
                </c:pt>
                <c:pt idx="125">
                  <c:v>1.68</c:v>
                </c:pt>
                <c:pt idx="126">
                  <c:v>2.1800000000000002</c:v>
                </c:pt>
                <c:pt idx="127">
                  <c:v>1.78</c:v>
                </c:pt>
                <c:pt idx="128">
                  <c:v>3.53</c:v>
                </c:pt>
                <c:pt idx="129">
                  <c:v>-0.61</c:v>
                </c:pt>
                <c:pt idx="130">
                  <c:v>-0.33</c:v>
                </c:pt>
                <c:pt idx="131">
                  <c:v>1.62</c:v>
                </c:pt>
                <c:pt idx="132">
                  <c:v>3.5</c:v>
                </c:pt>
                <c:pt idx="133">
                  <c:v>2.68</c:v>
                </c:pt>
                <c:pt idx="134">
                  <c:v>2.79</c:v>
                </c:pt>
                <c:pt idx="135">
                  <c:v>1.73</c:v>
                </c:pt>
                <c:pt idx="136">
                  <c:v>1.1499999999999999</c:v>
                </c:pt>
                <c:pt idx="137">
                  <c:v>1.73</c:v>
                </c:pt>
                <c:pt idx="138">
                  <c:v>1.61</c:v>
                </c:pt>
                <c:pt idx="139">
                  <c:v>0.92</c:v>
                </c:pt>
                <c:pt idx="140">
                  <c:v>2.65</c:v>
                </c:pt>
                <c:pt idx="141">
                  <c:v>-0.7</c:v>
                </c:pt>
                <c:pt idx="142">
                  <c:v>1.04</c:v>
                </c:pt>
                <c:pt idx="143">
                  <c:v>3.97</c:v>
                </c:pt>
                <c:pt idx="144">
                  <c:v>0.73</c:v>
                </c:pt>
                <c:pt idx="145">
                  <c:v>2.09</c:v>
                </c:pt>
                <c:pt idx="146">
                  <c:v>1.5329999999999999</c:v>
                </c:pt>
                <c:pt idx="147">
                  <c:v>2.52</c:v>
                </c:pt>
                <c:pt idx="148">
                  <c:v>4.38</c:v>
                </c:pt>
                <c:pt idx="149">
                  <c:v>0.37</c:v>
                </c:pt>
                <c:pt idx="150">
                  <c:v>0.98</c:v>
                </c:pt>
                <c:pt idx="151">
                  <c:v>-0.67</c:v>
                </c:pt>
                <c:pt idx="152">
                  <c:v>1.74</c:v>
                </c:pt>
                <c:pt idx="153">
                  <c:v>0.61</c:v>
                </c:pt>
                <c:pt idx="154">
                  <c:v>2.8</c:v>
                </c:pt>
                <c:pt idx="155">
                  <c:v>4.32</c:v>
                </c:pt>
                <c:pt idx="156">
                  <c:v>3.52</c:v>
                </c:pt>
                <c:pt idx="157">
                  <c:v>1.74</c:v>
                </c:pt>
                <c:pt idx="158">
                  <c:v>3.94</c:v>
                </c:pt>
                <c:pt idx="159">
                  <c:v>0.05</c:v>
                </c:pt>
                <c:pt idx="160">
                  <c:v>-0.35</c:v>
                </c:pt>
                <c:pt idx="161">
                  <c:v>7.22</c:v>
                </c:pt>
                <c:pt idx="162">
                  <c:v>4.3899999999999997</c:v>
                </c:pt>
                <c:pt idx="163">
                  <c:v>2.2400000000000002</c:v>
                </c:pt>
                <c:pt idx="164">
                  <c:v>0.22</c:v>
                </c:pt>
                <c:pt idx="165">
                  <c:v>2.17</c:v>
                </c:pt>
                <c:pt idx="166">
                  <c:v>2.34</c:v>
                </c:pt>
                <c:pt idx="167">
                  <c:v>1.85</c:v>
                </c:pt>
                <c:pt idx="168">
                  <c:v>2.42</c:v>
                </c:pt>
                <c:pt idx="169">
                  <c:v>4.21</c:v>
                </c:pt>
                <c:pt idx="170">
                  <c:v>2.95</c:v>
                </c:pt>
                <c:pt idx="171">
                  <c:v>2.0299999999999998</c:v>
                </c:pt>
                <c:pt idx="172">
                  <c:v>3.15</c:v>
                </c:pt>
                <c:pt idx="173">
                  <c:v>0.94</c:v>
                </c:pt>
                <c:pt idx="174">
                  <c:v>-1.4</c:v>
                </c:pt>
                <c:pt idx="175">
                  <c:v>5.74</c:v>
                </c:pt>
                <c:pt idx="176">
                  <c:v>0.11</c:v>
                </c:pt>
                <c:pt idx="177">
                  <c:v>0.08</c:v>
                </c:pt>
                <c:pt idx="178">
                  <c:v>6.32</c:v>
                </c:pt>
                <c:pt idx="179">
                  <c:v>2.57</c:v>
                </c:pt>
                <c:pt idx="180">
                  <c:v>2.14</c:v>
                </c:pt>
                <c:pt idx="181">
                  <c:v>1.17</c:v>
                </c:pt>
                <c:pt idx="182">
                  <c:v>2.59</c:v>
                </c:pt>
                <c:pt idx="183">
                  <c:v>4.29</c:v>
                </c:pt>
                <c:pt idx="184">
                  <c:v>0.9</c:v>
                </c:pt>
                <c:pt idx="185">
                  <c:v>0.77</c:v>
                </c:pt>
                <c:pt idx="186">
                  <c:v>2.78</c:v>
                </c:pt>
                <c:pt idx="187">
                  <c:v>1.34</c:v>
                </c:pt>
                <c:pt idx="188">
                  <c:v>3.03</c:v>
                </c:pt>
                <c:pt idx="189">
                  <c:v>2.29</c:v>
                </c:pt>
                <c:pt idx="190">
                  <c:v>3.2</c:v>
                </c:pt>
                <c:pt idx="191">
                  <c:v>1.05</c:v>
                </c:pt>
                <c:pt idx="192">
                  <c:v>0.21</c:v>
                </c:pt>
                <c:pt idx="193">
                  <c:v>3.38</c:v>
                </c:pt>
                <c:pt idx="194">
                  <c:v>1.98</c:v>
                </c:pt>
                <c:pt idx="195">
                  <c:v>0.54</c:v>
                </c:pt>
                <c:pt idx="196">
                  <c:v>-0.06</c:v>
                </c:pt>
                <c:pt idx="197">
                  <c:v>0.46</c:v>
                </c:pt>
                <c:pt idx="198">
                  <c:v>5.21</c:v>
                </c:pt>
                <c:pt idx="199">
                  <c:v>2.93</c:v>
                </c:pt>
                <c:pt idx="200">
                  <c:v>-0.99</c:v>
                </c:pt>
                <c:pt idx="201">
                  <c:v>-0.43</c:v>
                </c:pt>
                <c:pt idx="202">
                  <c:v>-7.0000000000000007E-2</c:v>
                </c:pt>
                <c:pt idx="203">
                  <c:v>-3.73</c:v>
                </c:pt>
                <c:pt idx="204">
                  <c:v>0.96</c:v>
                </c:pt>
                <c:pt idx="205">
                  <c:v>0.82</c:v>
                </c:pt>
                <c:pt idx="206">
                  <c:v>2.59</c:v>
                </c:pt>
                <c:pt idx="207">
                  <c:v>1.59</c:v>
                </c:pt>
                <c:pt idx="208">
                  <c:v>0.82</c:v>
                </c:pt>
                <c:pt idx="209">
                  <c:v>2.29</c:v>
                </c:pt>
                <c:pt idx="210">
                  <c:v>-0.8</c:v>
                </c:pt>
                <c:pt idx="211">
                  <c:v>4.05</c:v>
                </c:pt>
                <c:pt idx="212">
                  <c:v>2.98</c:v>
                </c:pt>
                <c:pt idx="213">
                  <c:v>0.62</c:v>
                </c:pt>
                <c:pt idx="214">
                  <c:v>1.91</c:v>
                </c:pt>
                <c:pt idx="215">
                  <c:v>0.23</c:v>
                </c:pt>
                <c:pt idx="216">
                  <c:v>3.22</c:v>
                </c:pt>
                <c:pt idx="217">
                  <c:v>1.71</c:v>
                </c:pt>
                <c:pt idx="218">
                  <c:v>2.16</c:v>
                </c:pt>
                <c:pt idx="219">
                  <c:v>1.19</c:v>
                </c:pt>
                <c:pt idx="220">
                  <c:v>1.52</c:v>
                </c:pt>
                <c:pt idx="221">
                  <c:v>3.35</c:v>
                </c:pt>
                <c:pt idx="222">
                  <c:v>1.17</c:v>
                </c:pt>
                <c:pt idx="223">
                  <c:v>0.82</c:v>
                </c:pt>
                <c:pt idx="224">
                  <c:v>4.08</c:v>
                </c:pt>
                <c:pt idx="225">
                  <c:v>0.91</c:v>
                </c:pt>
                <c:pt idx="226">
                  <c:v>2.62</c:v>
                </c:pt>
                <c:pt idx="227">
                  <c:v>3.33</c:v>
                </c:pt>
                <c:pt idx="228">
                  <c:v>2.2999999999999998</c:v>
                </c:pt>
                <c:pt idx="229">
                  <c:v>3.06</c:v>
                </c:pt>
                <c:pt idx="230">
                  <c:v>2.78</c:v>
                </c:pt>
                <c:pt idx="231">
                  <c:v>0.47</c:v>
                </c:pt>
                <c:pt idx="232">
                  <c:v>0.46</c:v>
                </c:pt>
                <c:pt idx="233">
                  <c:v>1.64</c:v>
                </c:pt>
                <c:pt idx="234">
                  <c:v>1.24</c:v>
                </c:pt>
                <c:pt idx="235">
                  <c:v>1.65</c:v>
                </c:pt>
                <c:pt idx="236">
                  <c:v>3.78</c:v>
                </c:pt>
                <c:pt idx="237">
                  <c:v>2.2200000000000002</c:v>
                </c:pt>
                <c:pt idx="238">
                  <c:v>2.17</c:v>
                </c:pt>
                <c:pt idx="239">
                  <c:v>0.23</c:v>
                </c:pt>
                <c:pt idx="240">
                  <c:v>1.38</c:v>
                </c:pt>
                <c:pt idx="241">
                  <c:v>2.42</c:v>
                </c:pt>
                <c:pt idx="242">
                  <c:v>4.07</c:v>
                </c:pt>
                <c:pt idx="243">
                  <c:v>2.64</c:v>
                </c:pt>
                <c:pt idx="244">
                  <c:v>1.1499999999999999</c:v>
                </c:pt>
                <c:pt idx="245">
                  <c:v>-0.06</c:v>
                </c:pt>
                <c:pt idx="246">
                  <c:v>0.63</c:v>
                </c:pt>
                <c:pt idx="247">
                  <c:v>1.7</c:v>
                </c:pt>
                <c:pt idx="248">
                  <c:v>2.5499999999999998</c:v>
                </c:pt>
                <c:pt idx="249">
                  <c:v>1.8</c:v>
                </c:pt>
                <c:pt idx="250">
                  <c:v>2.78</c:v>
                </c:pt>
                <c:pt idx="251">
                  <c:v>3.38</c:v>
                </c:pt>
                <c:pt idx="252">
                  <c:v>4.32</c:v>
                </c:pt>
                <c:pt idx="253">
                  <c:v>1.85</c:v>
                </c:pt>
                <c:pt idx="254">
                  <c:v>4.07</c:v>
                </c:pt>
                <c:pt idx="255">
                  <c:v>2.97</c:v>
                </c:pt>
                <c:pt idx="256">
                  <c:v>3.65</c:v>
                </c:pt>
                <c:pt idx="257">
                  <c:v>4.12</c:v>
                </c:pt>
                <c:pt idx="258">
                  <c:v>-0.3</c:v>
                </c:pt>
                <c:pt idx="259">
                  <c:v>-0.42</c:v>
                </c:pt>
                <c:pt idx="260">
                  <c:v>-0.43</c:v>
                </c:pt>
                <c:pt idx="261">
                  <c:v>0.77</c:v>
                </c:pt>
                <c:pt idx="262">
                  <c:v>0.87</c:v>
                </c:pt>
                <c:pt idx="263">
                  <c:v>2.78</c:v>
                </c:pt>
                <c:pt idx="264">
                  <c:v>4.25</c:v>
                </c:pt>
                <c:pt idx="265">
                  <c:v>1.75</c:v>
                </c:pt>
                <c:pt idx="266">
                  <c:v>5.48</c:v>
                </c:pt>
                <c:pt idx="267">
                  <c:v>1.26</c:v>
                </c:pt>
                <c:pt idx="268">
                  <c:v>2.36</c:v>
                </c:pt>
                <c:pt idx="269">
                  <c:v>-0.27</c:v>
                </c:pt>
                <c:pt idx="270">
                  <c:v>2.7</c:v>
                </c:pt>
                <c:pt idx="271">
                  <c:v>1.44</c:v>
                </c:pt>
                <c:pt idx="272">
                  <c:v>3.67</c:v>
                </c:pt>
                <c:pt idx="273">
                  <c:v>3.51</c:v>
                </c:pt>
                <c:pt idx="274">
                  <c:v>3.78</c:v>
                </c:pt>
                <c:pt idx="275">
                  <c:v>4.4800000000000004</c:v>
                </c:pt>
                <c:pt idx="276">
                  <c:v>-0.42</c:v>
                </c:pt>
                <c:pt idx="277">
                  <c:v>1.58</c:v>
                </c:pt>
                <c:pt idx="278">
                  <c:v>2.61</c:v>
                </c:pt>
                <c:pt idx="279">
                  <c:v>-1.39</c:v>
                </c:pt>
                <c:pt idx="280">
                  <c:v>0.85</c:v>
                </c:pt>
                <c:pt idx="281">
                  <c:v>-0.98</c:v>
                </c:pt>
                <c:pt idx="282">
                  <c:v>-0.35</c:v>
                </c:pt>
                <c:pt idx="283">
                  <c:v>-3.42</c:v>
                </c:pt>
                <c:pt idx="284">
                  <c:v>2.62</c:v>
                </c:pt>
                <c:pt idx="285">
                  <c:v>2.0699999999999998</c:v>
                </c:pt>
                <c:pt idx="286">
                  <c:v>3.87</c:v>
                </c:pt>
                <c:pt idx="287">
                  <c:v>4.2699999999999996</c:v>
                </c:pt>
                <c:pt idx="288">
                  <c:v>2.2000000000000002</c:v>
                </c:pt>
                <c:pt idx="289">
                  <c:v>2.23</c:v>
                </c:pt>
                <c:pt idx="290">
                  <c:v>1.66</c:v>
                </c:pt>
                <c:pt idx="291">
                  <c:v>0.74</c:v>
                </c:pt>
                <c:pt idx="292">
                  <c:v>3.71</c:v>
                </c:pt>
                <c:pt idx="293">
                  <c:v>-0.11</c:v>
                </c:pt>
                <c:pt idx="294">
                  <c:v>1.4</c:v>
                </c:pt>
                <c:pt idx="295">
                  <c:v>7.2</c:v>
                </c:pt>
                <c:pt idx="296">
                  <c:v>1.84</c:v>
                </c:pt>
                <c:pt idx="297">
                  <c:v>3.67</c:v>
                </c:pt>
                <c:pt idx="298">
                  <c:v>-0.49</c:v>
                </c:pt>
                <c:pt idx="299">
                  <c:v>2.0699999999999998</c:v>
                </c:pt>
                <c:pt idx="300">
                  <c:v>0.6</c:v>
                </c:pt>
                <c:pt idx="301">
                  <c:v>3.12</c:v>
                </c:pt>
                <c:pt idx="302">
                  <c:v>3.49</c:v>
                </c:pt>
                <c:pt idx="303">
                  <c:v>5.08</c:v>
                </c:pt>
                <c:pt idx="304">
                  <c:v>-1.77</c:v>
                </c:pt>
                <c:pt idx="305">
                  <c:v>3.51</c:v>
                </c:pt>
                <c:pt idx="306">
                  <c:v>-3.37</c:v>
                </c:pt>
                <c:pt idx="307">
                  <c:v>6.43</c:v>
                </c:pt>
                <c:pt idx="308">
                  <c:v>3.22</c:v>
                </c:pt>
                <c:pt idx="309">
                  <c:v>2.15</c:v>
                </c:pt>
                <c:pt idx="310">
                  <c:v>0.06</c:v>
                </c:pt>
                <c:pt idx="311">
                  <c:v>-0.86</c:v>
                </c:pt>
                <c:pt idx="312">
                  <c:v>7.97</c:v>
                </c:pt>
                <c:pt idx="313">
                  <c:v>2.65</c:v>
                </c:pt>
                <c:pt idx="314">
                  <c:v>2.84</c:v>
                </c:pt>
                <c:pt idx="315">
                  <c:v>5.5</c:v>
                </c:pt>
                <c:pt idx="316">
                  <c:v>1.1200000000000001</c:v>
                </c:pt>
                <c:pt idx="317">
                  <c:v>0.99</c:v>
                </c:pt>
                <c:pt idx="318">
                  <c:v>0.48</c:v>
                </c:pt>
                <c:pt idx="319">
                  <c:v>2.4500000000000002</c:v>
                </c:pt>
                <c:pt idx="320">
                  <c:v>-0.18</c:v>
                </c:pt>
                <c:pt idx="321">
                  <c:v>1.17</c:v>
                </c:pt>
                <c:pt idx="322">
                  <c:v>1.81</c:v>
                </c:pt>
                <c:pt idx="323">
                  <c:v>1.89</c:v>
                </c:pt>
                <c:pt idx="324">
                  <c:v>2.27</c:v>
                </c:pt>
                <c:pt idx="325">
                  <c:v>3.67</c:v>
                </c:pt>
                <c:pt idx="326">
                  <c:v>-1.04</c:v>
                </c:pt>
                <c:pt idx="327">
                  <c:v>2.4700000000000002</c:v>
                </c:pt>
                <c:pt idx="328">
                  <c:v>-0.3</c:v>
                </c:pt>
                <c:pt idx="329">
                  <c:v>3.46</c:v>
                </c:pt>
                <c:pt idx="330">
                  <c:v>0.52</c:v>
                </c:pt>
                <c:pt idx="331">
                  <c:v>2.02</c:v>
                </c:pt>
                <c:pt idx="332">
                  <c:v>-0.4</c:v>
                </c:pt>
                <c:pt idx="333">
                  <c:v>3.2</c:v>
                </c:pt>
                <c:pt idx="334">
                  <c:v>1.55</c:v>
                </c:pt>
                <c:pt idx="335">
                  <c:v>2.14</c:v>
                </c:pt>
                <c:pt idx="336">
                  <c:v>-0.86</c:v>
                </c:pt>
                <c:pt idx="337">
                  <c:v>2.63</c:v>
                </c:pt>
                <c:pt idx="338">
                  <c:v>-2.92</c:v>
                </c:pt>
                <c:pt idx="339">
                  <c:v>0.09</c:v>
                </c:pt>
                <c:pt idx="340">
                  <c:v>3.67</c:v>
                </c:pt>
                <c:pt idx="341">
                  <c:v>2.93</c:v>
                </c:pt>
                <c:pt idx="342">
                  <c:v>5.81</c:v>
                </c:pt>
                <c:pt idx="343">
                  <c:v>3.58</c:v>
                </c:pt>
                <c:pt idx="344">
                  <c:v>2.5</c:v>
                </c:pt>
                <c:pt idx="345">
                  <c:v>3.34</c:v>
                </c:pt>
                <c:pt idx="346">
                  <c:v>4</c:v>
                </c:pt>
                <c:pt idx="347">
                  <c:v>2.98</c:v>
                </c:pt>
                <c:pt idx="348">
                  <c:v>0.79</c:v>
                </c:pt>
                <c:pt idx="349">
                  <c:v>2.2000000000000002</c:v>
                </c:pt>
                <c:pt idx="350">
                  <c:v>2.12</c:v>
                </c:pt>
                <c:pt idx="351">
                  <c:v>-1.1399999999999999</c:v>
                </c:pt>
                <c:pt idx="352">
                  <c:v>1.81</c:v>
                </c:pt>
                <c:pt idx="353">
                  <c:v>1.7</c:v>
                </c:pt>
                <c:pt idx="354">
                  <c:v>2.2000000000000002</c:v>
                </c:pt>
                <c:pt idx="355">
                  <c:v>2.87</c:v>
                </c:pt>
                <c:pt idx="356">
                  <c:v>-1.28</c:v>
                </c:pt>
                <c:pt idx="357">
                  <c:v>4.24</c:v>
                </c:pt>
                <c:pt idx="358">
                  <c:v>0.85</c:v>
                </c:pt>
                <c:pt idx="359">
                  <c:v>3.33</c:v>
                </c:pt>
                <c:pt idx="360">
                  <c:v>3.28</c:v>
                </c:pt>
                <c:pt idx="361">
                  <c:v>2.25</c:v>
                </c:pt>
                <c:pt idx="362">
                  <c:v>1.4</c:v>
                </c:pt>
                <c:pt idx="363">
                  <c:v>1.62</c:v>
                </c:pt>
                <c:pt idx="364">
                  <c:v>1.87</c:v>
                </c:pt>
                <c:pt idx="365">
                  <c:v>0.75</c:v>
                </c:pt>
                <c:pt idx="366">
                  <c:v>1.95</c:v>
                </c:pt>
                <c:pt idx="367">
                  <c:v>-0.46</c:v>
                </c:pt>
                <c:pt idx="368">
                  <c:v>3.27</c:v>
                </c:pt>
                <c:pt idx="369">
                  <c:v>2.56</c:v>
                </c:pt>
                <c:pt idx="370">
                  <c:v>2.74</c:v>
                </c:pt>
                <c:pt idx="371">
                  <c:v>1.56</c:v>
                </c:pt>
                <c:pt idx="372">
                  <c:v>0.62</c:v>
                </c:pt>
                <c:pt idx="373">
                  <c:v>0.46</c:v>
                </c:pt>
                <c:pt idx="374">
                  <c:v>4.1500000000000004</c:v>
                </c:pt>
                <c:pt idx="375">
                  <c:v>0.48</c:v>
                </c:pt>
                <c:pt idx="376">
                  <c:v>3.97</c:v>
                </c:pt>
                <c:pt idx="377">
                  <c:v>3.25</c:v>
                </c:pt>
                <c:pt idx="378">
                  <c:v>2.48</c:v>
                </c:pt>
                <c:pt idx="379">
                  <c:v>3.44</c:v>
                </c:pt>
                <c:pt idx="380">
                  <c:v>4.43</c:v>
                </c:pt>
                <c:pt idx="381">
                  <c:v>-1.37</c:v>
                </c:pt>
                <c:pt idx="382">
                  <c:v>0.57999999999999996</c:v>
                </c:pt>
                <c:pt idx="383">
                  <c:v>-1.3</c:v>
                </c:pt>
                <c:pt idx="384">
                  <c:v>2.72</c:v>
                </c:pt>
                <c:pt idx="385">
                  <c:v>1.81</c:v>
                </c:pt>
                <c:pt idx="386">
                  <c:v>2.0699999999999998</c:v>
                </c:pt>
                <c:pt idx="387">
                  <c:v>4.09</c:v>
                </c:pt>
                <c:pt idx="388">
                  <c:v>0.68</c:v>
                </c:pt>
                <c:pt idx="389">
                  <c:v>1.63</c:v>
                </c:pt>
                <c:pt idx="390">
                  <c:v>1.52</c:v>
                </c:pt>
                <c:pt idx="391">
                  <c:v>3.98</c:v>
                </c:pt>
                <c:pt idx="392">
                  <c:v>-0.38</c:v>
                </c:pt>
                <c:pt idx="393">
                  <c:v>1.96</c:v>
                </c:pt>
                <c:pt idx="394">
                  <c:v>5.21</c:v>
                </c:pt>
                <c:pt idx="395">
                  <c:v>1.25</c:v>
                </c:pt>
                <c:pt idx="396">
                  <c:v>2.63</c:v>
                </c:pt>
                <c:pt idx="397">
                  <c:v>1.77</c:v>
                </c:pt>
                <c:pt idx="398">
                  <c:v>-0.45</c:v>
                </c:pt>
                <c:pt idx="399">
                  <c:v>0.02</c:v>
                </c:pt>
                <c:pt idx="400">
                  <c:v>1.58</c:v>
                </c:pt>
                <c:pt idx="401">
                  <c:v>3.38</c:v>
                </c:pt>
                <c:pt idx="402">
                  <c:v>4.59</c:v>
                </c:pt>
                <c:pt idx="403">
                  <c:v>1.25</c:v>
                </c:pt>
                <c:pt idx="404">
                  <c:v>3.56</c:v>
                </c:pt>
                <c:pt idx="405">
                  <c:v>1.69</c:v>
                </c:pt>
                <c:pt idx="406">
                  <c:v>-7.0000000000000007E-2</c:v>
                </c:pt>
                <c:pt idx="407">
                  <c:v>0.15</c:v>
                </c:pt>
                <c:pt idx="408">
                  <c:v>-0.32</c:v>
                </c:pt>
                <c:pt idx="409">
                  <c:v>3.14</c:v>
                </c:pt>
                <c:pt idx="410">
                  <c:v>1.63</c:v>
                </c:pt>
                <c:pt idx="411">
                  <c:v>2.81</c:v>
                </c:pt>
                <c:pt idx="412">
                  <c:v>1.68</c:v>
                </c:pt>
                <c:pt idx="413">
                  <c:v>-0.22</c:v>
                </c:pt>
                <c:pt idx="414">
                  <c:v>1.1200000000000001</c:v>
                </c:pt>
                <c:pt idx="415">
                  <c:v>2.72</c:v>
                </c:pt>
                <c:pt idx="416">
                  <c:v>1.52</c:v>
                </c:pt>
                <c:pt idx="417">
                  <c:v>2.15</c:v>
                </c:pt>
                <c:pt idx="418">
                  <c:v>-0.6</c:v>
                </c:pt>
                <c:pt idx="419">
                  <c:v>1.93</c:v>
                </c:pt>
                <c:pt idx="420">
                  <c:v>1.92</c:v>
                </c:pt>
                <c:pt idx="421">
                  <c:v>0.55000000000000004</c:v>
                </c:pt>
                <c:pt idx="422">
                  <c:v>1.31</c:v>
                </c:pt>
                <c:pt idx="423">
                  <c:v>-1.05</c:v>
                </c:pt>
                <c:pt idx="424">
                  <c:v>3.07</c:v>
                </c:pt>
                <c:pt idx="425">
                  <c:v>-0.9</c:v>
                </c:pt>
                <c:pt idx="426">
                  <c:v>0.59</c:v>
                </c:pt>
                <c:pt idx="427">
                  <c:v>-0.22</c:v>
                </c:pt>
                <c:pt idx="428">
                  <c:v>2.0499999999999998</c:v>
                </c:pt>
                <c:pt idx="429">
                  <c:v>0.47</c:v>
                </c:pt>
                <c:pt idx="430">
                  <c:v>3.84</c:v>
                </c:pt>
                <c:pt idx="431">
                  <c:v>1.85</c:v>
                </c:pt>
                <c:pt idx="432">
                  <c:v>0.05</c:v>
                </c:pt>
                <c:pt idx="433">
                  <c:v>-0.98</c:v>
                </c:pt>
                <c:pt idx="434">
                  <c:v>1.07</c:v>
                </c:pt>
                <c:pt idx="435">
                  <c:v>2.4</c:v>
                </c:pt>
                <c:pt idx="436">
                  <c:v>-1.04</c:v>
                </c:pt>
                <c:pt idx="437">
                  <c:v>-1.84</c:v>
                </c:pt>
                <c:pt idx="438">
                  <c:v>3.03</c:v>
                </c:pt>
                <c:pt idx="439">
                  <c:v>3.5</c:v>
                </c:pt>
                <c:pt idx="440">
                  <c:v>1.83</c:v>
                </c:pt>
                <c:pt idx="441">
                  <c:v>0.56999999999999995</c:v>
                </c:pt>
                <c:pt idx="442">
                  <c:v>-1.55</c:v>
                </c:pt>
                <c:pt idx="443">
                  <c:v>-0.01</c:v>
                </c:pt>
                <c:pt idx="444">
                  <c:v>2.71</c:v>
                </c:pt>
                <c:pt idx="445">
                  <c:v>0.8</c:v>
                </c:pt>
                <c:pt idx="446">
                  <c:v>-0.36</c:v>
                </c:pt>
                <c:pt idx="447">
                  <c:v>0.93</c:v>
                </c:pt>
                <c:pt idx="448">
                  <c:v>1.55</c:v>
                </c:pt>
                <c:pt idx="449">
                  <c:v>2</c:v>
                </c:pt>
                <c:pt idx="450">
                  <c:v>6.27</c:v>
                </c:pt>
                <c:pt idx="451">
                  <c:v>3.8</c:v>
                </c:pt>
                <c:pt idx="452">
                  <c:v>3.32</c:v>
                </c:pt>
                <c:pt idx="453">
                  <c:v>3.95</c:v>
                </c:pt>
                <c:pt idx="454">
                  <c:v>1.81</c:v>
                </c:pt>
                <c:pt idx="455">
                  <c:v>0.91</c:v>
                </c:pt>
                <c:pt idx="456">
                  <c:v>0.17</c:v>
                </c:pt>
                <c:pt idx="457">
                  <c:v>0.16</c:v>
                </c:pt>
                <c:pt idx="458">
                  <c:v>-0.54</c:v>
                </c:pt>
                <c:pt idx="459">
                  <c:v>2.46</c:v>
                </c:pt>
                <c:pt idx="460">
                  <c:v>0.78</c:v>
                </c:pt>
                <c:pt idx="461">
                  <c:v>2.13</c:v>
                </c:pt>
                <c:pt idx="462">
                  <c:v>-1.58</c:v>
                </c:pt>
                <c:pt idx="463">
                  <c:v>3.35</c:v>
                </c:pt>
                <c:pt idx="464">
                  <c:v>2.5099999999999998</c:v>
                </c:pt>
                <c:pt idx="465">
                  <c:v>3.72</c:v>
                </c:pt>
                <c:pt idx="466">
                  <c:v>0.38</c:v>
                </c:pt>
                <c:pt idx="467">
                  <c:v>3.65</c:v>
                </c:pt>
                <c:pt idx="468">
                  <c:v>3.95</c:v>
                </c:pt>
                <c:pt idx="469">
                  <c:v>2.2000000000000002</c:v>
                </c:pt>
                <c:pt idx="470">
                  <c:v>2.25</c:v>
                </c:pt>
                <c:pt idx="471">
                  <c:v>3.93</c:v>
                </c:pt>
                <c:pt idx="472">
                  <c:v>0.81</c:v>
                </c:pt>
                <c:pt idx="473">
                  <c:v>4.13</c:v>
                </c:pt>
                <c:pt idx="474">
                  <c:v>3.83</c:v>
                </c:pt>
                <c:pt idx="475">
                  <c:v>-0.08</c:v>
                </c:pt>
                <c:pt idx="476">
                  <c:v>2.4300000000000002</c:v>
                </c:pt>
                <c:pt idx="477">
                  <c:v>0.28999999999999998</c:v>
                </c:pt>
                <c:pt idx="478">
                  <c:v>2.16</c:v>
                </c:pt>
                <c:pt idx="479">
                  <c:v>-1.26</c:v>
                </c:pt>
                <c:pt idx="480">
                  <c:v>1.05</c:v>
                </c:pt>
                <c:pt idx="481">
                  <c:v>-0.64</c:v>
                </c:pt>
                <c:pt idx="482">
                  <c:v>0.03</c:v>
                </c:pt>
                <c:pt idx="483">
                  <c:v>3.54</c:v>
                </c:pt>
                <c:pt idx="484">
                  <c:v>5.62</c:v>
                </c:pt>
                <c:pt idx="485">
                  <c:v>1.1399999999999999</c:v>
                </c:pt>
                <c:pt idx="486">
                  <c:v>1.17</c:v>
                </c:pt>
                <c:pt idx="487">
                  <c:v>1.65</c:v>
                </c:pt>
                <c:pt idx="488">
                  <c:v>1.63</c:v>
                </c:pt>
                <c:pt idx="489">
                  <c:v>-0.33</c:v>
                </c:pt>
                <c:pt idx="490">
                  <c:v>3.08</c:v>
                </c:pt>
                <c:pt idx="491">
                  <c:v>1.35</c:v>
                </c:pt>
                <c:pt idx="492">
                  <c:v>-0.48</c:v>
                </c:pt>
                <c:pt idx="493">
                  <c:v>0.93</c:v>
                </c:pt>
                <c:pt idx="494">
                  <c:v>4.5</c:v>
                </c:pt>
                <c:pt idx="495">
                  <c:v>0.33</c:v>
                </c:pt>
                <c:pt idx="496">
                  <c:v>1.42</c:v>
                </c:pt>
                <c:pt idx="497">
                  <c:v>1.49</c:v>
                </c:pt>
                <c:pt idx="498">
                  <c:v>0.04</c:v>
                </c:pt>
                <c:pt idx="499">
                  <c:v>-1.07</c:v>
                </c:pt>
                <c:pt idx="500">
                  <c:v>0.77</c:v>
                </c:pt>
                <c:pt idx="501">
                  <c:v>2.25</c:v>
                </c:pt>
                <c:pt idx="502">
                  <c:v>1.73</c:v>
                </c:pt>
                <c:pt idx="503">
                  <c:v>0.94</c:v>
                </c:pt>
                <c:pt idx="504">
                  <c:v>4.24</c:v>
                </c:pt>
                <c:pt idx="505">
                  <c:v>2.46</c:v>
                </c:pt>
                <c:pt idx="506">
                  <c:v>2.29</c:v>
                </c:pt>
                <c:pt idx="507">
                  <c:v>2.72</c:v>
                </c:pt>
                <c:pt idx="508">
                  <c:v>3.48</c:v>
                </c:pt>
                <c:pt idx="509">
                  <c:v>1.84</c:v>
                </c:pt>
                <c:pt idx="510">
                  <c:v>-0.04</c:v>
                </c:pt>
                <c:pt idx="511">
                  <c:v>0.35</c:v>
                </c:pt>
                <c:pt idx="512">
                  <c:v>1.52</c:v>
                </c:pt>
                <c:pt idx="513">
                  <c:v>1.7</c:v>
                </c:pt>
                <c:pt idx="514">
                  <c:v>1.85</c:v>
                </c:pt>
                <c:pt idx="515">
                  <c:v>0.83</c:v>
                </c:pt>
                <c:pt idx="516">
                  <c:v>1.87</c:v>
                </c:pt>
                <c:pt idx="517">
                  <c:v>3.19</c:v>
                </c:pt>
                <c:pt idx="518">
                  <c:v>2.41</c:v>
                </c:pt>
                <c:pt idx="519">
                  <c:v>1.26</c:v>
                </c:pt>
                <c:pt idx="520">
                  <c:v>-0.92</c:v>
                </c:pt>
                <c:pt idx="521">
                  <c:v>0.95</c:v>
                </c:pt>
                <c:pt idx="522">
                  <c:v>5.0599999999999996</c:v>
                </c:pt>
                <c:pt idx="523">
                  <c:v>2.8</c:v>
                </c:pt>
                <c:pt idx="524">
                  <c:v>5.9</c:v>
                </c:pt>
                <c:pt idx="525">
                  <c:v>1.37</c:v>
                </c:pt>
                <c:pt idx="526">
                  <c:v>0.64</c:v>
                </c:pt>
                <c:pt idx="527">
                  <c:v>2.71</c:v>
                </c:pt>
                <c:pt idx="528">
                  <c:v>3.79</c:v>
                </c:pt>
                <c:pt idx="529">
                  <c:v>1</c:v>
                </c:pt>
                <c:pt idx="530">
                  <c:v>2.39</c:v>
                </c:pt>
                <c:pt idx="531">
                  <c:v>0.64</c:v>
                </c:pt>
                <c:pt idx="532">
                  <c:v>4.55</c:v>
                </c:pt>
                <c:pt idx="533">
                  <c:v>1.45</c:v>
                </c:pt>
                <c:pt idx="534">
                  <c:v>3.25</c:v>
                </c:pt>
                <c:pt idx="535">
                  <c:v>-1.0900000000000001</c:v>
                </c:pt>
                <c:pt idx="536">
                  <c:v>0.47</c:v>
                </c:pt>
                <c:pt idx="537">
                  <c:v>1.17</c:v>
                </c:pt>
                <c:pt idx="538">
                  <c:v>0.99</c:v>
                </c:pt>
                <c:pt idx="539">
                  <c:v>2.09</c:v>
                </c:pt>
                <c:pt idx="540">
                  <c:v>0.6</c:v>
                </c:pt>
                <c:pt idx="541">
                  <c:v>-0.26</c:v>
                </c:pt>
                <c:pt idx="542">
                  <c:v>-0.81</c:v>
                </c:pt>
                <c:pt idx="543">
                  <c:v>3.05</c:v>
                </c:pt>
                <c:pt idx="544">
                  <c:v>2.96</c:v>
                </c:pt>
                <c:pt idx="545">
                  <c:v>3.24</c:v>
                </c:pt>
                <c:pt idx="546">
                  <c:v>-0.72</c:v>
                </c:pt>
                <c:pt idx="547">
                  <c:v>7.0000000000000007E-2</c:v>
                </c:pt>
                <c:pt idx="548">
                  <c:v>0.97</c:v>
                </c:pt>
                <c:pt idx="549">
                  <c:v>1.67</c:v>
                </c:pt>
                <c:pt idx="550">
                  <c:v>5.19</c:v>
                </c:pt>
                <c:pt idx="551">
                  <c:v>0.14000000000000001</c:v>
                </c:pt>
                <c:pt idx="552">
                  <c:v>-0.74</c:v>
                </c:pt>
                <c:pt idx="553">
                  <c:v>0.98</c:v>
                </c:pt>
                <c:pt idx="554">
                  <c:v>2.44</c:v>
                </c:pt>
                <c:pt idx="555">
                  <c:v>0.34</c:v>
                </c:pt>
                <c:pt idx="556">
                  <c:v>3.11</c:v>
                </c:pt>
                <c:pt idx="557">
                  <c:v>3.1</c:v>
                </c:pt>
                <c:pt idx="558">
                  <c:v>4.0599999999999996</c:v>
                </c:pt>
                <c:pt idx="559">
                  <c:v>0.78</c:v>
                </c:pt>
                <c:pt idx="560">
                  <c:v>2.62</c:v>
                </c:pt>
                <c:pt idx="561">
                  <c:v>1.62</c:v>
                </c:pt>
                <c:pt idx="562">
                  <c:v>5.57</c:v>
                </c:pt>
                <c:pt idx="563">
                  <c:v>-0.2</c:v>
                </c:pt>
                <c:pt idx="564">
                  <c:v>0.93</c:v>
                </c:pt>
                <c:pt idx="565">
                  <c:v>1.47</c:v>
                </c:pt>
                <c:pt idx="566">
                  <c:v>0.69</c:v>
                </c:pt>
                <c:pt idx="567">
                  <c:v>3.7</c:v>
                </c:pt>
                <c:pt idx="568">
                  <c:v>3.5</c:v>
                </c:pt>
                <c:pt idx="569">
                  <c:v>1.66</c:v>
                </c:pt>
                <c:pt idx="570">
                  <c:v>1.69</c:v>
                </c:pt>
                <c:pt idx="571">
                  <c:v>0.72</c:v>
                </c:pt>
                <c:pt idx="572">
                  <c:v>5.04</c:v>
                </c:pt>
                <c:pt idx="573">
                  <c:v>3.41</c:v>
                </c:pt>
                <c:pt idx="574">
                  <c:v>1.2</c:v>
                </c:pt>
                <c:pt idx="575">
                  <c:v>-0.5</c:v>
                </c:pt>
                <c:pt idx="576">
                  <c:v>0.65</c:v>
                </c:pt>
                <c:pt idx="577">
                  <c:v>1.5</c:v>
                </c:pt>
                <c:pt idx="578">
                  <c:v>3.54</c:v>
                </c:pt>
                <c:pt idx="579">
                  <c:v>1.47</c:v>
                </c:pt>
                <c:pt idx="580">
                  <c:v>1.1000000000000001</c:v>
                </c:pt>
                <c:pt idx="581">
                  <c:v>4.67</c:v>
                </c:pt>
                <c:pt idx="582">
                  <c:v>1.62</c:v>
                </c:pt>
                <c:pt idx="583">
                  <c:v>3.54</c:v>
                </c:pt>
                <c:pt idx="584">
                  <c:v>1.77</c:v>
                </c:pt>
                <c:pt idx="585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0B-49AB-B7B3-6AACB23A1631}"/>
            </c:ext>
          </c:extLst>
        </c:ser>
        <c:ser>
          <c:idx val="1"/>
          <c:order val="1"/>
          <c:tx>
            <c:strRef>
              <c:f>情绪数据!$J$1</c:f>
              <c:strCache>
                <c:ptCount val="1"/>
                <c:pt idx="0">
                  <c:v>昨日所有涨停真实收益率（包含炸板）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情绪数据!$A$2:$A$220</c:f>
              <c:numCache>
                <c:formatCode>m/d/yyyy</c:formatCode>
                <c:ptCount val="219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  <c:pt idx="19">
                  <c:v>44190</c:v>
                </c:pt>
                <c:pt idx="20">
                  <c:v>44193</c:v>
                </c:pt>
                <c:pt idx="21">
                  <c:v>44194</c:v>
                </c:pt>
                <c:pt idx="22">
                  <c:v>44195</c:v>
                </c:pt>
                <c:pt idx="23">
                  <c:v>44196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44245</c:v>
                </c:pt>
                <c:pt idx="53">
                  <c:v>44246</c:v>
                </c:pt>
                <c:pt idx="54">
                  <c:v>44249</c:v>
                </c:pt>
                <c:pt idx="55">
                  <c:v>44250</c:v>
                </c:pt>
                <c:pt idx="56">
                  <c:v>44251</c:v>
                </c:pt>
                <c:pt idx="57">
                  <c:v>44252</c:v>
                </c:pt>
                <c:pt idx="58">
                  <c:v>44253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44263</c:v>
                </c:pt>
                <c:pt idx="65">
                  <c:v>44264</c:v>
                </c:pt>
                <c:pt idx="66">
                  <c:v>44265</c:v>
                </c:pt>
                <c:pt idx="67">
                  <c:v>44266</c:v>
                </c:pt>
                <c:pt idx="68">
                  <c:v>44267</c:v>
                </c:pt>
                <c:pt idx="69">
                  <c:v>44270</c:v>
                </c:pt>
                <c:pt idx="70">
                  <c:v>44271</c:v>
                </c:pt>
                <c:pt idx="71">
                  <c:v>44272</c:v>
                </c:pt>
                <c:pt idx="72">
                  <c:v>44273</c:v>
                </c:pt>
                <c:pt idx="73">
                  <c:v>44274</c:v>
                </c:pt>
                <c:pt idx="74">
                  <c:v>44277</c:v>
                </c:pt>
                <c:pt idx="75">
                  <c:v>44278</c:v>
                </c:pt>
                <c:pt idx="76">
                  <c:v>44279</c:v>
                </c:pt>
                <c:pt idx="77">
                  <c:v>44280</c:v>
                </c:pt>
                <c:pt idx="78">
                  <c:v>44281</c:v>
                </c:pt>
                <c:pt idx="79">
                  <c:v>44284</c:v>
                </c:pt>
                <c:pt idx="80">
                  <c:v>44285</c:v>
                </c:pt>
                <c:pt idx="81">
                  <c:v>44286</c:v>
                </c:pt>
                <c:pt idx="82">
                  <c:v>44287</c:v>
                </c:pt>
                <c:pt idx="83">
                  <c:v>44288</c:v>
                </c:pt>
                <c:pt idx="84">
                  <c:v>44292</c:v>
                </c:pt>
                <c:pt idx="85">
                  <c:v>44293</c:v>
                </c:pt>
                <c:pt idx="86">
                  <c:v>44294</c:v>
                </c:pt>
                <c:pt idx="87">
                  <c:v>44295</c:v>
                </c:pt>
                <c:pt idx="88">
                  <c:v>44298</c:v>
                </c:pt>
                <c:pt idx="89">
                  <c:v>44299</c:v>
                </c:pt>
                <c:pt idx="90">
                  <c:v>44300</c:v>
                </c:pt>
                <c:pt idx="91">
                  <c:v>44301</c:v>
                </c:pt>
                <c:pt idx="92">
                  <c:v>44302</c:v>
                </c:pt>
                <c:pt idx="93">
                  <c:v>44305</c:v>
                </c:pt>
                <c:pt idx="94">
                  <c:v>44306</c:v>
                </c:pt>
                <c:pt idx="95">
                  <c:v>44307</c:v>
                </c:pt>
                <c:pt idx="96">
                  <c:v>44308</c:v>
                </c:pt>
                <c:pt idx="97">
                  <c:v>44309</c:v>
                </c:pt>
                <c:pt idx="98">
                  <c:v>44312</c:v>
                </c:pt>
                <c:pt idx="99">
                  <c:v>44313</c:v>
                </c:pt>
                <c:pt idx="100">
                  <c:v>44314</c:v>
                </c:pt>
                <c:pt idx="101">
                  <c:v>44315</c:v>
                </c:pt>
                <c:pt idx="102">
                  <c:v>44316</c:v>
                </c:pt>
                <c:pt idx="103">
                  <c:v>44322</c:v>
                </c:pt>
                <c:pt idx="104">
                  <c:v>44323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44333</c:v>
                </c:pt>
                <c:pt idx="110">
                  <c:v>44334</c:v>
                </c:pt>
                <c:pt idx="111">
                  <c:v>44335</c:v>
                </c:pt>
                <c:pt idx="112">
                  <c:v>44336</c:v>
                </c:pt>
                <c:pt idx="113">
                  <c:v>44337</c:v>
                </c:pt>
                <c:pt idx="114">
                  <c:v>44340</c:v>
                </c:pt>
                <c:pt idx="115">
                  <c:v>44341</c:v>
                </c:pt>
                <c:pt idx="116">
                  <c:v>44342</c:v>
                </c:pt>
                <c:pt idx="117">
                  <c:v>44343</c:v>
                </c:pt>
                <c:pt idx="118">
                  <c:v>44344</c:v>
                </c:pt>
                <c:pt idx="119">
                  <c:v>44347</c:v>
                </c:pt>
                <c:pt idx="120">
                  <c:v>44348</c:v>
                </c:pt>
                <c:pt idx="121">
                  <c:v>44349</c:v>
                </c:pt>
                <c:pt idx="122">
                  <c:v>44350</c:v>
                </c:pt>
                <c:pt idx="123">
                  <c:v>44351</c:v>
                </c:pt>
                <c:pt idx="124">
                  <c:v>44354</c:v>
                </c:pt>
                <c:pt idx="125">
                  <c:v>44355</c:v>
                </c:pt>
                <c:pt idx="126">
                  <c:v>44356</c:v>
                </c:pt>
                <c:pt idx="127">
                  <c:v>44357</c:v>
                </c:pt>
                <c:pt idx="128">
                  <c:v>44358</c:v>
                </c:pt>
                <c:pt idx="129">
                  <c:v>44362</c:v>
                </c:pt>
                <c:pt idx="130">
                  <c:v>44363</c:v>
                </c:pt>
                <c:pt idx="131">
                  <c:v>44364</c:v>
                </c:pt>
                <c:pt idx="132">
                  <c:v>44365</c:v>
                </c:pt>
                <c:pt idx="133">
                  <c:v>44368</c:v>
                </c:pt>
                <c:pt idx="134">
                  <c:v>44369</c:v>
                </c:pt>
                <c:pt idx="135">
                  <c:v>44370</c:v>
                </c:pt>
                <c:pt idx="136">
                  <c:v>44371</c:v>
                </c:pt>
                <c:pt idx="137">
                  <c:v>44372</c:v>
                </c:pt>
                <c:pt idx="138">
                  <c:v>44375</c:v>
                </c:pt>
                <c:pt idx="139">
                  <c:v>44376</c:v>
                </c:pt>
                <c:pt idx="140">
                  <c:v>44377</c:v>
                </c:pt>
                <c:pt idx="141">
                  <c:v>44378</c:v>
                </c:pt>
                <c:pt idx="142">
                  <c:v>44379</c:v>
                </c:pt>
                <c:pt idx="143">
                  <c:v>44382</c:v>
                </c:pt>
                <c:pt idx="144">
                  <c:v>44383</c:v>
                </c:pt>
                <c:pt idx="145">
                  <c:v>44384</c:v>
                </c:pt>
                <c:pt idx="146">
                  <c:v>44385</c:v>
                </c:pt>
                <c:pt idx="147">
                  <c:v>44386</c:v>
                </c:pt>
                <c:pt idx="148">
                  <c:v>44389</c:v>
                </c:pt>
                <c:pt idx="149">
                  <c:v>44390</c:v>
                </c:pt>
                <c:pt idx="150">
                  <c:v>44391</c:v>
                </c:pt>
                <c:pt idx="151">
                  <c:v>44392</c:v>
                </c:pt>
                <c:pt idx="152">
                  <c:v>44393</c:v>
                </c:pt>
                <c:pt idx="153">
                  <c:v>44396</c:v>
                </c:pt>
                <c:pt idx="154">
                  <c:v>44397</c:v>
                </c:pt>
                <c:pt idx="155">
                  <c:v>44398</c:v>
                </c:pt>
                <c:pt idx="156">
                  <c:v>44399</c:v>
                </c:pt>
                <c:pt idx="157">
                  <c:v>44400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44410</c:v>
                </c:pt>
                <c:pt idx="164">
                  <c:v>44411</c:v>
                </c:pt>
                <c:pt idx="165">
                  <c:v>44412</c:v>
                </c:pt>
                <c:pt idx="166">
                  <c:v>44413</c:v>
                </c:pt>
                <c:pt idx="167">
                  <c:v>44414</c:v>
                </c:pt>
                <c:pt idx="168">
                  <c:v>44417</c:v>
                </c:pt>
                <c:pt idx="169">
                  <c:v>44418</c:v>
                </c:pt>
                <c:pt idx="170">
                  <c:v>44419</c:v>
                </c:pt>
                <c:pt idx="171">
                  <c:v>44420</c:v>
                </c:pt>
                <c:pt idx="172">
                  <c:v>44423</c:v>
                </c:pt>
                <c:pt idx="173">
                  <c:v>44424</c:v>
                </c:pt>
                <c:pt idx="174">
                  <c:v>44425</c:v>
                </c:pt>
                <c:pt idx="175">
                  <c:v>44426</c:v>
                </c:pt>
                <c:pt idx="176">
                  <c:v>44427</c:v>
                </c:pt>
                <c:pt idx="177">
                  <c:v>44428</c:v>
                </c:pt>
                <c:pt idx="178">
                  <c:v>44431</c:v>
                </c:pt>
                <c:pt idx="179">
                  <c:v>44432</c:v>
                </c:pt>
                <c:pt idx="180">
                  <c:v>44433</c:v>
                </c:pt>
                <c:pt idx="181">
                  <c:v>44434</c:v>
                </c:pt>
                <c:pt idx="182">
                  <c:v>44435</c:v>
                </c:pt>
                <c:pt idx="183">
                  <c:v>44438</c:v>
                </c:pt>
                <c:pt idx="184">
                  <c:v>44439</c:v>
                </c:pt>
                <c:pt idx="185">
                  <c:v>44440</c:v>
                </c:pt>
                <c:pt idx="186">
                  <c:v>44441</c:v>
                </c:pt>
                <c:pt idx="187">
                  <c:v>44442</c:v>
                </c:pt>
                <c:pt idx="188">
                  <c:v>44445</c:v>
                </c:pt>
                <c:pt idx="189">
                  <c:v>44446</c:v>
                </c:pt>
                <c:pt idx="190">
                  <c:v>44447</c:v>
                </c:pt>
                <c:pt idx="191">
                  <c:v>44448</c:v>
                </c:pt>
                <c:pt idx="192">
                  <c:v>44449</c:v>
                </c:pt>
                <c:pt idx="193">
                  <c:v>44452</c:v>
                </c:pt>
                <c:pt idx="194">
                  <c:v>44453</c:v>
                </c:pt>
                <c:pt idx="195">
                  <c:v>44454</c:v>
                </c:pt>
                <c:pt idx="196">
                  <c:v>44455</c:v>
                </c:pt>
                <c:pt idx="197">
                  <c:v>44456</c:v>
                </c:pt>
                <c:pt idx="198">
                  <c:v>44461</c:v>
                </c:pt>
                <c:pt idx="199">
                  <c:v>44462</c:v>
                </c:pt>
                <c:pt idx="200">
                  <c:v>44463</c:v>
                </c:pt>
                <c:pt idx="201">
                  <c:v>44466</c:v>
                </c:pt>
                <c:pt idx="202">
                  <c:v>44467</c:v>
                </c:pt>
                <c:pt idx="203">
                  <c:v>44468</c:v>
                </c:pt>
                <c:pt idx="204">
                  <c:v>44469</c:v>
                </c:pt>
                <c:pt idx="205">
                  <c:v>44477</c:v>
                </c:pt>
                <c:pt idx="206">
                  <c:v>44480</c:v>
                </c:pt>
                <c:pt idx="207">
                  <c:v>44481</c:v>
                </c:pt>
                <c:pt idx="208">
                  <c:v>44482</c:v>
                </c:pt>
                <c:pt idx="209">
                  <c:v>44483</c:v>
                </c:pt>
                <c:pt idx="210">
                  <c:v>44484</c:v>
                </c:pt>
                <c:pt idx="211">
                  <c:v>44487</c:v>
                </c:pt>
                <c:pt idx="212">
                  <c:v>44488</c:v>
                </c:pt>
                <c:pt idx="213">
                  <c:v>44489</c:v>
                </c:pt>
                <c:pt idx="214">
                  <c:v>44490</c:v>
                </c:pt>
                <c:pt idx="215">
                  <c:v>44491</c:v>
                </c:pt>
                <c:pt idx="216">
                  <c:v>44494</c:v>
                </c:pt>
                <c:pt idx="217">
                  <c:v>44495</c:v>
                </c:pt>
                <c:pt idx="218">
                  <c:v>44496</c:v>
                </c:pt>
              </c:numCache>
            </c:numRef>
          </c:cat>
          <c:val>
            <c:numRef>
              <c:f>情绪数据!昨日含炸板</c:f>
              <c:numCache>
                <c:formatCode>0.00_ ;[Red]\-0.00\ </c:formatCode>
                <c:ptCount val="586"/>
                <c:pt idx="0">
                  <c:v>-0.54</c:v>
                </c:pt>
                <c:pt idx="1">
                  <c:v>0.15</c:v>
                </c:pt>
                <c:pt idx="2">
                  <c:v>2.21</c:v>
                </c:pt>
                <c:pt idx="3">
                  <c:v>0.42</c:v>
                </c:pt>
                <c:pt idx="4">
                  <c:v>-1.57</c:v>
                </c:pt>
                <c:pt idx="5">
                  <c:v>-0.7</c:v>
                </c:pt>
                <c:pt idx="6">
                  <c:v>-3.18</c:v>
                </c:pt>
                <c:pt idx="7">
                  <c:v>-2.08</c:v>
                </c:pt>
                <c:pt idx="8">
                  <c:v>-1.85</c:v>
                </c:pt>
                <c:pt idx="9">
                  <c:v>-0.78</c:v>
                </c:pt>
                <c:pt idx="10">
                  <c:v>-1.68</c:v>
                </c:pt>
                <c:pt idx="11">
                  <c:v>0</c:v>
                </c:pt>
                <c:pt idx="12">
                  <c:v>-1.1299999999999999</c:v>
                </c:pt>
                <c:pt idx="13">
                  <c:v>-1.1100000000000001</c:v>
                </c:pt>
                <c:pt idx="14">
                  <c:v>1.1499999999999999</c:v>
                </c:pt>
                <c:pt idx="15">
                  <c:v>1.44</c:v>
                </c:pt>
                <c:pt idx="16">
                  <c:v>-0.67</c:v>
                </c:pt>
                <c:pt idx="17">
                  <c:v>1.41</c:v>
                </c:pt>
                <c:pt idx="18">
                  <c:v>-1.45</c:v>
                </c:pt>
                <c:pt idx="19">
                  <c:v>1.57</c:v>
                </c:pt>
                <c:pt idx="20">
                  <c:v>2.0099999999999998</c:v>
                </c:pt>
                <c:pt idx="21">
                  <c:v>-2.04</c:v>
                </c:pt>
                <c:pt idx="22">
                  <c:v>0.21</c:v>
                </c:pt>
                <c:pt idx="23">
                  <c:v>1.54</c:v>
                </c:pt>
                <c:pt idx="24">
                  <c:v>2.29</c:v>
                </c:pt>
                <c:pt idx="25">
                  <c:v>0.7</c:v>
                </c:pt>
                <c:pt idx="26">
                  <c:v>-2.21</c:v>
                </c:pt>
                <c:pt idx="27">
                  <c:v>-2.29</c:v>
                </c:pt>
                <c:pt idx="28">
                  <c:v>-3.88</c:v>
                </c:pt>
                <c:pt idx="29">
                  <c:v>-1.1599999999999999</c:v>
                </c:pt>
                <c:pt idx="30">
                  <c:v>-0.73</c:v>
                </c:pt>
                <c:pt idx="31">
                  <c:v>0.27</c:v>
                </c:pt>
                <c:pt idx="32">
                  <c:v>-2.25</c:v>
                </c:pt>
                <c:pt idx="33">
                  <c:v>0.41</c:v>
                </c:pt>
                <c:pt idx="34">
                  <c:v>1.19</c:v>
                </c:pt>
                <c:pt idx="35">
                  <c:v>0.36</c:v>
                </c:pt>
                <c:pt idx="36">
                  <c:v>-0.02</c:v>
                </c:pt>
                <c:pt idx="37">
                  <c:v>1.38</c:v>
                </c:pt>
                <c:pt idx="38">
                  <c:v>-1.95</c:v>
                </c:pt>
                <c:pt idx="39">
                  <c:v>-1.1100000000000001</c:v>
                </c:pt>
                <c:pt idx="40">
                  <c:v>-3.21</c:v>
                </c:pt>
                <c:pt idx="41">
                  <c:v>1.19</c:v>
                </c:pt>
                <c:pt idx="42">
                  <c:v>-1.69</c:v>
                </c:pt>
                <c:pt idx="43">
                  <c:v>-6.21</c:v>
                </c:pt>
                <c:pt idx="44">
                  <c:v>0.87</c:v>
                </c:pt>
                <c:pt idx="45">
                  <c:v>0.34</c:v>
                </c:pt>
                <c:pt idx="46">
                  <c:v>-2.0699999999999998</c:v>
                </c:pt>
                <c:pt idx="47">
                  <c:v>-1.52</c:v>
                </c:pt>
                <c:pt idx="48">
                  <c:v>-4.3099999999999996</c:v>
                </c:pt>
                <c:pt idx="49">
                  <c:v>-3.28</c:v>
                </c:pt>
                <c:pt idx="50">
                  <c:v>1.62</c:v>
                </c:pt>
                <c:pt idx="51">
                  <c:v>-0.06</c:v>
                </c:pt>
                <c:pt idx="52">
                  <c:v>2.56</c:v>
                </c:pt>
                <c:pt idx="53">
                  <c:v>2.73</c:v>
                </c:pt>
                <c:pt idx="54">
                  <c:v>3.98</c:v>
                </c:pt>
                <c:pt idx="55">
                  <c:v>-2.0299999999999998</c:v>
                </c:pt>
                <c:pt idx="56">
                  <c:v>-2.5499999999999998</c:v>
                </c:pt>
                <c:pt idx="57">
                  <c:v>-0.44</c:v>
                </c:pt>
                <c:pt idx="58">
                  <c:v>-3.17</c:v>
                </c:pt>
                <c:pt idx="59">
                  <c:v>2.09</c:v>
                </c:pt>
                <c:pt idx="60">
                  <c:v>-0.71</c:v>
                </c:pt>
                <c:pt idx="61">
                  <c:v>1.91</c:v>
                </c:pt>
                <c:pt idx="62">
                  <c:v>1.52</c:v>
                </c:pt>
                <c:pt idx="63">
                  <c:v>-1.73</c:v>
                </c:pt>
                <c:pt idx="64">
                  <c:v>-0.5</c:v>
                </c:pt>
                <c:pt idx="65">
                  <c:v>-4.8600000000000003</c:v>
                </c:pt>
                <c:pt idx="66">
                  <c:v>-4.21</c:v>
                </c:pt>
                <c:pt idx="67">
                  <c:v>-0.86</c:v>
                </c:pt>
                <c:pt idx="68">
                  <c:v>0.25</c:v>
                </c:pt>
                <c:pt idx="69">
                  <c:v>-1.64</c:v>
                </c:pt>
                <c:pt idx="70">
                  <c:v>0.55000000000000004</c:v>
                </c:pt>
                <c:pt idx="71">
                  <c:v>0.6</c:v>
                </c:pt>
                <c:pt idx="72">
                  <c:v>-0.45</c:v>
                </c:pt>
                <c:pt idx="73">
                  <c:v>-0.36</c:v>
                </c:pt>
                <c:pt idx="74">
                  <c:v>2.0099999999999998</c:v>
                </c:pt>
                <c:pt idx="75">
                  <c:v>-0.71</c:v>
                </c:pt>
                <c:pt idx="76">
                  <c:v>-1.84</c:v>
                </c:pt>
                <c:pt idx="77">
                  <c:v>-3.14</c:v>
                </c:pt>
                <c:pt idx="78">
                  <c:v>-1.44</c:v>
                </c:pt>
                <c:pt idx="79">
                  <c:v>1.53</c:v>
                </c:pt>
                <c:pt idx="80">
                  <c:v>0.3</c:v>
                </c:pt>
                <c:pt idx="81">
                  <c:v>-1.08</c:v>
                </c:pt>
                <c:pt idx="82">
                  <c:v>-1.74</c:v>
                </c:pt>
                <c:pt idx="83">
                  <c:v>0.98</c:v>
                </c:pt>
                <c:pt idx="84">
                  <c:v>0.61</c:v>
                </c:pt>
                <c:pt idx="85">
                  <c:v>1.59</c:v>
                </c:pt>
                <c:pt idx="86">
                  <c:v>-3.59</c:v>
                </c:pt>
                <c:pt idx="87">
                  <c:v>-2.84</c:v>
                </c:pt>
                <c:pt idx="88">
                  <c:v>0.78</c:v>
                </c:pt>
                <c:pt idx="89">
                  <c:v>-2.12</c:v>
                </c:pt>
                <c:pt idx="90">
                  <c:v>0.28999999999999998</c:v>
                </c:pt>
                <c:pt idx="91">
                  <c:v>-3.89</c:v>
                </c:pt>
                <c:pt idx="92">
                  <c:v>0.38</c:v>
                </c:pt>
                <c:pt idx="93">
                  <c:v>-0.1</c:v>
                </c:pt>
                <c:pt idx="94">
                  <c:v>-0.64</c:v>
                </c:pt>
                <c:pt idx="95">
                  <c:v>-3.55</c:v>
                </c:pt>
                <c:pt idx="96">
                  <c:v>-0.82</c:v>
                </c:pt>
                <c:pt idx="97">
                  <c:v>-1.91</c:v>
                </c:pt>
                <c:pt idx="98">
                  <c:v>-0.2</c:v>
                </c:pt>
                <c:pt idx="99">
                  <c:v>-5.49</c:v>
                </c:pt>
                <c:pt idx="100">
                  <c:v>0.43</c:v>
                </c:pt>
                <c:pt idx="101">
                  <c:v>-0.89</c:v>
                </c:pt>
                <c:pt idx="102">
                  <c:v>-0.89</c:v>
                </c:pt>
                <c:pt idx="103">
                  <c:v>2.0299999999999998</c:v>
                </c:pt>
                <c:pt idx="104">
                  <c:v>0.46</c:v>
                </c:pt>
                <c:pt idx="105">
                  <c:v>3.89</c:v>
                </c:pt>
                <c:pt idx="106">
                  <c:v>7.0000000000000007E-2</c:v>
                </c:pt>
                <c:pt idx="107">
                  <c:v>0.1</c:v>
                </c:pt>
                <c:pt idx="108">
                  <c:v>-0.38</c:v>
                </c:pt>
                <c:pt idx="109">
                  <c:v>-1.29</c:v>
                </c:pt>
                <c:pt idx="110">
                  <c:v>-0.56999999999999995</c:v>
                </c:pt>
                <c:pt idx="111">
                  <c:v>-0.19</c:v>
                </c:pt>
                <c:pt idx="112">
                  <c:v>-0.78</c:v>
                </c:pt>
                <c:pt idx="113">
                  <c:v>-0.48</c:v>
                </c:pt>
                <c:pt idx="114">
                  <c:v>1</c:v>
                </c:pt>
                <c:pt idx="115">
                  <c:v>-1.2</c:v>
                </c:pt>
                <c:pt idx="116">
                  <c:v>0.21</c:v>
                </c:pt>
                <c:pt idx="117">
                  <c:v>-0.16</c:v>
                </c:pt>
                <c:pt idx="118">
                  <c:v>0.77</c:v>
                </c:pt>
                <c:pt idx="119">
                  <c:v>3.19</c:v>
                </c:pt>
                <c:pt idx="120">
                  <c:v>1.39</c:v>
                </c:pt>
                <c:pt idx="121">
                  <c:v>-1.57</c:v>
                </c:pt>
                <c:pt idx="122">
                  <c:v>-1.42</c:v>
                </c:pt>
                <c:pt idx="123">
                  <c:v>-2.0299999999999998</c:v>
                </c:pt>
                <c:pt idx="124">
                  <c:v>0.4</c:v>
                </c:pt>
                <c:pt idx="125">
                  <c:v>-0.53</c:v>
                </c:pt>
                <c:pt idx="126">
                  <c:v>0.32</c:v>
                </c:pt>
                <c:pt idx="127">
                  <c:v>0.78</c:v>
                </c:pt>
                <c:pt idx="128">
                  <c:v>0.65</c:v>
                </c:pt>
                <c:pt idx="129">
                  <c:v>-2.78</c:v>
                </c:pt>
                <c:pt idx="130">
                  <c:v>-3.08</c:v>
                </c:pt>
                <c:pt idx="131">
                  <c:v>0.13</c:v>
                </c:pt>
                <c:pt idx="132">
                  <c:v>0.78</c:v>
                </c:pt>
                <c:pt idx="133">
                  <c:v>1.52</c:v>
                </c:pt>
                <c:pt idx="134">
                  <c:v>0.91</c:v>
                </c:pt>
                <c:pt idx="135">
                  <c:v>-0.51</c:v>
                </c:pt>
                <c:pt idx="136">
                  <c:v>-1.84</c:v>
                </c:pt>
                <c:pt idx="137">
                  <c:v>0.44</c:v>
                </c:pt>
                <c:pt idx="138">
                  <c:v>0</c:v>
                </c:pt>
                <c:pt idx="139">
                  <c:v>-0.25</c:v>
                </c:pt>
                <c:pt idx="140">
                  <c:v>-0.31</c:v>
                </c:pt>
                <c:pt idx="141">
                  <c:v>-2.9</c:v>
                </c:pt>
                <c:pt idx="142">
                  <c:v>-0.56000000000000005</c:v>
                </c:pt>
                <c:pt idx="143">
                  <c:v>1.23</c:v>
                </c:pt>
                <c:pt idx="144">
                  <c:v>-0.96</c:v>
                </c:pt>
                <c:pt idx="145">
                  <c:v>0.31</c:v>
                </c:pt>
                <c:pt idx="146">
                  <c:v>0.17</c:v>
                </c:pt>
                <c:pt idx="147">
                  <c:v>0.5</c:v>
                </c:pt>
                <c:pt idx="148">
                  <c:v>3.14</c:v>
                </c:pt>
                <c:pt idx="149">
                  <c:v>-0.92</c:v>
                </c:pt>
                <c:pt idx="150">
                  <c:v>-0.77</c:v>
                </c:pt>
                <c:pt idx="151">
                  <c:v>-2.52</c:v>
                </c:pt>
                <c:pt idx="152">
                  <c:v>0.27</c:v>
                </c:pt>
                <c:pt idx="153">
                  <c:v>-2.4700000000000002</c:v>
                </c:pt>
                <c:pt idx="154">
                  <c:v>7.0000000000000007E-2</c:v>
                </c:pt>
                <c:pt idx="155">
                  <c:v>3.43</c:v>
                </c:pt>
                <c:pt idx="156">
                  <c:v>1.99</c:v>
                </c:pt>
                <c:pt idx="157">
                  <c:v>-0.18</c:v>
                </c:pt>
                <c:pt idx="158">
                  <c:v>0.72</c:v>
                </c:pt>
                <c:pt idx="159">
                  <c:v>-4.03</c:v>
                </c:pt>
                <c:pt idx="160">
                  <c:v>-5.7</c:v>
                </c:pt>
                <c:pt idx="161">
                  <c:v>5.26</c:v>
                </c:pt>
                <c:pt idx="162">
                  <c:v>3.59</c:v>
                </c:pt>
                <c:pt idx="163">
                  <c:v>0.72</c:v>
                </c:pt>
                <c:pt idx="164">
                  <c:v>-1.73</c:v>
                </c:pt>
                <c:pt idx="165">
                  <c:v>0.54</c:v>
                </c:pt>
                <c:pt idx="166">
                  <c:v>1.01</c:v>
                </c:pt>
                <c:pt idx="167">
                  <c:v>0.56000000000000005</c:v>
                </c:pt>
                <c:pt idx="168">
                  <c:v>0.04</c:v>
                </c:pt>
                <c:pt idx="169">
                  <c:v>2.61</c:v>
                </c:pt>
                <c:pt idx="170">
                  <c:v>1.18</c:v>
                </c:pt>
                <c:pt idx="171">
                  <c:v>0.69</c:v>
                </c:pt>
                <c:pt idx="172">
                  <c:v>1.0900000000000001</c:v>
                </c:pt>
                <c:pt idx="173">
                  <c:v>-0.74</c:v>
                </c:pt>
                <c:pt idx="174">
                  <c:v>-3.46</c:v>
                </c:pt>
                <c:pt idx="175">
                  <c:v>-0.22</c:v>
                </c:pt>
                <c:pt idx="176">
                  <c:v>-0.96</c:v>
                </c:pt>
                <c:pt idx="177">
                  <c:v>-0.95</c:v>
                </c:pt>
                <c:pt idx="178">
                  <c:v>3.56</c:v>
                </c:pt>
                <c:pt idx="179">
                  <c:v>1.17</c:v>
                </c:pt>
                <c:pt idx="180">
                  <c:v>-0.16</c:v>
                </c:pt>
                <c:pt idx="181">
                  <c:v>-0.46</c:v>
                </c:pt>
                <c:pt idx="182">
                  <c:v>0.36</c:v>
                </c:pt>
                <c:pt idx="183">
                  <c:v>2.59</c:v>
                </c:pt>
                <c:pt idx="184">
                  <c:v>-0.3</c:v>
                </c:pt>
                <c:pt idx="185">
                  <c:v>-0.4</c:v>
                </c:pt>
                <c:pt idx="186">
                  <c:v>0.98</c:v>
                </c:pt>
                <c:pt idx="187">
                  <c:v>0.28000000000000003</c:v>
                </c:pt>
                <c:pt idx="188">
                  <c:v>-1.48</c:v>
                </c:pt>
                <c:pt idx="189">
                  <c:v>1.37</c:v>
                </c:pt>
                <c:pt idx="190">
                  <c:v>1.4</c:v>
                </c:pt>
                <c:pt idx="191">
                  <c:v>0.01</c:v>
                </c:pt>
                <c:pt idx="192">
                  <c:v>-1.1299999999999999</c:v>
                </c:pt>
                <c:pt idx="193">
                  <c:v>1.08</c:v>
                </c:pt>
                <c:pt idx="194">
                  <c:v>0.19</c:v>
                </c:pt>
                <c:pt idx="195">
                  <c:v>-0.61</c:v>
                </c:pt>
                <c:pt idx="196">
                  <c:v>-1.07</c:v>
                </c:pt>
                <c:pt idx="197">
                  <c:v>-2.87</c:v>
                </c:pt>
                <c:pt idx="198">
                  <c:v>2.66</c:v>
                </c:pt>
                <c:pt idx="199">
                  <c:v>1.51</c:v>
                </c:pt>
                <c:pt idx="200">
                  <c:v>-4.12</c:v>
                </c:pt>
                <c:pt idx="201">
                  <c:v>-3.22</c:v>
                </c:pt>
                <c:pt idx="202">
                  <c:v>-1.71</c:v>
                </c:pt>
                <c:pt idx="203">
                  <c:v>-3.96</c:v>
                </c:pt>
                <c:pt idx="204">
                  <c:v>7.0000000000000007E-2</c:v>
                </c:pt>
                <c:pt idx="205">
                  <c:v>-0.62</c:v>
                </c:pt>
                <c:pt idx="206">
                  <c:v>-1.2</c:v>
                </c:pt>
                <c:pt idx="207">
                  <c:v>-1.27</c:v>
                </c:pt>
                <c:pt idx="208">
                  <c:v>-0.93</c:v>
                </c:pt>
                <c:pt idx="209">
                  <c:v>0.79</c:v>
                </c:pt>
                <c:pt idx="210">
                  <c:v>-1.5</c:v>
                </c:pt>
                <c:pt idx="211">
                  <c:v>-1</c:v>
                </c:pt>
                <c:pt idx="212">
                  <c:v>1.77</c:v>
                </c:pt>
                <c:pt idx="213">
                  <c:v>-1.31</c:v>
                </c:pt>
                <c:pt idx="214">
                  <c:v>-0.28999999999999998</c:v>
                </c:pt>
                <c:pt idx="215">
                  <c:v>-2.4700000000000002</c:v>
                </c:pt>
                <c:pt idx="216">
                  <c:v>0.65349999999999997</c:v>
                </c:pt>
                <c:pt idx="217">
                  <c:v>-0.05</c:v>
                </c:pt>
                <c:pt idx="218">
                  <c:v>-1.52</c:v>
                </c:pt>
                <c:pt idx="219">
                  <c:v>0.16</c:v>
                </c:pt>
                <c:pt idx="220">
                  <c:v>0.37</c:v>
                </c:pt>
                <c:pt idx="221">
                  <c:v>2.33</c:v>
                </c:pt>
                <c:pt idx="222">
                  <c:v>-0.4</c:v>
                </c:pt>
                <c:pt idx="223">
                  <c:v>-0.68</c:v>
                </c:pt>
                <c:pt idx="224">
                  <c:v>2.29</c:v>
                </c:pt>
                <c:pt idx="225">
                  <c:v>-0.54</c:v>
                </c:pt>
                <c:pt idx="226">
                  <c:v>7.0000000000000007E-2</c:v>
                </c:pt>
                <c:pt idx="227">
                  <c:v>1.04</c:v>
                </c:pt>
                <c:pt idx="228">
                  <c:v>0.61</c:v>
                </c:pt>
                <c:pt idx="229">
                  <c:v>0.65</c:v>
                </c:pt>
                <c:pt idx="230">
                  <c:v>1.6</c:v>
                </c:pt>
                <c:pt idx="231">
                  <c:v>-0.7</c:v>
                </c:pt>
                <c:pt idx="232">
                  <c:v>-1.17</c:v>
                </c:pt>
                <c:pt idx="233">
                  <c:v>0.72</c:v>
                </c:pt>
                <c:pt idx="234">
                  <c:v>0.32</c:v>
                </c:pt>
                <c:pt idx="235">
                  <c:v>-0.32</c:v>
                </c:pt>
                <c:pt idx="236">
                  <c:v>2.0699999999999998</c:v>
                </c:pt>
                <c:pt idx="237">
                  <c:v>1.37</c:v>
                </c:pt>
                <c:pt idx="238">
                  <c:v>0.34</c:v>
                </c:pt>
                <c:pt idx="239">
                  <c:v>-1.05</c:v>
                </c:pt>
                <c:pt idx="240">
                  <c:v>-0.6</c:v>
                </c:pt>
                <c:pt idx="241">
                  <c:v>0.59</c:v>
                </c:pt>
                <c:pt idx="242">
                  <c:v>1.57</c:v>
                </c:pt>
                <c:pt idx="243">
                  <c:v>0.86</c:v>
                </c:pt>
                <c:pt idx="244">
                  <c:v>-0.05</c:v>
                </c:pt>
                <c:pt idx="245">
                  <c:v>-2.99</c:v>
                </c:pt>
                <c:pt idx="246">
                  <c:v>-1.85</c:v>
                </c:pt>
                <c:pt idx="247">
                  <c:v>-0.86</c:v>
                </c:pt>
                <c:pt idx="248">
                  <c:v>0.15</c:v>
                </c:pt>
                <c:pt idx="249">
                  <c:v>-0.04</c:v>
                </c:pt>
                <c:pt idx="250">
                  <c:v>-0.13</c:v>
                </c:pt>
                <c:pt idx="251">
                  <c:v>1.38</c:v>
                </c:pt>
                <c:pt idx="252">
                  <c:v>1.59</c:v>
                </c:pt>
                <c:pt idx="253">
                  <c:v>0.22</c:v>
                </c:pt>
                <c:pt idx="254">
                  <c:v>0.77</c:v>
                </c:pt>
                <c:pt idx="255">
                  <c:v>0.99</c:v>
                </c:pt>
                <c:pt idx="256">
                  <c:v>0.59</c:v>
                </c:pt>
                <c:pt idx="257">
                  <c:v>1.33</c:v>
                </c:pt>
                <c:pt idx="258">
                  <c:v>-1.59</c:v>
                </c:pt>
                <c:pt idx="259">
                  <c:v>-5.63</c:v>
                </c:pt>
                <c:pt idx="260">
                  <c:v>-3.14</c:v>
                </c:pt>
                <c:pt idx="261">
                  <c:v>-1.36</c:v>
                </c:pt>
                <c:pt idx="262">
                  <c:v>-1.58</c:v>
                </c:pt>
                <c:pt idx="263">
                  <c:v>0.95</c:v>
                </c:pt>
                <c:pt idx="264">
                  <c:v>1.84</c:v>
                </c:pt>
                <c:pt idx="265">
                  <c:v>-0.44</c:v>
                </c:pt>
                <c:pt idx="266">
                  <c:v>1.88</c:v>
                </c:pt>
                <c:pt idx="267">
                  <c:v>-1.31</c:v>
                </c:pt>
                <c:pt idx="268">
                  <c:v>-1.59</c:v>
                </c:pt>
                <c:pt idx="269">
                  <c:v>-2.5</c:v>
                </c:pt>
                <c:pt idx="270">
                  <c:v>-2</c:v>
                </c:pt>
                <c:pt idx="271">
                  <c:v>0.11</c:v>
                </c:pt>
                <c:pt idx="272">
                  <c:v>0.01</c:v>
                </c:pt>
                <c:pt idx="273">
                  <c:v>1.4</c:v>
                </c:pt>
                <c:pt idx="274">
                  <c:v>-0.7</c:v>
                </c:pt>
                <c:pt idx="275">
                  <c:v>2.2000000000000002</c:v>
                </c:pt>
                <c:pt idx="276">
                  <c:v>-1.96</c:v>
                </c:pt>
                <c:pt idx="277">
                  <c:v>-2.36</c:v>
                </c:pt>
                <c:pt idx="278">
                  <c:v>-1.1100000000000001</c:v>
                </c:pt>
                <c:pt idx="279">
                  <c:v>-6.25</c:v>
                </c:pt>
                <c:pt idx="280">
                  <c:v>-2.54</c:v>
                </c:pt>
                <c:pt idx="281">
                  <c:v>-3.22</c:v>
                </c:pt>
                <c:pt idx="282">
                  <c:v>-3.69</c:v>
                </c:pt>
                <c:pt idx="283">
                  <c:v>-6.34</c:v>
                </c:pt>
                <c:pt idx="284">
                  <c:v>-5.34</c:v>
                </c:pt>
                <c:pt idx="285">
                  <c:v>0.09</c:v>
                </c:pt>
                <c:pt idx="286">
                  <c:v>2.15</c:v>
                </c:pt>
                <c:pt idx="287">
                  <c:v>2.35</c:v>
                </c:pt>
                <c:pt idx="288">
                  <c:v>0.91</c:v>
                </c:pt>
                <c:pt idx="289">
                  <c:v>-0.64</c:v>
                </c:pt>
                <c:pt idx="290">
                  <c:v>-1.27</c:v>
                </c:pt>
                <c:pt idx="291">
                  <c:v>-1.51</c:v>
                </c:pt>
                <c:pt idx="292">
                  <c:v>-0.52</c:v>
                </c:pt>
                <c:pt idx="293">
                  <c:v>-2.36</c:v>
                </c:pt>
                <c:pt idx="294">
                  <c:v>-2.9</c:v>
                </c:pt>
                <c:pt idx="295">
                  <c:v>4.04</c:v>
                </c:pt>
                <c:pt idx="296">
                  <c:v>0.55000000000000004</c:v>
                </c:pt>
                <c:pt idx="297">
                  <c:v>-0.24</c:v>
                </c:pt>
                <c:pt idx="298">
                  <c:v>-2.37</c:v>
                </c:pt>
                <c:pt idx="299">
                  <c:v>-2.86</c:v>
                </c:pt>
                <c:pt idx="300">
                  <c:v>-1.46</c:v>
                </c:pt>
                <c:pt idx="301">
                  <c:v>-1</c:v>
                </c:pt>
                <c:pt idx="302">
                  <c:v>1.48</c:v>
                </c:pt>
                <c:pt idx="303">
                  <c:v>3.15</c:v>
                </c:pt>
                <c:pt idx="304">
                  <c:v>-2.98</c:v>
                </c:pt>
                <c:pt idx="305">
                  <c:v>-0.49</c:v>
                </c:pt>
                <c:pt idx="306">
                  <c:v>-5.85</c:v>
                </c:pt>
                <c:pt idx="307">
                  <c:v>-2.98</c:v>
                </c:pt>
                <c:pt idx="308">
                  <c:v>1.23</c:v>
                </c:pt>
                <c:pt idx="309">
                  <c:v>-0.03</c:v>
                </c:pt>
                <c:pt idx="310">
                  <c:v>-1.47</c:v>
                </c:pt>
                <c:pt idx="311">
                  <c:v>-4.6900000000000004</c:v>
                </c:pt>
                <c:pt idx="312">
                  <c:v>3.2</c:v>
                </c:pt>
                <c:pt idx="313">
                  <c:v>1.18</c:v>
                </c:pt>
                <c:pt idx="314">
                  <c:v>-0.35</c:v>
                </c:pt>
                <c:pt idx="315">
                  <c:v>4.47</c:v>
                </c:pt>
                <c:pt idx="316">
                  <c:v>-0.94</c:v>
                </c:pt>
                <c:pt idx="317">
                  <c:v>-1.88</c:v>
                </c:pt>
                <c:pt idx="318">
                  <c:v>-2.75</c:v>
                </c:pt>
                <c:pt idx="319">
                  <c:v>-0.74</c:v>
                </c:pt>
                <c:pt idx="320">
                  <c:v>-3.41</c:v>
                </c:pt>
                <c:pt idx="321">
                  <c:v>-2.94</c:v>
                </c:pt>
                <c:pt idx="322">
                  <c:v>-0.92</c:v>
                </c:pt>
                <c:pt idx="323">
                  <c:v>-0.03</c:v>
                </c:pt>
                <c:pt idx="324">
                  <c:v>-2.87</c:v>
                </c:pt>
                <c:pt idx="325">
                  <c:v>1.55</c:v>
                </c:pt>
                <c:pt idx="326">
                  <c:v>-4.1500000000000004</c:v>
                </c:pt>
                <c:pt idx="327">
                  <c:v>-1.54</c:v>
                </c:pt>
                <c:pt idx="328">
                  <c:v>-1.81</c:v>
                </c:pt>
                <c:pt idx="329">
                  <c:v>-1.67</c:v>
                </c:pt>
                <c:pt idx="330">
                  <c:v>-2.37</c:v>
                </c:pt>
                <c:pt idx="331">
                  <c:v>-2.63</c:v>
                </c:pt>
                <c:pt idx="332">
                  <c:v>-1.69</c:v>
                </c:pt>
                <c:pt idx="333">
                  <c:v>-2.84</c:v>
                </c:pt>
                <c:pt idx="334">
                  <c:v>-0.47</c:v>
                </c:pt>
                <c:pt idx="335">
                  <c:v>-1.1399999999999999</c:v>
                </c:pt>
                <c:pt idx="336">
                  <c:v>-3.74</c:v>
                </c:pt>
                <c:pt idx="337">
                  <c:v>-3.39</c:v>
                </c:pt>
                <c:pt idx="338">
                  <c:v>-4.5199999999999996</c:v>
                </c:pt>
                <c:pt idx="339">
                  <c:v>-3.97</c:v>
                </c:pt>
                <c:pt idx="340">
                  <c:v>-0.32</c:v>
                </c:pt>
                <c:pt idx="341">
                  <c:v>0.85</c:v>
                </c:pt>
                <c:pt idx="342">
                  <c:v>3.25</c:v>
                </c:pt>
                <c:pt idx="343">
                  <c:v>1.71</c:v>
                </c:pt>
                <c:pt idx="344">
                  <c:v>0.24</c:v>
                </c:pt>
                <c:pt idx="345">
                  <c:v>0.99</c:v>
                </c:pt>
                <c:pt idx="346">
                  <c:v>2.08</c:v>
                </c:pt>
                <c:pt idx="347">
                  <c:v>0.77</c:v>
                </c:pt>
                <c:pt idx="348">
                  <c:v>-2.67</c:v>
                </c:pt>
                <c:pt idx="349">
                  <c:v>-0.57999999999999996</c:v>
                </c:pt>
                <c:pt idx="350">
                  <c:v>0.72</c:v>
                </c:pt>
                <c:pt idx="351">
                  <c:v>-2.48</c:v>
                </c:pt>
                <c:pt idx="352">
                  <c:v>0.09</c:v>
                </c:pt>
                <c:pt idx="353">
                  <c:v>-0.4</c:v>
                </c:pt>
                <c:pt idx="354">
                  <c:v>-0.37</c:v>
                </c:pt>
                <c:pt idx="355">
                  <c:v>0.21</c:v>
                </c:pt>
                <c:pt idx="356">
                  <c:v>-3.45</c:v>
                </c:pt>
                <c:pt idx="357">
                  <c:v>-2.0099999999999998</c:v>
                </c:pt>
                <c:pt idx="358">
                  <c:v>-0.84</c:v>
                </c:pt>
                <c:pt idx="359">
                  <c:v>-0.87</c:v>
                </c:pt>
                <c:pt idx="360">
                  <c:v>0.54</c:v>
                </c:pt>
                <c:pt idx="361">
                  <c:v>-0.24</c:v>
                </c:pt>
                <c:pt idx="362">
                  <c:v>-1.55</c:v>
                </c:pt>
                <c:pt idx="363">
                  <c:v>-0.45</c:v>
                </c:pt>
                <c:pt idx="364">
                  <c:v>-0.05</c:v>
                </c:pt>
                <c:pt idx="365">
                  <c:v>-1.75</c:v>
                </c:pt>
                <c:pt idx="366">
                  <c:v>-0.9</c:v>
                </c:pt>
                <c:pt idx="367">
                  <c:v>-3.56</c:v>
                </c:pt>
                <c:pt idx="368">
                  <c:v>0.52</c:v>
                </c:pt>
                <c:pt idx="369">
                  <c:v>0.8</c:v>
                </c:pt>
                <c:pt idx="370">
                  <c:v>-0.32</c:v>
                </c:pt>
                <c:pt idx="371">
                  <c:v>-1.06</c:v>
                </c:pt>
                <c:pt idx="372">
                  <c:v>-3.06</c:v>
                </c:pt>
                <c:pt idx="373">
                  <c:v>-1.1299999999999999</c:v>
                </c:pt>
                <c:pt idx="374">
                  <c:v>1.96</c:v>
                </c:pt>
                <c:pt idx="375">
                  <c:v>-1.44</c:v>
                </c:pt>
                <c:pt idx="376">
                  <c:v>-1.53</c:v>
                </c:pt>
                <c:pt idx="377">
                  <c:v>1.28</c:v>
                </c:pt>
                <c:pt idx="378">
                  <c:v>0.77</c:v>
                </c:pt>
                <c:pt idx="379">
                  <c:v>1.0900000000000001</c:v>
                </c:pt>
                <c:pt idx="380">
                  <c:v>1.62</c:v>
                </c:pt>
                <c:pt idx="381">
                  <c:v>-2.2200000000000002</c:v>
                </c:pt>
                <c:pt idx="382">
                  <c:v>-3.47</c:v>
                </c:pt>
                <c:pt idx="383">
                  <c:v>-3.15</c:v>
                </c:pt>
                <c:pt idx="384">
                  <c:v>-0.42</c:v>
                </c:pt>
                <c:pt idx="385">
                  <c:v>-0.74</c:v>
                </c:pt>
                <c:pt idx="386">
                  <c:v>-2.61</c:v>
                </c:pt>
                <c:pt idx="387">
                  <c:v>1.06</c:v>
                </c:pt>
                <c:pt idx="388">
                  <c:v>-1.1399999999999999</c:v>
                </c:pt>
                <c:pt idx="389">
                  <c:v>-0.55000000000000004</c:v>
                </c:pt>
                <c:pt idx="390">
                  <c:v>-1.58</c:v>
                </c:pt>
                <c:pt idx="391">
                  <c:v>0.23</c:v>
                </c:pt>
                <c:pt idx="392">
                  <c:v>-1.34</c:v>
                </c:pt>
                <c:pt idx="393">
                  <c:v>-0.88</c:v>
                </c:pt>
                <c:pt idx="394">
                  <c:v>2.76</c:v>
                </c:pt>
                <c:pt idx="395">
                  <c:v>0.27</c:v>
                </c:pt>
                <c:pt idx="396">
                  <c:v>0.54</c:v>
                </c:pt>
                <c:pt idx="397">
                  <c:v>-0.06</c:v>
                </c:pt>
                <c:pt idx="398">
                  <c:v>-2.93</c:v>
                </c:pt>
                <c:pt idx="399">
                  <c:v>-2.5499999999999998</c:v>
                </c:pt>
                <c:pt idx="400">
                  <c:v>-1.48</c:v>
                </c:pt>
                <c:pt idx="401">
                  <c:v>0.71</c:v>
                </c:pt>
                <c:pt idx="402">
                  <c:v>2.4</c:v>
                </c:pt>
                <c:pt idx="403">
                  <c:v>-0.76</c:v>
                </c:pt>
                <c:pt idx="404">
                  <c:v>0.28999999999999998</c:v>
                </c:pt>
                <c:pt idx="405">
                  <c:v>-1.1000000000000001</c:v>
                </c:pt>
                <c:pt idx="406">
                  <c:v>-1.57</c:v>
                </c:pt>
                <c:pt idx="407">
                  <c:v>-3.76</c:v>
                </c:pt>
                <c:pt idx="408">
                  <c:v>-1.59</c:v>
                </c:pt>
                <c:pt idx="409">
                  <c:v>0.64</c:v>
                </c:pt>
                <c:pt idx="410">
                  <c:v>0.65</c:v>
                </c:pt>
                <c:pt idx="411">
                  <c:v>0.46</c:v>
                </c:pt>
                <c:pt idx="412">
                  <c:v>-0.63</c:v>
                </c:pt>
                <c:pt idx="413">
                  <c:v>-2.04</c:v>
                </c:pt>
                <c:pt idx="414">
                  <c:v>-1.1399999999999999</c:v>
                </c:pt>
                <c:pt idx="415">
                  <c:v>1.06</c:v>
                </c:pt>
                <c:pt idx="416">
                  <c:v>-0.97</c:v>
                </c:pt>
                <c:pt idx="417">
                  <c:v>0.31</c:v>
                </c:pt>
                <c:pt idx="418">
                  <c:v>-1.89</c:v>
                </c:pt>
                <c:pt idx="419">
                  <c:v>-0.49</c:v>
                </c:pt>
                <c:pt idx="420">
                  <c:v>-0.32</c:v>
                </c:pt>
                <c:pt idx="421">
                  <c:v>-1.98</c:v>
                </c:pt>
                <c:pt idx="422">
                  <c:v>-1.64</c:v>
                </c:pt>
                <c:pt idx="423">
                  <c:v>-3.34</c:v>
                </c:pt>
                <c:pt idx="424">
                  <c:v>-1.04</c:v>
                </c:pt>
                <c:pt idx="425">
                  <c:v>-2.75</c:v>
                </c:pt>
                <c:pt idx="426">
                  <c:v>-2.4500000000000002</c:v>
                </c:pt>
                <c:pt idx="427">
                  <c:v>-3.55</c:v>
                </c:pt>
                <c:pt idx="428">
                  <c:v>-0.55000000000000004</c:v>
                </c:pt>
                <c:pt idx="429">
                  <c:v>-1.29</c:v>
                </c:pt>
                <c:pt idx="430">
                  <c:v>1.66</c:v>
                </c:pt>
                <c:pt idx="431">
                  <c:v>0.15</c:v>
                </c:pt>
                <c:pt idx="432">
                  <c:v>-2.0499999999999998</c:v>
                </c:pt>
                <c:pt idx="433">
                  <c:v>-3.02</c:v>
                </c:pt>
                <c:pt idx="434">
                  <c:v>-2.1</c:v>
                </c:pt>
                <c:pt idx="435">
                  <c:v>0.37</c:v>
                </c:pt>
                <c:pt idx="436">
                  <c:v>-2.71</c:v>
                </c:pt>
                <c:pt idx="437">
                  <c:v>-5.76</c:v>
                </c:pt>
                <c:pt idx="438">
                  <c:v>-0.41</c:v>
                </c:pt>
                <c:pt idx="439">
                  <c:v>0.91</c:v>
                </c:pt>
                <c:pt idx="440">
                  <c:v>-1.29</c:v>
                </c:pt>
                <c:pt idx="441">
                  <c:v>-1.33</c:v>
                </c:pt>
                <c:pt idx="442">
                  <c:v>-3.18</c:v>
                </c:pt>
                <c:pt idx="443">
                  <c:v>-3.31</c:v>
                </c:pt>
                <c:pt idx="444">
                  <c:v>1.1200000000000001</c:v>
                </c:pt>
                <c:pt idx="445">
                  <c:v>-0.25</c:v>
                </c:pt>
                <c:pt idx="446">
                  <c:v>-1.71</c:v>
                </c:pt>
                <c:pt idx="447">
                  <c:v>-3.72</c:v>
                </c:pt>
                <c:pt idx="448">
                  <c:v>-0.14000000000000001</c:v>
                </c:pt>
                <c:pt idx="449">
                  <c:v>-0.14000000000000001</c:v>
                </c:pt>
                <c:pt idx="450">
                  <c:v>3.44</c:v>
                </c:pt>
                <c:pt idx="451">
                  <c:v>2.39</c:v>
                </c:pt>
                <c:pt idx="452">
                  <c:v>1.3660000000000001</c:v>
                </c:pt>
                <c:pt idx="453">
                  <c:v>2.62</c:v>
                </c:pt>
                <c:pt idx="454">
                  <c:v>0.53</c:v>
                </c:pt>
                <c:pt idx="455">
                  <c:v>-0.83</c:v>
                </c:pt>
                <c:pt idx="456">
                  <c:v>-2.96</c:v>
                </c:pt>
                <c:pt idx="457">
                  <c:v>-2.64</c:v>
                </c:pt>
                <c:pt idx="458">
                  <c:v>-2.94</c:v>
                </c:pt>
                <c:pt idx="459">
                  <c:v>-2.35</c:v>
                </c:pt>
                <c:pt idx="460">
                  <c:v>-0.68</c:v>
                </c:pt>
                <c:pt idx="461">
                  <c:v>-0.13</c:v>
                </c:pt>
                <c:pt idx="462">
                  <c:v>-6.13</c:v>
                </c:pt>
                <c:pt idx="463">
                  <c:v>-0.85</c:v>
                </c:pt>
                <c:pt idx="464">
                  <c:v>1.21</c:v>
                </c:pt>
                <c:pt idx="465">
                  <c:v>1.57</c:v>
                </c:pt>
                <c:pt idx="466">
                  <c:v>-2.04</c:v>
                </c:pt>
                <c:pt idx="467">
                  <c:v>-0.05</c:v>
                </c:pt>
                <c:pt idx="468">
                  <c:v>1.65</c:v>
                </c:pt>
                <c:pt idx="469">
                  <c:v>0.91</c:v>
                </c:pt>
                <c:pt idx="470">
                  <c:v>-0.81</c:v>
                </c:pt>
                <c:pt idx="471">
                  <c:v>0.03</c:v>
                </c:pt>
                <c:pt idx="472">
                  <c:v>-0.87</c:v>
                </c:pt>
                <c:pt idx="473">
                  <c:v>-0.57999999999999996</c:v>
                </c:pt>
                <c:pt idx="474">
                  <c:v>0.47</c:v>
                </c:pt>
                <c:pt idx="475">
                  <c:v>-1.61</c:v>
                </c:pt>
                <c:pt idx="476">
                  <c:v>-0.32</c:v>
                </c:pt>
                <c:pt idx="477">
                  <c:v>-1.1100000000000001</c:v>
                </c:pt>
                <c:pt idx="478">
                  <c:v>-1.82</c:v>
                </c:pt>
                <c:pt idx="479">
                  <c:v>-2.4700000000000002</c:v>
                </c:pt>
                <c:pt idx="480">
                  <c:v>-1.47</c:v>
                </c:pt>
                <c:pt idx="481">
                  <c:v>-1.67</c:v>
                </c:pt>
                <c:pt idx="482">
                  <c:v>-2.58</c:v>
                </c:pt>
                <c:pt idx="483">
                  <c:v>1.2</c:v>
                </c:pt>
                <c:pt idx="484">
                  <c:v>2.57</c:v>
                </c:pt>
                <c:pt idx="485">
                  <c:v>-0.37</c:v>
                </c:pt>
                <c:pt idx="486">
                  <c:v>-1.84</c:v>
                </c:pt>
                <c:pt idx="487">
                  <c:v>-0.95</c:v>
                </c:pt>
                <c:pt idx="488">
                  <c:v>-0.03</c:v>
                </c:pt>
                <c:pt idx="489">
                  <c:v>-2.78</c:v>
                </c:pt>
                <c:pt idx="490">
                  <c:v>-0.28999999999999998</c:v>
                </c:pt>
                <c:pt idx="491">
                  <c:v>-0.2</c:v>
                </c:pt>
                <c:pt idx="492">
                  <c:v>-1.93</c:v>
                </c:pt>
                <c:pt idx="493">
                  <c:v>-2.1</c:v>
                </c:pt>
                <c:pt idx="494">
                  <c:v>0.87</c:v>
                </c:pt>
                <c:pt idx="495">
                  <c:v>-1.43</c:v>
                </c:pt>
                <c:pt idx="496">
                  <c:v>-0.21</c:v>
                </c:pt>
                <c:pt idx="497">
                  <c:v>-2.13</c:v>
                </c:pt>
                <c:pt idx="498">
                  <c:v>-1.74</c:v>
                </c:pt>
                <c:pt idx="499">
                  <c:v>-5.05</c:v>
                </c:pt>
                <c:pt idx="500">
                  <c:v>-2.48</c:v>
                </c:pt>
                <c:pt idx="501">
                  <c:v>-0.28999999999999998</c:v>
                </c:pt>
                <c:pt idx="502">
                  <c:v>-1.96</c:v>
                </c:pt>
                <c:pt idx="503">
                  <c:v>-1.92</c:v>
                </c:pt>
                <c:pt idx="504">
                  <c:v>2.75</c:v>
                </c:pt>
                <c:pt idx="505">
                  <c:v>7.0000000000000007E-2</c:v>
                </c:pt>
                <c:pt idx="506">
                  <c:v>-1.3</c:v>
                </c:pt>
                <c:pt idx="507">
                  <c:v>0.44</c:v>
                </c:pt>
                <c:pt idx="508">
                  <c:v>2.29</c:v>
                </c:pt>
                <c:pt idx="509">
                  <c:v>0.76</c:v>
                </c:pt>
                <c:pt idx="510">
                  <c:v>-2.52</c:v>
                </c:pt>
                <c:pt idx="511">
                  <c:v>-2.77</c:v>
                </c:pt>
                <c:pt idx="512">
                  <c:v>-0.81</c:v>
                </c:pt>
                <c:pt idx="513">
                  <c:v>-0.46</c:v>
                </c:pt>
                <c:pt idx="514">
                  <c:v>-0.1</c:v>
                </c:pt>
                <c:pt idx="515">
                  <c:v>-1.76</c:v>
                </c:pt>
                <c:pt idx="516">
                  <c:v>-1.32</c:v>
                </c:pt>
                <c:pt idx="517">
                  <c:v>-0.48</c:v>
                </c:pt>
                <c:pt idx="518">
                  <c:v>-0.14000000000000001</c:v>
                </c:pt>
                <c:pt idx="519">
                  <c:v>-1.22</c:v>
                </c:pt>
                <c:pt idx="520">
                  <c:v>-2.79</c:v>
                </c:pt>
                <c:pt idx="521">
                  <c:v>-1.28</c:v>
                </c:pt>
                <c:pt idx="522">
                  <c:v>2.54</c:v>
                </c:pt>
                <c:pt idx="523">
                  <c:v>0.81</c:v>
                </c:pt>
                <c:pt idx="524">
                  <c:v>2.93</c:v>
                </c:pt>
                <c:pt idx="525">
                  <c:v>0.6</c:v>
                </c:pt>
                <c:pt idx="526">
                  <c:v>-1.37</c:v>
                </c:pt>
                <c:pt idx="527">
                  <c:v>0.08</c:v>
                </c:pt>
                <c:pt idx="528">
                  <c:v>-0.9</c:v>
                </c:pt>
                <c:pt idx="529">
                  <c:v>-1.41</c:v>
                </c:pt>
                <c:pt idx="530">
                  <c:v>-1.75</c:v>
                </c:pt>
                <c:pt idx="531">
                  <c:v>-2.21</c:v>
                </c:pt>
                <c:pt idx="532">
                  <c:v>-0.21</c:v>
                </c:pt>
                <c:pt idx="533">
                  <c:v>-0.66</c:v>
                </c:pt>
                <c:pt idx="534">
                  <c:v>-0.56999999999999995</c:v>
                </c:pt>
                <c:pt idx="535">
                  <c:v>-2.33</c:v>
                </c:pt>
                <c:pt idx="536">
                  <c:v>-4.62</c:v>
                </c:pt>
                <c:pt idx="537">
                  <c:v>-2</c:v>
                </c:pt>
                <c:pt idx="538">
                  <c:v>-0.57999999999999996</c:v>
                </c:pt>
                <c:pt idx="539">
                  <c:v>0.74</c:v>
                </c:pt>
                <c:pt idx="540">
                  <c:v>-0.94</c:v>
                </c:pt>
                <c:pt idx="541">
                  <c:v>-2.11</c:v>
                </c:pt>
                <c:pt idx="542">
                  <c:v>-2.81</c:v>
                </c:pt>
                <c:pt idx="543">
                  <c:v>-0.44</c:v>
                </c:pt>
                <c:pt idx="544">
                  <c:v>1.25</c:v>
                </c:pt>
                <c:pt idx="545">
                  <c:v>1.3</c:v>
                </c:pt>
                <c:pt idx="546">
                  <c:v>-3.01</c:v>
                </c:pt>
                <c:pt idx="547">
                  <c:v>-0.98</c:v>
                </c:pt>
                <c:pt idx="548">
                  <c:v>-1.72</c:v>
                </c:pt>
                <c:pt idx="549">
                  <c:v>-0.45</c:v>
                </c:pt>
                <c:pt idx="550">
                  <c:v>2.46</c:v>
                </c:pt>
                <c:pt idx="551">
                  <c:v>-2.78</c:v>
                </c:pt>
                <c:pt idx="552">
                  <c:v>-2.91</c:v>
                </c:pt>
                <c:pt idx="553">
                  <c:v>-0.85</c:v>
                </c:pt>
                <c:pt idx="554">
                  <c:v>-0.75</c:v>
                </c:pt>
                <c:pt idx="555">
                  <c:v>-1.93</c:v>
                </c:pt>
                <c:pt idx="556">
                  <c:v>1.9</c:v>
                </c:pt>
                <c:pt idx="557">
                  <c:v>2.1800000000000002</c:v>
                </c:pt>
                <c:pt idx="558">
                  <c:v>0.4</c:v>
                </c:pt>
                <c:pt idx="559">
                  <c:v>-0.4</c:v>
                </c:pt>
                <c:pt idx="560">
                  <c:v>-0.35</c:v>
                </c:pt>
                <c:pt idx="561">
                  <c:v>-0.62</c:v>
                </c:pt>
                <c:pt idx="562">
                  <c:v>2.89</c:v>
                </c:pt>
                <c:pt idx="563">
                  <c:v>-2.65</c:v>
                </c:pt>
                <c:pt idx="564">
                  <c:v>-2.52</c:v>
                </c:pt>
                <c:pt idx="565">
                  <c:v>-3.8</c:v>
                </c:pt>
                <c:pt idx="566">
                  <c:v>0.26</c:v>
                </c:pt>
                <c:pt idx="567">
                  <c:v>3.68</c:v>
                </c:pt>
                <c:pt idx="568">
                  <c:v>2</c:v>
                </c:pt>
                <c:pt idx="569">
                  <c:v>0.2</c:v>
                </c:pt>
                <c:pt idx="570">
                  <c:v>0.41</c:v>
                </c:pt>
                <c:pt idx="571">
                  <c:v>-0.48</c:v>
                </c:pt>
                <c:pt idx="572">
                  <c:v>1.34</c:v>
                </c:pt>
                <c:pt idx="573">
                  <c:v>2.7</c:v>
                </c:pt>
                <c:pt idx="574">
                  <c:v>0.62</c:v>
                </c:pt>
                <c:pt idx="575">
                  <c:v>-2.58</c:v>
                </c:pt>
                <c:pt idx="576">
                  <c:v>-1.45</c:v>
                </c:pt>
                <c:pt idx="577">
                  <c:v>-0.8</c:v>
                </c:pt>
                <c:pt idx="578">
                  <c:v>1.43</c:v>
                </c:pt>
                <c:pt idx="579">
                  <c:v>0.85</c:v>
                </c:pt>
                <c:pt idx="580">
                  <c:v>-1.1499999999999999</c:v>
                </c:pt>
                <c:pt idx="581">
                  <c:v>0.32</c:v>
                </c:pt>
                <c:pt idx="582">
                  <c:v>0.68</c:v>
                </c:pt>
                <c:pt idx="583">
                  <c:v>1.83</c:v>
                </c:pt>
                <c:pt idx="584">
                  <c:v>0.21</c:v>
                </c:pt>
                <c:pt idx="585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0B-49AB-B7B3-6AACB23A1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563384"/>
        <c:axId val="485562992"/>
      </c:lineChart>
      <c:catAx>
        <c:axId val="48556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eaVert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62208"/>
        <c:crossesAt val="0"/>
        <c:auto val="0"/>
        <c:lblAlgn val="ctr"/>
        <c:lblOffset val="100"/>
        <c:noMultiLvlLbl val="0"/>
      </c:catAx>
      <c:valAx>
        <c:axId val="4855622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62600"/>
        <c:crosses val="max"/>
        <c:crossBetween val="between"/>
        <c:majorUnit val="1"/>
      </c:valAx>
      <c:catAx>
        <c:axId val="4855633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85562992"/>
        <c:crosses val="autoZero"/>
        <c:auto val="0"/>
        <c:lblAlgn val="ctr"/>
        <c:lblOffset val="100"/>
        <c:noMultiLvlLbl val="1"/>
      </c:catAx>
      <c:valAx>
        <c:axId val="485562992"/>
        <c:scaling>
          <c:orientation val="minMax"/>
        </c:scaling>
        <c:delete val="0"/>
        <c:axPos val="l"/>
        <c:numFmt formatCode="0.00_ ;[Red]\-0.0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6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17368825571E-2"/>
          <c:y val="2.5965696080220601E-2"/>
          <c:w val="0.97118998855913496"/>
          <c:h val="0.75051287629447205"/>
        </c:manualLayout>
      </c:layout>
      <c:areaChart>
        <c:grouping val="stacked"/>
        <c:varyColors val="0"/>
        <c:ser>
          <c:idx val="0"/>
          <c:order val="0"/>
          <c:tx>
            <c:strRef>
              <c:f>情绪数据!$B$1</c:f>
              <c:strCache>
                <c:ptCount val="1"/>
                <c:pt idx="0">
                  <c:v>今日涨停封死计数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情绪数据!日期</c:f>
              <c:numCache>
                <c:formatCode>m/d/yyyy</c:formatCode>
                <c:ptCount val="586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  <c:pt idx="19">
                  <c:v>44190</c:v>
                </c:pt>
                <c:pt idx="20">
                  <c:v>44193</c:v>
                </c:pt>
                <c:pt idx="21">
                  <c:v>44194</c:v>
                </c:pt>
                <c:pt idx="22">
                  <c:v>44195</c:v>
                </c:pt>
                <c:pt idx="23">
                  <c:v>44196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44245</c:v>
                </c:pt>
                <c:pt idx="53">
                  <c:v>44246</c:v>
                </c:pt>
                <c:pt idx="54">
                  <c:v>44249</c:v>
                </c:pt>
                <c:pt idx="55">
                  <c:v>44250</c:v>
                </c:pt>
                <c:pt idx="56">
                  <c:v>44251</c:v>
                </c:pt>
                <c:pt idx="57">
                  <c:v>44252</c:v>
                </c:pt>
                <c:pt idx="58">
                  <c:v>44253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44263</c:v>
                </c:pt>
                <c:pt idx="65">
                  <c:v>44264</c:v>
                </c:pt>
                <c:pt idx="66">
                  <c:v>44265</c:v>
                </c:pt>
                <c:pt idx="67">
                  <c:v>44266</c:v>
                </c:pt>
                <c:pt idx="68">
                  <c:v>44267</c:v>
                </c:pt>
                <c:pt idx="69">
                  <c:v>44270</c:v>
                </c:pt>
                <c:pt idx="70">
                  <c:v>44271</c:v>
                </c:pt>
                <c:pt idx="71">
                  <c:v>44272</c:v>
                </c:pt>
                <c:pt idx="72">
                  <c:v>44273</c:v>
                </c:pt>
                <c:pt idx="73">
                  <c:v>44274</c:v>
                </c:pt>
                <c:pt idx="74">
                  <c:v>44277</c:v>
                </c:pt>
                <c:pt idx="75">
                  <c:v>44278</c:v>
                </c:pt>
                <c:pt idx="76">
                  <c:v>44279</c:v>
                </c:pt>
                <c:pt idx="77">
                  <c:v>44280</c:v>
                </c:pt>
                <c:pt idx="78">
                  <c:v>44281</c:v>
                </c:pt>
                <c:pt idx="79">
                  <c:v>44284</c:v>
                </c:pt>
                <c:pt idx="80">
                  <c:v>44285</c:v>
                </c:pt>
                <c:pt idx="81">
                  <c:v>44286</c:v>
                </c:pt>
                <c:pt idx="82">
                  <c:v>44287</c:v>
                </c:pt>
                <c:pt idx="83">
                  <c:v>44288</c:v>
                </c:pt>
                <c:pt idx="84">
                  <c:v>44292</c:v>
                </c:pt>
                <c:pt idx="85">
                  <c:v>44293</c:v>
                </c:pt>
                <c:pt idx="86">
                  <c:v>44294</c:v>
                </c:pt>
                <c:pt idx="87">
                  <c:v>44295</c:v>
                </c:pt>
                <c:pt idx="88">
                  <c:v>44298</c:v>
                </c:pt>
                <c:pt idx="89">
                  <c:v>44299</c:v>
                </c:pt>
                <c:pt idx="90">
                  <c:v>44300</c:v>
                </c:pt>
                <c:pt idx="91">
                  <c:v>44301</c:v>
                </c:pt>
                <c:pt idx="92">
                  <c:v>44302</c:v>
                </c:pt>
                <c:pt idx="93">
                  <c:v>44305</c:v>
                </c:pt>
                <c:pt idx="94">
                  <c:v>44306</c:v>
                </c:pt>
                <c:pt idx="95">
                  <c:v>44307</c:v>
                </c:pt>
                <c:pt idx="96">
                  <c:v>44308</c:v>
                </c:pt>
                <c:pt idx="97">
                  <c:v>44309</c:v>
                </c:pt>
                <c:pt idx="98">
                  <c:v>44312</c:v>
                </c:pt>
                <c:pt idx="99">
                  <c:v>44313</c:v>
                </c:pt>
                <c:pt idx="100">
                  <c:v>44314</c:v>
                </c:pt>
                <c:pt idx="101">
                  <c:v>44315</c:v>
                </c:pt>
                <c:pt idx="102">
                  <c:v>44316</c:v>
                </c:pt>
                <c:pt idx="103">
                  <c:v>44322</c:v>
                </c:pt>
                <c:pt idx="104">
                  <c:v>44323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44333</c:v>
                </c:pt>
                <c:pt idx="110">
                  <c:v>44334</c:v>
                </c:pt>
                <c:pt idx="111">
                  <c:v>44335</c:v>
                </c:pt>
                <c:pt idx="112">
                  <c:v>44336</c:v>
                </c:pt>
                <c:pt idx="113">
                  <c:v>44337</c:v>
                </c:pt>
                <c:pt idx="114">
                  <c:v>44340</c:v>
                </c:pt>
                <c:pt idx="115">
                  <c:v>44341</c:v>
                </c:pt>
                <c:pt idx="116">
                  <c:v>44342</c:v>
                </c:pt>
                <c:pt idx="117">
                  <c:v>44343</c:v>
                </c:pt>
                <c:pt idx="118">
                  <c:v>44344</c:v>
                </c:pt>
                <c:pt idx="119">
                  <c:v>44347</c:v>
                </c:pt>
                <c:pt idx="120">
                  <c:v>44348</c:v>
                </c:pt>
                <c:pt idx="121">
                  <c:v>44349</c:v>
                </c:pt>
                <c:pt idx="122">
                  <c:v>44350</c:v>
                </c:pt>
                <c:pt idx="123">
                  <c:v>44351</c:v>
                </c:pt>
                <c:pt idx="124">
                  <c:v>44354</c:v>
                </c:pt>
                <c:pt idx="125">
                  <c:v>44355</c:v>
                </c:pt>
                <c:pt idx="126">
                  <c:v>44356</c:v>
                </c:pt>
                <c:pt idx="127">
                  <c:v>44357</c:v>
                </c:pt>
                <c:pt idx="128">
                  <c:v>44358</c:v>
                </c:pt>
                <c:pt idx="129">
                  <c:v>44362</c:v>
                </c:pt>
                <c:pt idx="130">
                  <c:v>44363</c:v>
                </c:pt>
                <c:pt idx="131">
                  <c:v>44364</c:v>
                </c:pt>
                <c:pt idx="132">
                  <c:v>44365</c:v>
                </c:pt>
                <c:pt idx="133">
                  <c:v>44368</c:v>
                </c:pt>
                <c:pt idx="134">
                  <c:v>44369</c:v>
                </c:pt>
                <c:pt idx="135">
                  <c:v>44370</c:v>
                </c:pt>
                <c:pt idx="136">
                  <c:v>44371</c:v>
                </c:pt>
                <c:pt idx="137">
                  <c:v>44372</c:v>
                </c:pt>
                <c:pt idx="138">
                  <c:v>44375</c:v>
                </c:pt>
                <c:pt idx="139">
                  <c:v>44376</c:v>
                </c:pt>
                <c:pt idx="140">
                  <c:v>44377</c:v>
                </c:pt>
                <c:pt idx="141">
                  <c:v>44378</c:v>
                </c:pt>
                <c:pt idx="142">
                  <c:v>44379</c:v>
                </c:pt>
                <c:pt idx="143">
                  <c:v>44382</c:v>
                </c:pt>
                <c:pt idx="144">
                  <c:v>44383</c:v>
                </c:pt>
                <c:pt idx="145">
                  <c:v>44384</c:v>
                </c:pt>
                <c:pt idx="146">
                  <c:v>44385</c:v>
                </c:pt>
                <c:pt idx="147">
                  <c:v>44386</c:v>
                </c:pt>
                <c:pt idx="148">
                  <c:v>44389</c:v>
                </c:pt>
                <c:pt idx="149">
                  <c:v>44390</c:v>
                </c:pt>
                <c:pt idx="150">
                  <c:v>44391</c:v>
                </c:pt>
                <c:pt idx="151">
                  <c:v>44392</c:v>
                </c:pt>
                <c:pt idx="152">
                  <c:v>44393</c:v>
                </c:pt>
                <c:pt idx="153">
                  <c:v>44396</c:v>
                </c:pt>
                <c:pt idx="154">
                  <c:v>44397</c:v>
                </c:pt>
                <c:pt idx="155">
                  <c:v>44398</c:v>
                </c:pt>
                <c:pt idx="156">
                  <c:v>44399</c:v>
                </c:pt>
                <c:pt idx="157">
                  <c:v>44400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44410</c:v>
                </c:pt>
                <c:pt idx="164">
                  <c:v>44411</c:v>
                </c:pt>
                <c:pt idx="165">
                  <c:v>44412</c:v>
                </c:pt>
                <c:pt idx="166">
                  <c:v>44413</c:v>
                </c:pt>
                <c:pt idx="167">
                  <c:v>44414</c:v>
                </c:pt>
                <c:pt idx="168">
                  <c:v>44417</c:v>
                </c:pt>
                <c:pt idx="169">
                  <c:v>44418</c:v>
                </c:pt>
                <c:pt idx="170">
                  <c:v>44419</c:v>
                </c:pt>
                <c:pt idx="171">
                  <c:v>44420</c:v>
                </c:pt>
                <c:pt idx="172">
                  <c:v>44423</c:v>
                </c:pt>
                <c:pt idx="173">
                  <c:v>44424</c:v>
                </c:pt>
                <c:pt idx="174">
                  <c:v>44425</c:v>
                </c:pt>
                <c:pt idx="175">
                  <c:v>44426</c:v>
                </c:pt>
                <c:pt idx="176">
                  <c:v>44427</c:v>
                </c:pt>
                <c:pt idx="177">
                  <c:v>44428</c:v>
                </c:pt>
                <c:pt idx="178">
                  <c:v>44431</c:v>
                </c:pt>
                <c:pt idx="179">
                  <c:v>44432</c:v>
                </c:pt>
                <c:pt idx="180">
                  <c:v>44433</c:v>
                </c:pt>
                <c:pt idx="181">
                  <c:v>44434</c:v>
                </c:pt>
                <c:pt idx="182">
                  <c:v>44435</c:v>
                </c:pt>
                <c:pt idx="183">
                  <c:v>44438</c:v>
                </c:pt>
                <c:pt idx="184">
                  <c:v>44439</c:v>
                </c:pt>
                <c:pt idx="185">
                  <c:v>44440</c:v>
                </c:pt>
                <c:pt idx="186">
                  <c:v>44441</c:v>
                </c:pt>
                <c:pt idx="187">
                  <c:v>44442</c:v>
                </c:pt>
                <c:pt idx="188">
                  <c:v>44445</c:v>
                </c:pt>
                <c:pt idx="189">
                  <c:v>44446</c:v>
                </c:pt>
                <c:pt idx="190">
                  <c:v>44447</c:v>
                </c:pt>
                <c:pt idx="191">
                  <c:v>44448</c:v>
                </c:pt>
                <c:pt idx="192">
                  <c:v>44449</c:v>
                </c:pt>
                <c:pt idx="193">
                  <c:v>44452</c:v>
                </c:pt>
                <c:pt idx="194">
                  <c:v>44453</c:v>
                </c:pt>
                <c:pt idx="195">
                  <c:v>44454</c:v>
                </c:pt>
                <c:pt idx="196">
                  <c:v>44455</c:v>
                </c:pt>
                <c:pt idx="197">
                  <c:v>44456</c:v>
                </c:pt>
                <c:pt idx="198">
                  <c:v>44461</c:v>
                </c:pt>
                <c:pt idx="199">
                  <c:v>44462</c:v>
                </c:pt>
                <c:pt idx="200">
                  <c:v>44463</c:v>
                </c:pt>
                <c:pt idx="201">
                  <c:v>44466</c:v>
                </c:pt>
                <c:pt idx="202">
                  <c:v>44467</c:v>
                </c:pt>
                <c:pt idx="203">
                  <c:v>44468</c:v>
                </c:pt>
                <c:pt idx="204">
                  <c:v>44469</c:v>
                </c:pt>
                <c:pt idx="205">
                  <c:v>44477</c:v>
                </c:pt>
                <c:pt idx="206">
                  <c:v>44480</c:v>
                </c:pt>
                <c:pt idx="207">
                  <c:v>44481</c:v>
                </c:pt>
                <c:pt idx="208">
                  <c:v>44482</c:v>
                </c:pt>
                <c:pt idx="209">
                  <c:v>44483</c:v>
                </c:pt>
                <c:pt idx="210">
                  <c:v>44484</c:v>
                </c:pt>
                <c:pt idx="211">
                  <c:v>44487</c:v>
                </c:pt>
                <c:pt idx="212">
                  <c:v>44488</c:v>
                </c:pt>
                <c:pt idx="213">
                  <c:v>44489</c:v>
                </c:pt>
                <c:pt idx="214">
                  <c:v>44490</c:v>
                </c:pt>
                <c:pt idx="215">
                  <c:v>44491</c:v>
                </c:pt>
                <c:pt idx="216">
                  <c:v>44494</c:v>
                </c:pt>
                <c:pt idx="217">
                  <c:v>44495</c:v>
                </c:pt>
                <c:pt idx="218">
                  <c:v>44496</c:v>
                </c:pt>
                <c:pt idx="219">
                  <c:v>44497</c:v>
                </c:pt>
                <c:pt idx="220">
                  <c:v>44498</c:v>
                </c:pt>
                <c:pt idx="221">
                  <c:v>44501</c:v>
                </c:pt>
                <c:pt idx="222">
                  <c:v>44502</c:v>
                </c:pt>
                <c:pt idx="223">
                  <c:v>44503</c:v>
                </c:pt>
                <c:pt idx="224">
                  <c:v>44504</c:v>
                </c:pt>
                <c:pt idx="225">
                  <c:v>44505</c:v>
                </c:pt>
                <c:pt idx="226">
                  <c:v>44508</c:v>
                </c:pt>
                <c:pt idx="227">
                  <c:v>44509</c:v>
                </c:pt>
                <c:pt idx="228">
                  <c:v>44510</c:v>
                </c:pt>
                <c:pt idx="229">
                  <c:v>44511</c:v>
                </c:pt>
                <c:pt idx="230">
                  <c:v>44512</c:v>
                </c:pt>
                <c:pt idx="231">
                  <c:v>44515</c:v>
                </c:pt>
                <c:pt idx="232">
                  <c:v>44516</c:v>
                </c:pt>
                <c:pt idx="233">
                  <c:v>44517</c:v>
                </c:pt>
                <c:pt idx="234">
                  <c:v>44518</c:v>
                </c:pt>
                <c:pt idx="235">
                  <c:v>44519</c:v>
                </c:pt>
                <c:pt idx="236">
                  <c:v>44522</c:v>
                </c:pt>
                <c:pt idx="237">
                  <c:v>44523</c:v>
                </c:pt>
                <c:pt idx="238">
                  <c:v>44524</c:v>
                </c:pt>
                <c:pt idx="239">
                  <c:v>44525</c:v>
                </c:pt>
                <c:pt idx="240">
                  <c:v>44526</c:v>
                </c:pt>
                <c:pt idx="241">
                  <c:v>44529</c:v>
                </c:pt>
                <c:pt idx="242">
                  <c:v>44530</c:v>
                </c:pt>
                <c:pt idx="243">
                  <c:v>44531</c:v>
                </c:pt>
                <c:pt idx="244">
                  <c:v>44532</c:v>
                </c:pt>
                <c:pt idx="245">
                  <c:v>44533</c:v>
                </c:pt>
                <c:pt idx="246">
                  <c:v>44536</c:v>
                </c:pt>
                <c:pt idx="247">
                  <c:v>44537</c:v>
                </c:pt>
                <c:pt idx="248">
                  <c:v>44538</c:v>
                </c:pt>
                <c:pt idx="249">
                  <c:v>44539</c:v>
                </c:pt>
                <c:pt idx="250">
                  <c:v>44540</c:v>
                </c:pt>
                <c:pt idx="251">
                  <c:v>44543</c:v>
                </c:pt>
                <c:pt idx="252">
                  <c:v>44544</c:v>
                </c:pt>
                <c:pt idx="253">
                  <c:v>44545</c:v>
                </c:pt>
                <c:pt idx="254">
                  <c:v>44546</c:v>
                </c:pt>
                <c:pt idx="255">
                  <c:v>44547</c:v>
                </c:pt>
                <c:pt idx="256">
                  <c:v>44550</c:v>
                </c:pt>
                <c:pt idx="257">
                  <c:v>44551</c:v>
                </c:pt>
                <c:pt idx="258">
                  <c:v>44552</c:v>
                </c:pt>
                <c:pt idx="259">
                  <c:v>44553</c:v>
                </c:pt>
                <c:pt idx="260">
                  <c:v>44554</c:v>
                </c:pt>
                <c:pt idx="261">
                  <c:v>44557</c:v>
                </c:pt>
                <c:pt idx="262">
                  <c:v>44558</c:v>
                </c:pt>
                <c:pt idx="263">
                  <c:v>44559</c:v>
                </c:pt>
                <c:pt idx="264">
                  <c:v>44560</c:v>
                </c:pt>
                <c:pt idx="265">
                  <c:v>44561</c:v>
                </c:pt>
                <c:pt idx="266">
                  <c:v>44565</c:v>
                </c:pt>
                <c:pt idx="267">
                  <c:v>44566</c:v>
                </c:pt>
                <c:pt idx="268">
                  <c:v>44567</c:v>
                </c:pt>
                <c:pt idx="269">
                  <c:v>44568</c:v>
                </c:pt>
                <c:pt idx="270">
                  <c:v>44571</c:v>
                </c:pt>
                <c:pt idx="271">
                  <c:v>44572</c:v>
                </c:pt>
                <c:pt idx="272">
                  <c:v>44573</c:v>
                </c:pt>
                <c:pt idx="273">
                  <c:v>44574</c:v>
                </c:pt>
                <c:pt idx="274">
                  <c:v>44575</c:v>
                </c:pt>
                <c:pt idx="275">
                  <c:v>44578</c:v>
                </c:pt>
                <c:pt idx="276">
                  <c:v>44579</c:v>
                </c:pt>
                <c:pt idx="277">
                  <c:v>44580</c:v>
                </c:pt>
                <c:pt idx="278">
                  <c:v>44581</c:v>
                </c:pt>
                <c:pt idx="279">
                  <c:v>44582</c:v>
                </c:pt>
                <c:pt idx="280">
                  <c:v>44585</c:v>
                </c:pt>
                <c:pt idx="281">
                  <c:v>44586</c:v>
                </c:pt>
                <c:pt idx="282">
                  <c:v>44587</c:v>
                </c:pt>
                <c:pt idx="283">
                  <c:v>44588</c:v>
                </c:pt>
                <c:pt idx="284">
                  <c:v>44589</c:v>
                </c:pt>
                <c:pt idx="285">
                  <c:v>44599</c:v>
                </c:pt>
                <c:pt idx="286">
                  <c:v>44600</c:v>
                </c:pt>
                <c:pt idx="287">
                  <c:v>44601</c:v>
                </c:pt>
                <c:pt idx="288">
                  <c:v>44602</c:v>
                </c:pt>
                <c:pt idx="289">
                  <c:v>44603</c:v>
                </c:pt>
                <c:pt idx="290">
                  <c:v>44606</c:v>
                </c:pt>
                <c:pt idx="291">
                  <c:v>44607</c:v>
                </c:pt>
                <c:pt idx="292">
                  <c:v>44608</c:v>
                </c:pt>
                <c:pt idx="293">
                  <c:v>44609</c:v>
                </c:pt>
                <c:pt idx="294">
                  <c:v>44610</c:v>
                </c:pt>
                <c:pt idx="295">
                  <c:v>44613</c:v>
                </c:pt>
                <c:pt idx="296">
                  <c:v>44614</c:v>
                </c:pt>
                <c:pt idx="297">
                  <c:v>44615</c:v>
                </c:pt>
                <c:pt idx="298">
                  <c:v>44616</c:v>
                </c:pt>
                <c:pt idx="299">
                  <c:v>44617</c:v>
                </c:pt>
                <c:pt idx="300">
                  <c:v>44620</c:v>
                </c:pt>
                <c:pt idx="301">
                  <c:v>44621</c:v>
                </c:pt>
                <c:pt idx="302">
                  <c:v>44622</c:v>
                </c:pt>
                <c:pt idx="303">
                  <c:v>44623</c:v>
                </c:pt>
                <c:pt idx="304">
                  <c:v>44624</c:v>
                </c:pt>
                <c:pt idx="305">
                  <c:v>44627</c:v>
                </c:pt>
                <c:pt idx="306">
                  <c:v>44628</c:v>
                </c:pt>
                <c:pt idx="307">
                  <c:v>44629</c:v>
                </c:pt>
                <c:pt idx="308">
                  <c:v>44630</c:v>
                </c:pt>
                <c:pt idx="309">
                  <c:v>44631</c:v>
                </c:pt>
                <c:pt idx="310">
                  <c:v>44634</c:v>
                </c:pt>
                <c:pt idx="311">
                  <c:v>44635</c:v>
                </c:pt>
                <c:pt idx="312">
                  <c:v>44636</c:v>
                </c:pt>
                <c:pt idx="313">
                  <c:v>44637</c:v>
                </c:pt>
                <c:pt idx="314">
                  <c:v>44638</c:v>
                </c:pt>
                <c:pt idx="315">
                  <c:v>44641</c:v>
                </c:pt>
                <c:pt idx="316">
                  <c:v>44642</c:v>
                </c:pt>
                <c:pt idx="317">
                  <c:v>44643</c:v>
                </c:pt>
                <c:pt idx="318">
                  <c:v>44644</c:v>
                </c:pt>
                <c:pt idx="319">
                  <c:v>44645</c:v>
                </c:pt>
                <c:pt idx="320">
                  <c:v>44648</c:v>
                </c:pt>
                <c:pt idx="321">
                  <c:v>44649</c:v>
                </c:pt>
                <c:pt idx="322">
                  <c:v>44650</c:v>
                </c:pt>
                <c:pt idx="323">
                  <c:v>44651</c:v>
                </c:pt>
                <c:pt idx="324">
                  <c:v>44652</c:v>
                </c:pt>
                <c:pt idx="325">
                  <c:v>44657</c:v>
                </c:pt>
                <c:pt idx="326">
                  <c:v>44658</c:v>
                </c:pt>
                <c:pt idx="327">
                  <c:v>44659</c:v>
                </c:pt>
                <c:pt idx="328">
                  <c:v>44662</c:v>
                </c:pt>
                <c:pt idx="329">
                  <c:v>44663</c:v>
                </c:pt>
                <c:pt idx="330">
                  <c:v>44664</c:v>
                </c:pt>
                <c:pt idx="331">
                  <c:v>44665</c:v>
                </c:pt>
                <c:pt idx="332">
                  <c:v>44666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44686</c:v>
                </c:pt>
                <c:pt idx="344">
                  <c:v>44687</c:v>
                </c:pt>
                <c:pt idx="345">
                  <c:v>44690</c:v>
                </c:pt>
                <c:pt idx="346">
                  <c:v>44691</c:v>
                </c:pt>
                <c:pt idx="347">
                  <c:v>44692</c:v>
                </c:pt>
                <c:pt idx="348">
                  <c:v>44693</c:v>
                </c:pt>
                <c:pt idx="349">
                  <c:v>44694</c:v>
                </c:pt>
                <c:pt idx="350">
                  <c:v>44697</c:v>
                </c:pt>
                <c:pt idx="351">
                  <c:v>44698</c:v>
                </c:pt>
                <c:pt idx="352">
                  <c:v>44699</c:v>
                </c:pt>
                <c:pt idx="353">
                  <c:v>44700</c:v>
                </c:pt>
                <c:pt idx="354">
                  <c:v>44701</c:v>
                </c:pt>
                <c:pt idx="355">
                  <c:v>44704</c:v>
                </c:pt>
                <c:pt idx="356">
                  <c:v>44705</c:v>
                </c:pt>
                <c:pt idx="357">
                  <c:v>44706</c:v>
                </c:pt>
                <c:pt idx="358">
                  <c:v>44707</c:v>
                </c:pt>
                <c:pt idx="359">
                  <c:v>44708</c:v>
                </c:pt>
                <c:pt idx="360">
                  <c:v>44711</c:v>
                </c:pt>
                <c:pt idx="361">
                  <c:v>44712</c:v>
                </c:pt>
                <c:pt idx="362">
                  <c:v>44713</c:v>
                </c:pt>
                <c:pt idx="363">
                  <c:v>44714</c:v>
                </c:pt>
                <c:pt idx="364">
                  <c:v>44718</c:v>
                </c:pt>
                <c:pt idx="365">
                  <c:v>44719</c:v>
                </c:pt>
                <c:pt idx="366">
                  <c:v>44720</c:v>
                </c:pt>
                <c:pt idx="367">
                  <c:v>44721</c:v>
                </c:pt>
                <c:pt idx="368">
                  <c:v>44722</c:v>
                </c:pt>
                <c:pt idx="369">
                  <c:v>44725</c:v>
                </c:pt>
                <c:pt idx="370">
                  <c:v>44726</c:v>
                </c:pt>
                <c:pt idx="371">
                  <c:v>44727</c:v>
                </c:pt>
                <c:pt idx="372">
                  <c:v>44728</c:v>
                </c:pt>
                <c:pt idx="373">
                  <c:v>44729</c:v>
                </c:pt>
                <c:pt idx="374">
                  <c:v>44732</c:v>
                </c:pt>
                <c:pt idx="375">
                  <c:v>44733</c:v>
                </c:pt>
                <c:pt idx="376">
                  <c:v>44734</c:v>
                </c:pt>
                <c:pt idx="377">
                  <c:v>44735</c:v>
                </c:pt>
                <c:pt idx="378">
                  <c:v>44736</c:v>
                </c:pt>
                <c:pt idx="379">
                  <c:v>44739</c:v>
                </c:pt>
                <c:pt idx="380">
                  <c:v>44740</c:v>
                </c:pt>
                <c:pt idx="381">
                  <c:v>44741</c:v>
                </c:pt>
                <c:pt idx="382">
                  <c:v>44742</c:v>
                </c:pt>
                <c:pt idx="383">
                  <c:v>44743</c:v>
                </c:pt>
                <c:pt idx="384">
                  <c:v>44746</c:v>
                </c:pt>
                <c:pt idx="385">
                  <c:v>44747</c:v>
                </c:pt>
                <c:pt idx="386">
                  <c:v>44748</c:v>
                </c:pt>
                <c:pt idx="387">
                  <c:v>44749</c:v>
                </c:pt>
                <c:pt idx="388">
                  <c:v>44750</c:v>
                </c:pt>
                <c:pt idx="389">
                  <c:v>44753</c:v>
                </c:pt>
                <c:pt idx="390">
                  <c:v>44754</c:v>
                </c:pt>
                <c:pt idx="391">
                  <c:v>44755</c:v>
                </c:pt>
                <c:pt idx="392">
                  <c:v>44756</c:v>
                </c:pt>
                <c:pt idx="393">
                  <c:v>44757</c:v>
                </c:pt>
                <c:pt idx="394">
                  <c:v>44760</c:v>
                </c:pt>
                <c:pt idx="395">
                  <c:v>44761</c:v>
                </c:pt>
                <c:pt idx="396">
                  <c:v>44762</c:v>
                </c:pt>
                <c:pt idx="397">
                  <c:v>44763</c:v>
                </c:pt>
                <c:pt idx="398">
                  <c:v>44764</c:v>
                </c:pt>
                <c:pt idx="399">
                  <c:v>44767</c:v>
                </c:pt>
                <c:pt idx="400">
                  <c:v>44768</c:v>
                </c:pt>
                <c:pt idx="401">
                  <c:v>44769</c:v>
                </c:pt>
                <c:pt idx="402">
                  <c:v>44770</c:v>
                </c:pt>
                <c:pt idx="403">
                  <c:v>44771</c:v>
                </c:pt>
                <c:pt idx="404">
                  <c:v>44774</c:v>
                </c:pt>
                <c:pt idx="405">
                  <c:v>44775</c:v>
                </c:pt>
                <c:pt idx="406">
                  <c:v>44776</c:v>
                </c:pt>
                <c:pt idx="407">
                  <c:v>44777</c:v>
                </c:pt>
                <c:pt idx="408">
                  <c:v>44778</c:v>
                </c:pt>
                <c:pt idx="409">
                  <c:v>44781</c:v>
                </c:pt>
                <c:pt idx="410">
                  <c:v>44782</c:v>
                </c:pt>
                <c:pt idx="411">
                  <c:v>44783</c:v>
                </c:pt>
                <c:pt idx="412">
                  <c:v>44784</c:v>
                </c:pt>
                <c:pt idx="413">
                  <c:v>44785</c:v>
                </c:pt>
                <c:pt idx="414">
                  <c:v>44788</c:v>
                </c:pt>
                <c:pt idx="415">
                  <c:v>44789</c:v>
                </c:pt>
                <c:pt idx="416">
                  <c:v>44790</c:v>
                </c:pt>
                <c:pt idx="417">
                  <c:v>44791</c:v>
                </c:pt>
                <c:pt idx="418">
                  <c:v>44792</c:v>
                </c:pt>
                <c:pt idx="419">
                  <c:v>44795</c:v>
                </c:pt>
                <c:pt idx="420">
                  <c:v>44796</c:v>
                </c:pt>
                <c:pt idx="421">
                  <c:v>44797</c:v>
                </c:pt>
                <c:pt idx="422">
                  <c:v>44798</c:v>
                </c:pt>
                <c:pt idx="423">
                  <c:v>44799</c:v>
                </c:pt>
                <c:pt idx="424">
                  <c:v>44802</c:v>
                </c:pt>
                <c:pt idx="425">
                  <c:v>44803</c:v>
                </c:pt>
                <c:pt idx="426">
                  <c:v>44804</c:v>
                </c:pt>
                <c:pt idx="427">
                  <c:v>44805</c:v>
                </c:pt>
                <c:pt idx="428">
                  <c:v>44806</c:v>
                </c:pt>
                <c:pt idx="429">
                  <c:v>44809</c:v>
                </c:pt>
                <c:pt idx="430">
                  <c:v>44810</c:v>
                </c:pt>
                <c:pt idx="431">
                  <c:v>44811</c:v>
                </c:pt>
                <c:pt idx="432">
                  <c:v>44812</c:v>
                </c:pt>
                <c:pt idx="433">
                  <c:v>44813</c:v>
                </c:pt>
                <c:pt idx="434">
                  <c:v>44817</c:v>
                </c:pt>
                <c:pt idx="435">
                  <c:v>44818</c:v>
                </c:pt>
                <c:pt idx="436">
                  <c:v>44819</c:v>
                </c:pt>
                <c:pt idx="437">
                  <c:v>44820</c:v>
                </c:pt>
                <c:pt idx="438">
                  <c:v>44823</c:v>
                </c:pt>
                <c:pt idx="439">
                  <c:v>44824</c:v>
                </c:pt>
                <c:pt idx="440">
                  <c:v>44825</c:v>
                </c:pt>
                <c:pt idx="441">
                  <c:v>44826</c:v>
                </c:pt>
                <c:pt idx="442">
                  <c:v>44827</c:v>
                </c:pt>
                <c:pt idx="443">
                  <c:v>44830</c:v>
                </c:pt>
                <c:pt idx="444">
                  <c:v>44831</c:v>
                </c:pt>
                <c:pt idx="445">
                  <c:v>44832</c:v>
                </c:pt>
                <c:pt idx="446">
                  <c:v>44833</c:v>
                </c:pt>
                <c:pt idx="447">
                  <c:v>44834</c:v>
                </c:pt>
                <c:pt idx="448">
                  <c:v>44844</c:v>
                </c:pt>
                <c:pt idx="449">
                  <c:v>44845</c:v>
                </c:pt>
                <c:pt idx="450">
                  <c:v>44846</c:v>
                </c:pt>
                <c:pt idx="451">
                  <c:v>44847</c:v>
                </c:pt>
                <c:pt idx="452">
                  <c:v>44848</c:v>
                </c:pt>
                <c:pt idx="453">
                  <c:v>44851</c:v>
                </c:pt>
                <c:pt idx="454">
                  <c:v>44852</c:v>
                </c:pt>
                <c:pt idx="455">
                  <c:v>44853</c:v>
                </c:pt>
                <c:pt idx="456">
                  <c:v>44854</c:v>
                </c:pt>
                <c:pt idx="457">
                  <c:v>44855</c:v>
                </c:pt>
                <c:pt idx="458">
                  <c:v>44858</c:v>
                </c:pt>
                <c:pt idx="459">
                  <c:v>44859</c:v>
                </c:pt>
                <c:pt idx="460">
                  <c:v>44860</c:v>
                </c:pt>
                <c:pt idx="461">
                  <c:v>44861</c:v>
                </c:pt>
                <c:pt idx="462">
                  <c:v>44862</c:v>
                </c:pt>
                <c:pt idx="463">
                  <c:v>44865</c:v>
                </c:pt>
                <c:pt idx="464">
                  <c:v>44866</c:v>
                </c:pt>
                <c:pt idx="465">
                  <c:v>44867</c:v>
                </c:pt>
                <c:pt idx="466">
                  <c:v>44868</c:v>
                </c:pt>
                <c:pt idx="467">
                  <c:v>44869</c:v>
                </c:pt>
                <c:pt idx="468">
                  <c:v>44872</c:v>
                </c:pt>
                <c:pt idx="469">
                  <c:v>44873</c:v>
                </c:pt>
                <c:pt idx="470">
                  <c:v>44874</c:v>
                </c:pt>
                <c:pt idx="471">
                  <c:v>44875</c:v>
                </c:pt>
                <c:pt idx="472">
                  <c:v>44876</c:v>
                </c:pt>
                <c:pt idx="473">
                  <c:v>44879</c:v>
                </c:pt>
                <c:pt idx="474">
                  <c:v>44880</c:v>
                </c:pt>
                <c:pt idx="475">
                  <c:v>44881</c:v>
                </c:pt>
                <c:pt idx="476">
                  <c:v>44882</c:v>
                </c:pt>
                <c:pt idx="477">
                  <c:v>44883</c:v>
                </c:pt>
                <c:pt idx="478">
                  <c:v>44886</c:v>
                </c:pt>
                <c:pt idx="479">
                  <c:v>44887</c:v>
                </c:pt>
                <c:pt idx="480">
                  <c:v>44888</c:v>
                </c:pt>
                <c:pt idx="481">
                  <c:v>44889</c:v>
                </c:pt>
                <c:pt idx="482">
                  <c:v>44890</c:v>
                </c:pt>
                <c:pt idx="483">
                  <c:v>44893</c:v>
                </c:pt>
                <c:pt idx="484">
                  <c:v>44894</c:v>
                </c:pt>
                <c:pt idx="485">
                  <c:v>44895</c:v>
                </c:pt>
                <c:pt idx="486">
                  <c:v>44896</c:v>
                </c:pt>
                <c:pt idx="487">
                  <c:v>44897</c:v>
                </c:pt>
                <c:pt idx="488">
                  <c:v>44900</c:v>
                </c:pt>
                <c:pt idx="489">
                  <c:v>44901</c:v>
                </c:pt>
                <c:pt idx="490">
                  <c:v>44902</c:v>
                </c:pt>
                <c:pt idx="491">
                  <c:v>44903</c:v>
                </c:pt>
                <c:pt idx="492">
                  <c:v>44904</c:v>
                </c:pt>
                <c:pt idx="493">
                  <c:v>44907</c:v>
                </c:pt>
                <c:pt idx="494">
                  <c:v>44908</c:v>
                </c:pt>
                <c:pt idx="495">
                  <c:v>44909</c:v>
                </c:pt>
                <c:pt idx="496">
                  <c:v>44910</c:v>
                </c:pt>
                <c:pt idx="497">
                  <c:v>44911</c:v>
                </c:pt>
                <c:pt idx="498">
                  <c:v>44914</c:v>
                </c:pt>
                <c:pt idx="499">
                  <c:v>44915</c:v>
                </c:pt>
                <c:pt idx="500">
                  <c:v>44916</c:v>
                </c:pt>
                <c:pt idx="501">
                  <c:v>44917</c:v>
                </c:pt>
                <c:pt idx="502">
                  <c:v>44918</c:v>
                </c:pt>
                <c:pt idx="503">
                  <c:v>44921</c:v>
                </c:pt>
                <c:pt idx="504">
                  <c:v>44922</c:v>
                </c:pt>
                <c:pt idx="505">
                  <c:v>44923</c:v>
                </c:pt>
                <c:pt idx="506">
                  <c:v>44924</c:v>
                </c:pt>
                <c:pt idx="507">
                  <c:v>44925</c:v>
                </c:pt>
                <c:pt idx="508">
                  <c:v>44929</c:v>
                </c:pt>
                <c:pt idx="509">
                  <c:v>44930</c:v>
                </c:pt>
                <c:pt idx="510">
                  <c:v>44931</c:v>
                </c:pt>
                <c:pt idx="511">
                  <c:v>44932</c:v>
                </c:pt>
                <c:pt idx="512">
                  <c:v>44935</c:v>
                </c:pt>
                <c:pt idx="513">
                  <c:v>44936</c:v>
                </c:pt>
                <c:pt idx="514">
                  <c:v>44937</c:v>
                </c:pt>
                <c:pt idx="515">
                  <c:v>44938</c:v>
                </c:pt>
                <c:pt idx="516">
                  <c:v>44939</c:v>
                </c:pt>
                <c:pt idx="517">
                  <c:v>44942</c:v>
                </c:pt>
                <c:pt idx="518">
                  <c:v>44943</c:v>
                </c:pt>
                <c:pt idx="519">
                  <c:v>44944</c:v>
                </c:pt>
                <c:pt idx="520">
                  <c:v>44945</c:v>
                </c:pt>
                <c:pt idx="521">
                  <c:v>44946</c:v>
                </c:pt>
                <c:pt idx="522">
                  <c:v>44956</c:v>
                </c:pt>
                <c:pt idx="523">
                  <c:v>44957</c:v>
                </c:pt>
                <c:pt idx="524">
                  <c:v>44958</c:v>
                </c:pt>
                <c:pt idx="525">
                  <c:v>44959</c:v>
                </c:pt>
                <c:pt idx="526">
                  <c:v>44960</c:v>
                </c:pt>
                <c:pt idx="527">
                  <c:v>44963</c:v>
                </c:pt>
                <c:pt idx="528">
                  <c:v>44964</c:v>
                </c:pt>
                <c:pt idx="529">
                  <c:v>44965</c:v>
                </c:pt>
                <c:pt idx="530">
                  <c:v>44966</c:v>
                </c:pt>
                <c:pt idx="531">
                  <c:v>44967</c:v>
                </c:pt>
                <c:pt idx="532">
                  <c:v>44970</c:v>
                </c:pt>
                <c:pt idx="533">
                  <c:v>44971</c:v>
                </c:pt>
                <c:pt idx="534">
                  <c:v>44972</c:v>
                </c:pt>
                <c:pt idx="535">
                  <c:v>44973</c:v>
                </c:pt>
                <c:pt idx="536">
                  <c:v>44974</c:v>
                </c:pt>
                <c:pt idx="537">
                  <c:v>44977</c:v>
                </c:pt>
                <c:pt idx="538">
                  <c:v>44978</c:v>
                </c:pt>
                <c:pt idx="539">
                  <c:v>44979</c:v>
                </c:pt>
                <c:pt idx="540">
                  <c:v>44980</c:v>
                </c:pt>
                <c:pt idx="541">
                  <c:v>44981</c:v>
                </c:pt>
                <c:pt idx="542">
                  <c:v>44984</c:v>
                </c:pt>
                <c:pt idx="543">
                  <c:v>44985</c:v>
                </c:pt>
                <c:pt idx="544">
                  <c:v>44986</c:v>
                </c:pt>
                <c:pt idx="545">
                  <c:v>44987</c:v>
                </c:pt>
                <c:pt idx="546">
                  <c:v>44988</c:v>
                </c:pt>
                <c:pt idx="547">
                  <c:v>44991</c:v>
                </c:pt>
                <c:pt idx="548">
                  <c:v>44992</c:v>
                </c:pt>
                <c:pt idx="549">
                  <c:v>44993</c:v>
                </c:pt>
                <c:pt idx="550">
                  <c:v>44994</c:v>
                </c:pt>
                <c:pt idx="551">
                  <c:v>44995</c:v>
                </c:pt>
                <c:pt idx="552">
                  <c:v>44998</c:v>
                </c:pt>
                <c:pt idx="553">
                  <c:v>44999</c:v>
                </c:pt>
                <c:pt idx="554">
                  <c:v>45000</c:v>
                </c:pt>
                <c:pt idx="555">
                  <c:v>45001</c:v>
                </c:pt>
                <c:pt idx="556">
                  <c:v>45002</c:v>
                </c:pt>
                <c:pt idx="557">
                  <c:v>45005</c:v>
                </c:pt>
                <c:pt idx="558">
                  <c:v>45006</c:v>
                </c:pt>
                <c:pt idx="559">
                  <c:v>45007</c:v>
                </c:pt>
                <c:pt idx="560">
                  <c:v>45008</c:v>
                </c:pt>
                <c:pt idx="561">
                  <c:v>45009</c:v>
                </c:pt>
                <c:pt idx="562">
                  <c:v>45012</c:v>
                </c:pt>
                <c:pt idx="563">
                  <c:v>45013</c:v>
                </c:pt>
                <c:pt idx="564">
                  <c:v>45014</c:v>
                </c:pt>
                <c:pt idx="565">
                  <c:v>45015</c:v>
                </c:pt>
                <c:pt idx="566">
                  <c:v>45016</c:v>
                </c:pt>
                <c:pt idx="567">
                  <c:v>45019</c:v>
                </c:pt>
                <c:pt idx="568">
                  <c:v>45020</c:v>
                </c:pt>
                <c:pt idx="569">
                  <c:v>45022</c:v>
                </c:pt>
                <c:pt idx="570">
                  <c:v>45023</c:v>
                </c:pt>
                <c:pt idx="571">
                  <c:v>45026</c:v>
                </c:pt>
                <c:pt idx="572">
                  <c:v>45027</c:v>
                </c:pt>
                <c:pt idx="573">
                  <c:v>45028</c:v>
                </c:pt>
                <c:pt idx="574">
                  <c:v>45029</c:v>
                </c:pt>
                <c:pt idx="575">
                  <c:v>45030</c:v>
                </c:pt>
                <c:pt idx="576">
                  <c:v>45033</c:v>
                </c:pt>
                <c:pt idx="577">
                  <c:v>45034</c:v>
                </c:pt>
                <c:pt idx="578">
                  <c:v>45035</c:v>
                </c:pt>
                <c:pt idx="579">
                  <c:v>45036</c:v>
                </c:pt>
                <c:pt idx="580">
                  <c:v>45037</c:v>
                </c:pt>
                <c:pt idx="581">
                  <c:v>45040</c:v>
                </c:pt>
                <c:pt idx="582">
                  <c:v>45041</c:v>
                </c:pt>
                <c:pt idx="583">
                  <c:v>45042</c:v>
                </c:pt>
                <c:pt idx="584">
                  <c:v>45043</c:v>
                </c:pt>
                <c:pt idx="585">
                  <c:v>45044</c:v>
                </c:pt>
              </c:numCache>
            </c:numRef>
          </c:cat>
          <c:val>
            <c:numRef>
              <c:f>情绪数据!今日涨停封死计数</c:f>
              <c:numCache>
                <c:formatCode>0_ ;[Red]\-0\ </c:formatCode>
                <c:ptCount val="586"/>
                <c:pt idx="0">
                  <c:v>26</c:v>
                </c:pt>
                <c:pt idx="1">
                  <c:v>42</c:v>
                </c:pt>
                <c:pt idx="2">
                  <c:v>47</c:v>
                </c:pt>
                <c:pt idx="3">
                  <c:v>42</c:v>
                </c:pt>
                <c:pt idx="4">
                  <c:v>33</c:v>
                </c:pt>
                <c:pt idx="5">
                  <c:v>32</c:v>
                </c:pt>
                <c:pt idx="6">
                  <c:v>30</c:v>
                </c:pt>
                <c:pt idx="7">
                  <c:v>30</c:v>
                </c:pt>
                <c:pt idx="8">
                  <c:v>28</c:v>
                </c:pt>
                <c:pt idx="9">
                  <c:v>19</c:v>
                </c:pt>
                <c:pt idx="10">
                  <c:v>44</c:v>
                </c:pt>
                <c:pt idx="11">
                  <c:v>29</c:v>
                </c:pt>
                <c:pt idx="12">
                  <c:v>22</c:v>
                </c:pt>
                <c:pt idx="13">
                  <c:v>45</c:v>
                </c:pt>
                <c:pt idx="14">
                  <c:v>37</c:v>
                </c:pt>
                <c:pt idx="15">
                  <c:v>50</c:v>
                </c:pt>
                <c:pt idx="16">
                  <c:v>33</c:v>
                </c:pt>
                <c:pt idx="17">
                  <c:v>51</c:v>
                </c:pt>
                <c:pt idx="18">
                  <c:v>36</c:v>
                </c:pt>
                <c:pt idx="19">
                  <c:v>69</c:v>
                </c:pt>
                <c:pt idx="20">
                  <c:v>60</c:v>
                </c:pt>
                <c:pt idx="21">
                  <c:v>57</c:v>
                </c:pt>
                <c:pt idx="22">
                  <c:v>64</c:v>
                </c:pt>
                <c:pt idx="23">
                  <c:v>57</c:v>
                </c:pt>
                <c:pt idx="24">
                  <c:v>107</c:v>
                </c:pt>
                <c:pt idx="25">
                  <c:v>77</c:v>
                </c:pt>
                <c:pt idx="26">
                  <c:v>46</c:v>
                </c:pt>
                <c:pt idx="27">
                  <c:v>32</c:v>
                </c:pt>
                <c:pt idx="28">
                  <c:v>49</c:v>
                </c:pt>
                <c:pt idx="29">
                  <c:v>40</c:v>
                </c:pt>
                <c:pt idx="30">
                  <c:v>70</c:v>
                </c:pt>
                <c:pt idx="31">
                  <c:v>39</c:v>
                </c:pt>
                <c:pt idx="32">
                  <c:v>69</c:v>
                </c:pt>
                <c:pt idx="33">
                  <c:v>78</c:v>
                </c:pt>
                <c:pt idx="34">
                  <c:v>89</c:v>
                </c:pt>
                <c:pt idx="35">
                  <c:v>73</c:v>
                </c:pt>
                <c:pt idx="36">
                  <c:v>75</c:v>
                </c:pt>
                <c:pt idx="37">
                  <c:v>78</c:v>
                </c:pt>
                <c:pt idx="38">
                  <c:v>49</c:v>
                </c:pt>
                <c:pt idx="39">
                  <c:v>46</c:v>
                </c:pt>
                <c:pt idx="40">
                  <c:v>51</c:v>
                </c:pt>
                <c:pt idx="41">
                  <c:v>62</c:v>
                </c:pt>
                <c:pt idx="42">
                  <c:v>42</c:v>
                </c:pt>
                <c:pt idx="43">
                  <c:v>32</c:v>
                </c:pt>
                <c:pt idx="44">
                  <c:v>82</c:v>
                </c:pt>
                <c:pt idx="45">
                  <c:v>68</c:v>
                </c:pt>
                <c:pt idx="46">
                  <c:v>39</c:v>
                </c:pt>
                <c:pt idx="47">
                  <c:v>45</c:v>
                </c:pt>
                <c:pt idx="48">
                  <c:v>45</c:v>
                </c:pt>
                <c:pt idx="49">
                  <c:v>55</c:v>
                </c:pt>
                <c:pt idx="50">
                  <c:v>65</c:v>
                </c:pt>
                <c:pt idx="51">
                  <c:v>39</c:v>
                </c:pt>
                <c:pt idx="52">
                  <c:v>100</c:v>
                </c:pt>
                <c:pt idx="53">
                  <c:v>100</c:v>
                </c:pt>
                <c:pt idx="54">
                  <c:v>80</c:v>
                </c:pt>
                <c:pt idx="55">
                  <c:v>53</c:v>
                </c:pt>
                <c:pt idx="56">
                  <c:v>42</c:v>
                </c:pt>
                <c:pt idx="57">
                  <c:v>41</c:v>
                </c:pt>
                <c:pt idx="58">
                  <c:v>39</c:v>
                </c:pt>
                <c:pt idx="59">
                  <c:v>84</c:v>
                </c:pt>
                <c:pt idx="60">
                  <c:v>37</c:v>
                </c:pt>
                <c:pt idx="61">
                  <c:v>81</c:v>
                </c:pt>
                <c:pt idx="62">
                  <c:v>42</c:v>
                </c:pt>
                <c:pt idx="63">
                  <c:v>61</c:v>
                </c:pt>
                <c:pt idx="64">
                  <c:v>53</c:v>
                </c:pt>
                <c:pt idx="65">
                  <c:v>34</c:v>
                </c:pt>
                <c:pt idx="66">
                  <c:v>33</c:v>
                </c:pt>
                <c:pt idx="67">
                  <c:v>69</c:v>
                </c:pt>
                <c:pt idx="68">
                  <c:v>47</c:v>
                </c:pt>
                <c:pt idx="69">
                  <c:v>46</c:v>
                </c:pt>
                <c:pt idx="70">
                  <c:v>64</c:v>
                </c:pt>
                <c:pt idx="71">
                  <c:v>56</c:v>
                </c:pt>
                <c:pt idx="72">
                  <c:v>59</c:v>
                </c:pt>
                <c:pt idx="73">
                  <c:v>54</c:v>
                </c:pt>
                <c:pt idx="74">
                  <c:v>80</c:v>
                </c:pt>
                <c:pt idx="75">
                  <c:v>47</c:v>
                </c:pt>
                <c:pt idx="76">
                  <c:v>56</c:v>
                </c:pt>
                <c:pt idx="77">
                  <c:v>43</c:v>
                </c:pt>
                <c:pt idx="78">
                  <c:v>72</c:v>
                </c:pt>
                <c:pt idx="79">
                  <c:v>64</c:v>
                </c:pt>
                <c:pt idx="80">
                  <c:v>58</c:v>
                </c:pt>
                <c:pt idx="81">
                  <c:v>73</c:v>
                </c:pt>
                <c:pt idx="82">
                  <c:v>72</c:v>
                </c:pt>
                <c:pt idx="83">
                  <c:v>68</c:v>
                </c:pt>
                <c:pt idx="84">
                  <c:v>76</c:v>
                </c:pt>
                <c:pt idx="85">
                  <c:v>90</c:v>
                </c:pt>
                <c:pt idx="86">
                  <c:v>37</c:v>
                </c:pt>
                <c:pt idx="87">
                  <c:v>55</c:v>
                </c:pt>
                <c:pt idx="88">
                  <c:v>64</c:v>
                </c:pt>
                <c:pt idx="89">
                  <c:v>51</c:v>
                </c:pt>
                <c:pt idx="90">
                  <c:v>64</c:v>
                </c:pt>
                <c:pt idx="91">
                  <c:v>43</c:v>
                </c:pt>
                <c:pt idx="92">
                  <c:v>74</c:v>
                </c:pt>
                <c:pt idx="93">
                  <c:v>77</c:v>
                </c:pt>
                <c:pt idx="94">
                  <c:v>41</c:v>
                </c:pt>
                <c:pt idx="95">
                  <c:v>34</c:v>
                </c:pt>
                <c:pt idx="96">
                  <c:v>40</c:v>
                </c:pt>
                <c:pt idx="97">
                  <c:v>35</c:v>
                </c:pt>
                <c:pt idx="98">
                  <c:v>46</c:v>
                </c:pt>
                <c:pt idx="99">
                  <c:v>38</c:v>
                </c:pt>
                <c:pt idx="100">
                  <c:v>60</c:v>
                </c:pt>
                <c:pt idx="101">
                  <c:v>44</c:v>
                </c:pt>
                <c:pt idx="102">
                  <c:v>40</c:v>
                </c:pt>
                <c:pt idx="103">
                  <c:v>58</c:v>
                </c:pt>
                <c:pt idx="104">
                  <c:v>43</c:v>
                </c:pt>
                <c:pt idx="105">
                  <c:v>82</c:v>
                </c:pt>
                <c:pt idx="106">
                  <c:v>54</c:v>
                </c:pt>
                <c:pt idx="107">
                  <c:v>42</c:v>
                </c:pt>
                <c:pt idx="108">
                  <c:v>77</c:v>
                </c:pt>
                <c:pt idx="109">
                  <c:v>32</c:v>
                </c:pt>
                <c:pt idx="110">
                  <c:v>69</c:v>
                </c:pt>
                <c:pt idx="111">
                  <c:v>53</c:v>
                </c:pt>
                <c:pt idx="112">
                  <c:v>46</c:v>
                </c:pt>
                <c:pt idx="113">
                  <c:v>62</c:v>
                </c:pt>
                <c:pt idx="114">
                  <c:v>56</c:v>
                </c:pt>
                <c:pt idx="115">
                  <c:v>48</c:v>
                </c:pt>
                <c:pt idx="116">
                  <c:v>59</c:v>
                </c:pt>
                <c:pt idx="117">
                  <c:v>65</c:v>
                </c:pt>
                <c:pt idx="118">
                  <c:v>48</c:v>
                </c:pt>
                <c:pt idx="119">
                  <c:v>85</c:v>
                </c:pt>
                <c:pt idx="120">
                  <c:v>67</c:v>
                </c:pt>
                <c:pt idx="121">
                  <c:v>54</c:v>
                </c:pt>
                <c:pt idx="122">
                  <c:v>63</c:v>
                </c:pt>
                <c:pt idx="123">
                  <c:v>49</c:v>
                </c:pt>
                <c:pt idx="124">
                  <c:v>60</c:v>
                </c:pt>
                <c:pt idx="125">
                  <c:v>53</c:v>
                </c:pt>
                <c:pt idx="126">
                  <c:v>51</c:v>
                </c:pt>
                <c:pt idx="127">
                  <c:v>63</c:v>
                </c:pt>
                <c:pt idx="128">
                  <c:v>60</c:v>
                </c:pt>
                <c:pt idx="129">
                  <c:v>38</c:v>
                </c:pt>
                <c:pt idx="130">
                  <c:v>35</c:v>
                </c:pt>
                <c:pt idx="131">
                  <c:v>49</c:v>
                </c:pt>
                <c:pt idx="132">
                  <c:v>58</c:v>
                </c:pt>
                <c:pt idx="133">
                  <c:v>69</c:v>
                </c:pt>
                <c:pt idx="134">
                  <c:v>66</c:v>
                </c:pt>
                <c:pt idx="135">
                  <c:v>51</c:v>
                </c:pt>
                <c:pt idx="136">
                  <c:v>55</c:v>
                </c:pt>
                <c:pt idx="137">
                  <c:v>56</c:v>
                </c:pt>
                <c:pt idx="138">
                  <c:v>62</c:v>
                </c:pt>
                <c:pt idx="139">
                  <c:v>43</c:v>
                </c:pt>
                <c:pt idx="140">
                  <c:v>51</c:v>
                </c:pt>
                <c:pt idx="141">
                  <c:v>52</c:v>
                </c:pt>
                <c:pt idx="142">
                  <c:v>36</c:v>
                </c:pt>
                <c:pt idx="143">
                  <c:v>70</c:v>
                </c:pt>
                <c:pt idx="144">
                  <c:v>38</c:v>
                </c:pt>
                <c:pt idx="145">
                  <c:v>63</c:v>
                </c:pt>
                <c:pt idx="146">
                  <c:v>46</c:v>
                </c:pt>
                <c:pt idx="147">
                  <c:v>64</c:v>
                </c:pt>
                <c:pt idx="148">
                  <c:v>83</c:v>
                </c:pt>
                <c:pt idx="149">
                  <c:v>63</c:v>
                </c:pt>
                <c:pt idx="150">
                  <c:v>52</c:v>
                </c:pt>
                <c:pt idx="151">
                  <c:v>45</c:v>
                </c:pt>
                <c:pt idx="152">
                  <c:v>35</c:v>
                </c:pt>
                <c:pt idx="153">
                  <c:v>52</c:v>
                </c:pt>
                <c:pt idx="154">
                  <c:v>46</c:v>
                </c:pt>
                <c:pt idx="155">
                  <c:v>84</c:v>
                </c:pt>
                <c:pt idx="156">
                  <c:v>56</c:v>
                </c:pt>
                <c:pt idx="157">
                  <c:v>47</c:v>
                </c:pt>
                <c:pt idx="158">
                  <c:v>37</c:v>
                </c:pt>
                <c:pt idx="159">
                  <c:v>26</c:v>
                </c:pt>
                <c:pt idx="160">
                  <c:v>37</c:v>
                </c:pt>
                <c:pt idx="161">
                  <c:v>115</c:v>
                </c:pt>
                <c:pt idx="162">
                  <c:v>81</c:v>
                </c:pt>
                <c:pt idx="163">
                  <c:v>96</c:v>
                </c:pt>
                <c:pt idx="164">
                  <c:v>53</c:v>
                </c:pt>
                <c:pt idx="165">
                  <c:v>87</c:v>
                </c:pt>
                <c:pt idx="166">
                  <c:v>50</c:v>
                </c:pt>
                <c:pt idx="167">
                  <c:v>59</c:v>
                </c:pt>
                <c:pt idx="168">
                  <c:v>79</c:v>
                </c:pt>
                <c:pt idx="169">
                  <c:v>70</c:v>
                </c:pt>
                <c:pt idx="170">
                  <c:v>90</c:v>
                </c:pt>
                <c:pt idx="171">
                  <c:v>66</c:v>
                </c:pt>
                <c:pt idx="172">
                  <c:v>65</c:v>
                </c:pt>
                <c:pt idx="173">
                  <c:v>71</c:v>
                </c:pt>
                <c:pt idx="174">
                  <c:v>27</c:v>
                </c:pt>
                <c:pt idx="175">
                  <c:v>69</c:v>
                </c:pt>
                <c:pt idx="176">
                  <c:v>46</c:v>
                </c:pt>
                <c:pt idx="177">
                  <c:v>46</c:v>
                </c:pt>
                <c:pt idx="178">
                  <c:v>122</c:v>
                </c:pt>
                <c:pt idx="179">
                  <c:v>66</c:v>
                </c:pt>
                <c:pt idx="180">
                  <c:v>81</c:v>
                </c:pt>
                <c:pt idx="181">
                  <c:v>54</c:v>
                </c:pt>
                <c:pt idx="182">
                  <c:v>73</c:v>
                </c:pt>
                <c:pt idx="183">
                  <c:v>77</c:v>
                </c:pt>
                <c:pt idx="184">
                  <c:v>79</c:v>
                </c:pt>
                <c:pt idx="185">
                  <c:v>65</c:v>
                </c:pt>
                <c:pt idx="186">
                  <c:v>109</c:v>
                </c:pt>
                <c:pt idx="187">
                  <c:v>52</c:v>
                </c:pt>
                <c:pt idx="188">
                  <c:v>79</c:v>
                </c:pt>
                <c:pt idx="189">
                  <c:v>95</c:v>
                </c:pt>
                <c:pt idx="190">
                  <c:v>89</c:v>
                </c:pt>
                <c:pt idx="191">
                  <c:v>71</c:v>
                </c:pt>
                <c:pt idx="192">
                  <c:v>53</c:v>
                </c:pt>
                <c:pt idx="193">
                  <c:v>85</c:v>
                </c:pt>
                <c:pt idx="194">
                  <c:v>63</c:v>
                </c:pt>
                <c:pt idx="195">
                  <c:v>90</c:v>
                </c:pt>
                <c:pt idx="196">
                  <c:v>46</c:v>
                </c:pt>
                <c:pt idx="197">
                  <c:v>47</c:v>
                </c:pt>
                <c:pt idx="198">
                  <c:v>96</c:v>
                </c:pt>
                <c:pt idx="199">
                  <c:v>69</c:v>
                </c:pt>
                <c:pt idx="200">
                  <c:v>41</c:v>
                </c:pt>
                <c:pt idx="201">
                  <c:v>40</c:v>
                </c:pt>
                <c:pt idx="202">
                  <c:v>71</c:v>
                </c:pt>
                <c:pt idx="203">
                  <c:v>18</c:v>
                </c:pt>
                <c:pt idx="204">
                  <c:v>73</c:v>
                </c:pt>
                <c:pt idx="205">
                  <c:v>64</c:v>
                </c:pt>
                <c:pt idx="206">
                  <c:v>46</c:v>
                </c:pt>
                <c:pt idx="207">
                  <c:v>35</c:v>
                </c:pt>
                <c:pt idx="208">
                  <c:v>57</c:v>
                </c:pt>
                <c:pt idx="209">
                  <c:v>74</c:v>
                </c:pt>
                <c:pt idx="210">
                  <c:v>29</c:v>
                </c:pt>
                <c:pt idx="211">
                  <c:v>75</c:v>
                </c:pt>
                <c:pt idx="212">
                  <c:v>66</c:v>
                </c:pt>
                <c:pt idx="213">
                  <c:v>48</c:v>
                </c:pt>
                <c:pt idx="214">
                  <c:v>40</c:v>
                </c:pt>
                <c:pt idx="215">
                  <c:v>39</c:v>
                </c:pt>
                <c:pt idx="216">
                  <c:v>64</c:v>
                </c:pt>
                <c:pt idx="217">
                  <c:v>31</c:v>
                </c:pt>
                <c:pt idx="218">
                  <c:v>41</c:v>
                </c:pt>
                <c:pt idx="219">
                  <c:v>39</c:v>
                </c:pt>
                <c:pt idx="220">
                  <c:v>68</c:v>
                </c:pt>
                <c:pt idx="221">
                  <c:v>91</c:v>
                </c:pt>
                <c:pt idx="222">
                  <c:v>44</c:v>
                </c:pt>
                <c:pt idx="223">
                  <c:v>47</c:v>
                </c:pt>
                <c:pt idx="224">
                  <c:v>97</c:v>
                </c:pt>
                <c:pt idx="225">
                  <c:v>50</c:v>
                </c:pt>
                <c:pt idx="226">
                  <c:v>57</c:v>
                </c:pt>
                <c:pt idx="227">
                  <c:v>60</c:v>
                </c:pt>
                <c:pt idx="228">
                  <c:v>47</c:v>
                </c:pt>
                <c:pt idx="229">
                  <c:v>71</c:v>
                </c:pt>
                <c:pt idx="230">
                  <c:v>84</c:v>
                </c:pt>
                <c:pt idx="231">
                  <c:v>77</c:v>
                </c:pt>
                <c:pt idx="232">
                  <c:v>60</c:v>
                </c:pt>
                <c:pt idx="233">
                  <c:v>94</c:v>
                </c:pt>
                <c:pt idx="234">
                  <c:v>51</c:v>
                </c:pt>
                <c:pt idx="235">
                  <c:v>69</c:v>
                </c:pt>
                <c:pt idx="236">
                  <c:v>87</c:v>
                </c:pt>
                <c:pt idx="237">
                  <c:v>59</c:v>
                </c:pt>
                <c:pt idx="238">
                  <c:v>78</c:v>
                </c:pt>
                <c:pt idx="239">
                  <c:v>58</c:v>
                </c:pt>
                <c:pt idx="240">
                  <c:v>51</c:v>
                </c:pt>
                <c:pt idx="241">
                  <c:v>70</c:v>
                </c:pt>
                <c:pt idx="242">
                  <c:v>70</c:v>
                </c:pt>
                <c:pt idx="243">
                  <c:v>85</c:v>
                </c:pt>
                <c:pt idx="244">
                  <c:v>52</c:v>
                </c:pt>
                <c:pt idx="245">
                  <c:v>55</c:v>
                </c:pt>
                <c:pt idx="246">
                  <c:v>39</c:v>
                </c:pt>
                <c:pt idx="247">
                  <c:v>51</c:v>
                </c:pt>
                <c:pt idx="248">
                  <c:v>82</c:v>
                </c:pt>
                <c:pt idx="249">
                  <c:v>68</c:v>
                </c:pt>
                <c:pt idx="250">
                  <c:v>68</c:v>
                </c:pt>
                <c:pt idx="251">
                  <c:v>79</c:v>
                </c:pt>
                <c:pt idx="252">
                  <c:v>93</c:v>
                </c:pt>
                <c:pt idx="253">
                  <c:v>79</c:v>
                </c:pt>
                <c:pt idx="254">
                  <c:v>88</c:v>
                </c:pt>
                <c:pt idx="255">
                  <c:v>85</c:v>
                </c:pt>
                <c:pt idx="256">
                  <c:v>99</c:v>
                </c:pt>
                <c:pt idx="257">
                  <c:v>136</c:v>
                </c:pt>
                <c:pt idx="258">
                  <c:v>77</c:v>
                </c:pt>
                <c:pt idx="259">
                  <c:v>70</c:v>
                </c:pt>
                <c:pt idx="260">
                  <c:v>51</c:v>
                </c:pt>
                <c:pt idx="261">
                  <c:v>62</c:v>
                </c:pt>
                <c:pt idx="262">
                  <c:v>59</c:v>
                </c:pt>
                <c:pt idx="263">
                  <c:v>63</c:v>
                </c:pt>
                <c:pt idx="264">
                  <c:v>86</c:v>
                </c:pt>
                <c:pt idx="265">
                  <c:v>58</c:v>
                </c:pt>
                <c:pt idx="266">
                  <c:v>93</c:v>
                </c:pt>
                <c:pt idx="267">
                  <c:v>48</c:v>
                </c:pt>
                <c:pt idx="268">
                  <c:v>83</c:v>
                </c:pt>
                <c:pt idx="269">
                  <c:v>43</c:v>
                </c:pt>
                <c:pt idx="270">
                  <c:v>70</c:v>
                </c:pt>
                <c:pt idx="271">
                  <c:v>56</c:v>
                </c:pt>
                <c:pt idx="272">
                  <c:v>92</c:v>
                </c:pt>
                <c:pt idx="273">
                  <c:v>56</c:v>
                </c:pt>
                <c:pt idx="274">
                  <c:v>74</c:v>
                </c:pt>
                <c:pt idx="275">
                  <c:v>109</c:v>
                </c:pt>
                <c:pt idx="276">
                  <c:v>41</c:v>
                </c:pt>
                <c:pt idx="277">
                  <c:v>56</c:v>
                </c:pt>
                <c:pt idx="278">
                  <c:v>42</c:v>
                </c:pt>
                <c:pt idx="279">
                  <c:v>48</c:v>
                </c:pt>
                <c:pt idx="280">
                  <c:v>54</c:v>
                </c:pt>
                <c:pt idx="281">
                  <c:v>25</c:v>
                </c:pt>
                <c:pt idx="282">
                  <c:v>51</c:v>
                </c:pt>
                <c:pt idx="283">
                  <c:v>13</c:v>
                </c:pt>
                <c:pt idx="284">
                  <c:v>56</c:v>
                </c:pt>
                <c:pt idx="285">
                  <c:v>86</c:v>
                </c:pt>
                <c:pt idx="286">
                  <c:v>74</c:v>
                </c:pt>
                <c:pt idx="287">
                  <c:v>96</c:v>
                </c:pt>
                <c:pt idx="288">
                  <c:v>55</c:v>
                </c:pt>
                <c:pt idx="289">
                  <c:v>51</c:v>
                </c:pt>
                <c:pt idx="290">
                  <c:v>84</c:v>
                </c:pt>
                <c:pt idx="291">
                  <c:v>56</c:v>
                </c:pt>
                <c:pt idx="292">
                  <c:v>70</c:v>
                </c:pt>
                <c:pt idx="293">
                  <c:v>43</c:v>
                </c:pt>
                <c:pt idx="294">
                  <c:v>49</c:v>
                </c:pt>
                <c:pt idx="295">
                  <c:v>98</c:v>
                </c:pt>
                <c:pt idx="296">
                  <c:v>46</c:v>
                </c:pt>
                <c:pt idx="297">
                  <c:v>85</c:v>
                </c:pt>
                <c:pt idx="298">
                  <c:v>35</c:v>
                </c:pt>
                <c:pt idx="299">
                  <c:v>57</c:v>
                </c:pt>
                <c:pt idx="300">
                  <c:v>43</c:v>
                </c:pt>
                <c:pt idx="301">
                  <c:v>51</c:v>
                </c:pt>
                <c:pt idx="302">
                  <c:v>62</c:v>
                </c:pt>
                <c:pt idx="303">
                  <c:v>75</c:v>
                </c:pt>
                <c:pt idx="304">
                  <c:v>44</c:v>
                </c:pt>
                <c:pt idx="305">
                  <c:v>52</c:v>
                </c:pt>
                <c:pt idx="306">
                  <c:v>21</c:v>
                </c:pt>
                <c:pt idx="307">
                  <c:v>46</c:v>
                </c:pt>
                <c:pt idx="308">
                  <c:v>83</c:v>
                </c:pt>
                <c:pt idx="309">
                  <c:v>68</c:v>
                </c:pt>
                <c:pt idx="310">
                  <c:v>41</c:v>
                </c:pt>
                <c:pt idx="311">
                  <c:v>27</c:v>
                </c:pt>
                <c:pt idx="312">
                  <c:v>127</c:v>
                </c:pt>
                <c:pt idx="313">
                  <c:v>96</c:v>
                </c:pt>
                <c:pt idx="314">
                  <c:v>103</c:v>
                </c:pt>
                <c:pt idx="315">
                  <c:v>114</c:v>
                </c:pt>
                <c:pt idx="316">
                  <c:v>77</c:v>
                </c:pt>
                <c:pt idx="317">
                  <c:v>68</c:v>
                </c:pt>
                <c:pt idx="318">
                  <c:v>61</c:v>
                </c:pt>
                <c:pt idx="319">
                  <c:v>72</c:v>
                </c:pt>
                <c:pt idx="320">
                  <c:v>60</c:v>
                </c:pt>
                <c:pt idx="321">
                  <c:v>54</c:v>
                </c:pt>
                <c:pt idx="322">
                  <c:v>79</c:v>
                </c:pt>
                <c:pt idx="323">
                  <c:v>54</c:v>
                </c:pt>
                <c:pt idx="324">
                  <c:v>70</c:v>
                </c:pt>
                <c:pt idx="325">
                  <c:v>82</c:v>
                </c:pt>
                <c:pt idx="326">
                  <c:v>32</c:v>
                </c:pt>
                <c:pt idx="327">
                  <c:v>64</c:v>
                </c:pt>
                <c:pt idx="328">
                  <c:v>53</c:v>
                </c:pt>
                <c:pt idx="329">
                  <c:v>96</c:v>
                </c:pt>
                <c:pt idx="330">
                  <c:v>53</c:v>
                </c:pt>
                <c:pt idx="331">
                  <c:v>77</c:v>
                </c:pt>
                <c:pt idx="332">
                  <c:v>38</c:v>
                </c:pt>
                <c:pt idx="333">
                  <c:v>76</c:v>
                </c:pt>
                <c:pt idx="334">
                  <c:v>56</c:v>
                </c:pt>
                <c:pt idx="335">
                  <c:v>53</c:v>
                </c:pt>
                <c:pt idx="336">
                  <c:v>32</c:v>
                </c:pt>
                <c:pt idx="337">
                  <c:v>75</c:v>
                </c:pt>
                <c:pt idx="338">
                  <c:v>25</c:v>
                </c:pt>
                <c:pt idx="339">
                  <c:v>42</c:v>
                </c:pt>
                <c:pt idx="340">
                  <c:v>137</c:v>
                </c:pt>
                <c:pt idx="341">
                  <c:v>67</c:v>
                </c:pt>
                <c:pt idx="342">
                  <c:v>213</c:v>
                </c:pt>
                <c:pt idx="343">
                  <c:v>148</c:v>
                </c:pt>
                <c:pt idx="344">
                  <c:v>83</c:v>
                </c:pt>
                <c:pt idx="345">
                  <c:v>137</c:v>
                </c:pt>
                <c:pt idx="346">
                  <c:v>110</c:v>
                </c:pt>
                <c:pt idx="347">
                  <c:v>95</c:v>
                </c:pt>
                <c:pt idx="348">
                  <c:v>76</c:v>
                </c:pt>
                <c:pt idx="349">
                  <c:v>102</c:v>
                </c:pt>
                <c:pt idx="350">
                  <c:v>94</c:v>
                </c:pt>
                <c:pt idx="351">
                  <c:v>66</c:v>
                </c:pt>
                <c:pt idx="352">
                  <c:v>95</c:v>
                </c:pt>
                <c:pt idx="353">
                  <c:v>72</c:v>
                </c:pt>
                <c:pt idx="354">
                  <c:v>78</c:v>
                </c:pt>
                <c:pt idx="355">
                  <c:v>92</c:v>
                </c:pt>
                <c:pt idx="356">
                  <c:v>40</c:v>
                </c:pt>
                <c:pt idx="357">
                  <c:v>99</c:v>
                </c:pt>
                <c:pt idx="358">
                  <c:v>65</c:v>
                </c:pt>
                <c:pt idx="359">
                  <c:v>86</c:v>
                </c:pt>
                <c:pt idx="360">
                  <c:v>96</c:v>
                </c:pt>
                <c:pt idx="361">
                  <c:v>91</c:v>
                </c:pt>
                <c:pt idx="362">
                  <c:v>81</c:v>
                </c:pt>
                <c:pt idx="363">
                  <c:v>87</c:v>
                </c:pt>
                <c:pt idx="364">
                  <c:v>87</c:v>
                </c:pt>
                <c:pt idx="365">
                  <c:v>63</c:v>
                </c:pt>
                <c:pt idx="366">
                  <c:v>60</c:v>
                </c:pt>
                <c:pt idx="367">
                  <c:v>42</c:v>
                </c:pt>
                <c:pt idx="368">
                  <c:v>95</c:v>
                </c:pt>
                <c:pt idx="369">
                  <c:v>74</c:v>
                </c:pt>
                <c:pt idx="370">
                  <c:v>64</c:v>
                </c:pt>
                <c:pt idx="371">
                  <c:v>59</c:v>
                </c:pt>
                <c:pt idx="372">
                  <c:v>66</c:v>
                </c:pt>
                <c:pt idx="373">
                  <c:v>66</c:v>
                </c:pt>
                <c:pt idx="374">
                  <c:v>93</c:v>
                </c:pt>
                <c:pt idx="375">
                  <c:v>54</c:v>
                </c:pt>
                <c:pt idx="376">
                  <c:v>71</c:v>
                </c:pt>
                <c:pt idx="377">
                  <c:v>107</c:v>
                </c:pt>
                <c:pt idx="378">
                  <c:v>102</c:v>
                </c:pt>
                <c:pt idx="379">
                  <c:v>102</c:v>
                </c:pt>
                <c:pt idx="380">
                  <c:v>127</c:v>
                </c:pt>
                <c:pt idx="381">
                  <c:v>55</c:v>
                </c:pt>
                <c:pt idx="382">
                  <c:v>82</c:v>
                </c:pt>
                <c:pt idx="383">
                  <c:v>61</c:v>
                </c:pt>
                <c:pt idx="384">
                  <c:v>77</c:v>
                </c:pt>
                <c:pt idx="385">
                  <c:v>38</c:v>
                </c:pt>
                <c:pt idx="386">
                  <c:v>51</c:v>
                </c:pt>
                <c:pt idx="387">
                  <c:v>78</c:v>
                </c:pt>
                <c:pt idx="388">
                  <c:v>66</c:v>
                </c:pt>
                <c:pt idx="389">
                  <c:v>57</c:v>
                </c:pt>
                <c:pt idx="390">
                  <c:v>44</c:v>
                </c:pt>
                <c:pt idx="391">
                  <c:v>89</c:v>
                </c:pt>
                <c:pt idx="392">
                  <c:v>68</c:v>
                </c:pt>
                <c:pt idx="393">
                  <c:v>56</c:v>
                </c:pt>
                <c:pt idx="394">
                  <c:v>120</c:v>
                </c:pt>
                <c:pt idx="395">
                  <c:v>81</c:v>
                </c:pt>
                <c:pt idx="396">
                  <c:v>84</c:v>
                </c:pt>
                <c:pt idx="397">
                  <c:v>64</c:v>
                </c:pt>
                <c:pt idx="398">
                  <c:v>52</c:v>
                </c:pt>
                <c:pt idx="399">
                  <c:v>40</c:v>
                </c:pt>
                <c:pt idx="400">
                  <c:v>56</c:v>
                </c:pt>
                <c:pt idx="401">
                  <c:v>82</c:v>
                </c:pt>
                <c:pt idx="402">
                  <c:v>80</c:v>
                </c:pt>
                <c:pt idx="403">
                  <c:v>59</c:v>
                </c:pt>
                <c:pt idx="404">
                  <c:v>81</c:v>
                </c:pt>
                <c:pt idx="405">
                  <c:v>45</c:v>
                </c:pt>
                <c:pt idx="406">
                  <c:v>37</c:v>
                </c:pt>
                <c:pt idx="407">
                  <c:v>62</c:v>
                </c:pt>
                <c:pt idx="408">
                  <c:v>58</c:v>
                </c:pt>
                <c:pt idx="409">
                  <c:v>97</c:v>
                </c:pt>
                <c:pt idx="410">
                  <c:v>67</c:v>
                </c:pt>
                <c:pt idx="411">
                  <c:v>73</c:v>
                </c:pt>
                <c:pt idx="412">
                  <c:v>68</c:v>
                </c:pt>
                <c:pt idx="413">
                  <c:v>53</c:v>
                </c:pt>
                <c:pt idx="414">
                  <c:v>72</c:v>
                </c:pt>
                <c:pt idx="415">
                  <c:v>75</c:v>
                </c:pt>
                <c:pt idx="416">
                  <c:v>64</c:v>
                </c:pt>
                <c:pt idx="417">
                  <c:v>78</c:v>
                </c:pt>
                <c:pt idx="418">
                  <c:v>48</c:v>
                </c:pt>
                <c:pt idx="419">
                  <c:v>62</c:v>
                </c:pt>
                <c:pt idx="420">
                  <c:v>65</c:v>
                </c:pt>
                <c:pt idx="421">
                  <c:v>30</c:v>
                </c:pt>
                <c:pt idx="422">
                  <c:v>55</c:v>
                </c:pt>
                <c:pt idx="423">
                  <c:v>37</c:v>
                </c:pt>
                <c:pt idx="424">
                  <c:v>58</c:v>
                </c:pt>
                <c:pt idx="425">
                  <c:v>34</c:v>
                </c:pt>
                <c:pt idx="426">
                  <c:v>30</c:v>
                </c:pt>
                <c:pt idx="427">
                  <c:v>41</c:v>
                </c:pt>
                <c:pt idx="428">
                  <c:v>61</c:v>
                </c:pt>
                <c:pt idx="429">
                  <c:v>53</c:v>
                </c:pt>
                <c:pt idx="430">
                  <c:v>61</c:v>
                </c:pt>
                <c:pt idx="431">
                  <c:v>58</c:v>
                </c:pt>
                <c:pt idx="432">
                  <c:v>41</c:v>
                </c:pt>
                <c:pt idx="433">
                  <c:v>34</c:v>
                </c:pt>
                <c:pt idx="434">
                  <c:v>45</c:v>
                </c:pt>
                <c:pt idx="435">
                  <c:v>33</c:v>
                </c:pt>
                <c:pt idx="436">
                  <c:v>26</c:v>
                </c:pt>
                <c:pt idx="437">
                  <c:v>24</c:v>
                </c:pt>
                <c:pt idx="438">
                  <c:v>33</c:v>
                </c:pt>
                <c:pt idx="439">
                  <c:v>58</c:v>
                </c:pt>
                <c:pt idx="440">
                  <c:v>42</c:v>
                </c:pt>
                <c:pt idx="441">
                  <c:v>37</c:v>
                </c:pt>
                <c:pt idx="442">
                  <c:v>21</c:v>
                </c:pt>
                <c:pt idx="443">
                  <c:v>36</c:v>
                </c:pt>
                <c:pt idx="444">
                  <c:v>68</c:v>
                </c:pt>
                <c:pt idx="445">
                  <c:v>33</c:v>
                </c:pt>
                <c:pt idx="446">
                  <c:v>21</c:v>
                </c:pt>
                <c:pt idx="447">
                  <c:v>33</c:v>
                </c:pt>
                <c:pt idx="448">
                  <c:v>29</c:v>
                </c:pt>
                <c:pt idx="449">
                  <c:v>48</c:v>
                </c:pt>
                <c:pt idx="450">
                  <c:v>77</c:v>
                </c:pt>
                <c:pt idx="451">
                  <c:v>68</c:v>
                </c:pt>
                <c:pt idx="452">
                  <c:v>95</c:v>
                </c:pt>
                <c:pt idx="453">
                  <c:v>85</c:v>
                </c:pt>
                <c:pt idx="454">
                  <c:v>66</c:v>
                </c:pt>
                <c:pt idx="455">
                  <c:v>49</c:v>
                </c:pt>
                <c:pt idx="456">
                  <c:v>49</c:v>
                </c:pt>
                <c:pt idx="457">
                  <c:v>51</c:v>
                </c:pt>
                <c:pt idx="458">
                  <c:v>35</c:v>
                </c:pt>
                <c:pt idx="459">
                  <c:v>52</c:v>
                </c:pt>
                <c:pt idx="460">
                  <c:v>78</c:v>
                </c:pt>
                <c:pt idx="461">
                  <c:v>46</c:v>
                </c:pt>
                <c:pt idx="462">
                  <c:v>24</c:v>
                </c:pt>
                <c:pt idx="463">
                  <c:v>74</c:v>
                </c:pt>
                <c:pt idx="464">
                  <c:v>81</c:v>
                </c:pt>
                <c:pt idx="465">
                  <c:v>82</c:v>
                </c:pt>
                <c:pt idx="466">
                  <c:v>41</c:v>
                </c:pt>
                <c:pt idx="467">
                  <c:v>71</c:v>
                </c:pt>
                <c:pt idx="468">
                  <c:v>62</c:v>
                </c:pt>
                <c:pt idx="469">
                  <c:v>39</c:v>
                </c:pt>
                <c:pt idx="470">
                  <c:v>44</c:v>
                </c:pt>
                <c:pt idx="471">
                  <c:v>59</c:v>
                </c:pt>
                <c:pt idx="472">
                  <c:v>60</c:v>
                </c:pt>
                <c:pt idx="473">
                  <c:v>64</c:v>
                </c:pt>
                <c:pt idx="474">
                  <c:v>83</c:v>
                </c:pt>
                <c:pt idx="475">
                  <c:v>39</c:v>
                </c:pt>
                <c:pt idx="476">
                  <c:v>59</c:v>
                </c:pt>
                <c:pt idx="477">
                  <c:v>45</c:v>
                </c:pt>
                <c:pt idx="478">
                  <c:v>52</c:v>
                </c:pt>
                <c:pt idx="479">
                  <c:v>41</c:v>
                </c:pt>
                <c:pt idx="480">
                  <c:v>44</c:v>
                </c:pt>
                <c:pt idx="481">
                  <c:v>45</c:v>
                </c:pt>
                <c:pt idx="482">
                  <c:v>34</c:v>
                </c:pt>
                <c:pt idx="483">
                  <c:v>40</c:v>
                </c:pt>
                <c:pt idx="484">
                  <c:v>96</c:v>
                </c:pt>
                <c:pt idx="485">
                  <c:v>50</c:v>
                </c:pt>
                <c:pt idx="486">
                  <c:v>58</c:v>
                </c:pt>
                <c:pt idx="487">
                  <c:v>58</c:v>
                </c:pt>
                <c:pt idx="488">
                  <c:v>52</c:v>
                </c:pt>
                <c:pt idx="489">
                  <c:v>31</c:v>
                </c:pt>
                <c:pt idx="490">
                  <c:v>48</c:v>
                </c:pt>
                <c:pt idx="491">
                  <c:v>46</c:v>
                </c:pt>
                <c:pt idx="492">
                  <c:v>39</c:v>
                </c:pt>
                <c:pt idx="493">
                  <c:v>44</c:v>
                </c:pt>
                <c:pt idx="494">
                  <c:v>57</c:v>
                </c:pt>
                <c:pt idx="495">
                  <c:v>48</c:v>
                </c:pt>
                <c:pt idx="496">
                  <c:v>33</c:v>
                </c:pt>
                <c:pt idx="497">
                  <c:v>38</c:v>
                </c:pt>
                <c:pt idx="498">
                  <c:v>25</c:v>
                </c:pt>
                <c:pt idx="499">
                  <c:v>26</c:v>
                </c:pt>
                <c:pt idx="500">
                  <c:v>27</c:v>
                </c:pt>
                <c:pt idx="501">
                  <c:v>34</c:v>
                </c:pt>
                <c:pt idx="502">
                  <c:v>36</c:v>
                </c:pt>
                <c:pt idx="503">
                  <c:v>60</c:v>
                </c:pt>
                <c:pt idx="504">
                  <c:v>46</c:v>
                </c:pt>
                <c:pt idx="505">
                  <c:v>34</c:v>
                </c:pt>
                <c:pt idx="506">
                  <c:v>37</c:v>
                </c:pt>
                <c:pt idx="507">
                  <c:v>44</c:v>
                </c:pt>
                <c:pt idx="508">
                  <c:v>95</c:v>
                </c:pt>
                <c:pt idx="509">
                  <c:v>46</c:v>
                </c:pt>
                <c:pt idx="510">
                  <c:v>41</c:v>
                </c:pt>
                <c:pt idx="511">
                  <c:v>30</c:v>
                </c:pt>
                <c:pt idx="512">
                  <c:v>40</c:v>
                </c:pt>
                <c:pt idx="513">
                  <c:v>36</c:v>
                </c:pt>
                <c:pt idx="514">
                  <c:v>28</c:v>
                </c:pt>
                <c:pt idx="515">
                  <c:v>32</c:v>
                </c:pt>
                <c:pt idx="516">
                  <c:v>33</c:v>
                </c:pt>
                <c:pt idx="517">
                  <c:v>41</c:v>
                </c:pt>
                <c:pt idx="518">
                  <c:v>33</c:v>
                </c:pt>
                <c:pt idx="519">
                  <c:v>35</c:v>
                </c:pt>
                <c:pt idx="520">
                  <c:v>29</c:v>
                </c:pt>
                <c:pt idx="521">
                  <c:v>25</c:v>
                </c:pt>
                <c:pt idx="522">
                  <c:v>81</c:v>
                </c:pt>
                <c:pt idx="523">
                  <c:v>39</c:v>
                </c:pt>
                <c:pt idx="524">
                  <c:v>68</c:v>
                </c:pt>
                <c:pt idx="525">
                  <c:v>47</c:v>
                </c:pt>
                <c:pt idx="526">
                  <c:v>38</c:v>
                </c:pt>
                <c:pt idx="527">
                  <c:v>36</c:v>
                </c:pt>
                <c:pt idx="528">
                  <c:v>40</c:v>
                </c:pt>
                <c:pt idx="529">
                  <c:v>30</c:v>
                </c:pt>
                <c:pt idx="530">
                  <c:v>32</c:v>
                </c:pt>
                <c:pt idx="531">
                  <c:v>21</c:v>
                </c:pt>
                <c:pt idx="532">
                  <c:v>41</c:v>
                </c:pt>
                <c:pt idx="533">
                  <c:v>22</c:v>
                </c:pt>
                <c:pt idx="534">
                  <c:v>34</c:v>
                </c:pt>
                <c:pt idx="535">
                  <c:v>16</c:v>
                </c:pt>
                <c:pt idx="536">
                  <c:v>24</c:v>
                </c:pt>
                <c:pt idx="537">
                  <c:v>36</c:v>
                </c:pt>
                <c:pt idx="538">
                  <c:v>14</c:v>
                </c:pt>
                <c:pt idx="539">
                  <c:v>22</c:v>
                </c:pt>
                <c:pt idx="540">
                  <c:v>21</c:v>
                </c:pt>
                <c:pt idx="541">
                  <c:v>14</c:v>
                </c:pt>
                <c:pt idx="542">
                  <c:v>16</c:v>
                </c:pt>
                <c:pt idx="543">
                  <c:v>22</c:v>
                </c:pt>
                <c:pt idx="544">
                  <c:v>28</c:v>
                </c:pt>
                <c:pt idx="545">
                  <c:v>24</c:v>
                </c:pt>
                <c:pt idx="546">
                  <c:v>17</c:v>
                </c:pt>
                <c:pt idx="547">
                  <c:v>17</c:v>
                </c:pt>
                <c:pt idx="548">
                  <c:v>16</c:v>
                </c:pt>
                <c:pt idx="549">
                  <c:v>19</c:v>
                </c:pt>
                <c:pt idx="550">
                  <c:v>23</c:v>
                </c:pt>
                <c:pt idx="551">
                  <c:v>16</c:v>
                </c:pt>
                <c:pt idx="552">
                  <c:v>28</c:v>
                </c:pt>
                <c:pt idx="553">
                  <c:v>15</c:v>
                </c:pt>
                <c:pt idx="554">
                  <c:v>26</c:v>
                </c:pt>
                <c:pt idx="555">
                  <c:v>17</c:v>
                </c:pt>
                <c:pt idx="556">
                  <c:v>29</c:v>
                </c:pt>
                <c:pt idx="557">
                  <c:v>18</c:v>
                </c:pt>
                <c:pt idx="558">
                  <c:v>34</c:v>
                </c:pt>
                <c:pt idx="559">
                  <c:v>28</c:v>
                </c:pt>
                <c:pt idx="560">
                  <c:v>19</c:v>
                </c:pt>
                <c:pt idx="561">
                  <c:v>20</c:v>
                </c:pt>
                <c:pt idx="562">
                  <c:v>35</c:v>
                </c:pt>
                <c:pt idx="563">
                  <c:v>24</c:v>
                </c:pt>
                <c:pt idx="564">
                  <c:v>16</c:v>
                </c:pt>
                <c:pt idx="565">
                  <c:v>18</c:v>
                </c:pt>
                <c:pt idx="566">
                  <c:v>29</c:v>
                </c:pt>
                <c:pt idx="567">
                  <c:v>39</c:v>
                </c:pt>
                <c:pt idx="568">
                  <c:v>23</c:v>
                </c:pt>
                <c:pt idx="569">
                  <c:v>28</c:v>
                </c:pt>
                <c:pt idx="570">
                  <c:v>46</c:v>
                </c:pt>
                <c:pt idx="571">
                  <c:v>18</c:v>
                </c:pt>
                <c:pt idx="572">
                  <c:v>30</c:v>
                </c:pt>
                <c:pt idx="573">
                  <c:v>53</c:v>
                </c:pt>
                <c:pt idx="574">
                  <c:v>31</c:v>
                </c:pt>
                <c:pt idx="575">
                  <c:v>31</c:v>
                </c:pt>
                <c:pt idx="576">
                  <c:v>33</c:v>
                </c:pt>
                <c:pt idx="577">
                  <c:v>17</c:v>
                </c:pt>
                <c:pt idx="578">
                  <c:v>27</c:v>
                </c:pt>
                <c:pt idx="579">
                  <c:v>33</c:v>
                </c:pt>
                <c:pt idx="580">
                  <c:v>11</c:v>
                </c:pt>
                <c:pt idx="581">
                  <c:v>35</c:v>
                </c:pt>
                <c:pt idx="582">
                  <c:v>29</c:v>
                </c:pt>
                <c:pt idx="583">
                  <c:v>51</c:v>
                </c:pt>
                <c:pt idx="584">
                  <c:v>34</c:v>
                </c:pt>
                <c:pt idx="58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A-430A-9FEA-5B63305228EB}"/>
            </c:ext>
          </c:extLst>
        </c:ser>
        <c:ser>
          <c:idx val="1"/>
          <c:order val="1"/>
          <c:tx>
            <c:strRef>
              <c:f>情绪数据!$C$1</c:f>
              <c:strCache>
                <c:ptCount val="1"/>
                <c:pt idx="0">
                  <c:v>今日涨停炸版计数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cat>
            <c:numRef>
              <c:f>情绪数据!日期</c:f>
              <c:numCache>
                <c:formatCode>m/d/yyyy</c:formatCode>
                <c:ptCount val="586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  <c:pt idx="19">
                  <c:v>44190</c:v>
                </c:pt>
                <c:pt idx="20">
                  <c:v>44193</c:v>
                </c:pt>
                <c:pt idx="21">
                  <c:v>44194</c:v>
                </c:pt>
                <c:pt idx="22">
                  <c:v>44195</c:v>
                </c:pt>
                <c:pt idx="23">
                  <c:v>44196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44245</c:v>
                </c:pt>
                <c:pt idx="53">
                  <c:v>44246</c:v>
                </c:pt>
                <c:pt idx="54">
                  <c:v>44249</c:v>
                </c:pt>
                <c:pt idx="55">
                  <c:v>44250</c:v>
                </c:pt>
                <c:pt idx="56">
                  <c:v>44251</c:v>
                </c:pt>
                <c:pt idx="57">
                  <c:v>44252</c:v>
                </c:pt>
                <c:pt idx="58">
                  <c:v>44253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44263</c:v>
                </c:pt>
                <c:pt idx="65">
                  <c:v>44264</c:v>
                </c:pt>
                <c:pt idx="66">
                  <c:v>44265</c:v>
                </c:pt>
                <c:pt idx="67">
                  <c:v>44266</c:v>
                </c:pt>
                <c:pt idx="68">
                  <c:v>44267</c:v>
                </c:pt>
                <c:pt idx="69">
                  <c:v>44270</c:v>
                </c:pt>
                <c:pt idx="70">
                  <c:v>44271</c:v>
                </c:pt>
                <c:pt idx="71">
                  <c:v>44272</c:v>
                </c:pt>
                <c:pt idx="72">
                  <c:v>44273</c:v>
                </c:pt>
                <c:pt idx="73">
                  <c:v>44274</c:v>
                </c:pt>
                <c:pt idx="74">
                  <c:v>44277</c:v>
                </c:pt>
                <c:pt idx="75">
                  <c:v>44278</c:v>
                </c:pt>
                <c:pt idx="76">
                  <c:v>44279</c:v>
                </c:pt>
                <c:pt idx="77">
                  <c:v>44280</c:v>
                </c:pt>
                <c:pt idx="78">
                  <c:v>44281</c:v>
                </c:pt>
                <c:pt idx="79">
                  <c:v>44284</c:v>
                </c:pt>
                <c:pt idx="80">
                  <c:v>44285</c:v>
                </c:pt>
                <c:pt idx="81">
                  <c:v>44286</c:v>
                </c:pt>
                <c:pt idx="82">
                  <c:v>44287</c:v>
                </c:pt>
                <c:pt idx="83">
                  <c:v>44288</c:v>
                </c:pt>
                <c:pt idx="84">
                  <c:v>44292</c:v>
                </c:pt>
                <c:pt idx="85">
                  <c:v>44293</c:v>
                </c:pt>
                <c:pt idx="86">
                  <c:v>44294</c:v>
                </c:pt>
                <c:pt idx="87">
                  <c:v>44295</c:v>
                </c:pt>
                <c:pt idx="88">
                  <c:v>44298</c:v>
                </c:pt>
                <c:pt idx="89">
                  <c:v>44299</c:v>
                </c:pt>
                <c:pt idx="90">
                  <c:v>44300</c:v>
                </c:pt>
                <c:pt idx="91">
                  <c:v>44301</c:v>
                </c:pt>
                <c:pt idx="92">
                  <c:v>44302</c:v>
                </c:pt>
                <c:pt idx="93">
                  <c:v>44305</c:v>
                </c:pt>
                <c:pt idx="94">
                  <c:v>44306</c:v>
                </c:pt>
                <c:pt idx="95">
                  <c:v>44307</c:v>
                </c:pt>
                <c:pt idx="96">
                  <c:v>44308</c:v>
                </c:pt>
                <c:pt idx="97">
                  <c:v>44309</c:v>
                </c:pt>
                <c:pt idx="98">
                  <c:v>44312</c:v>
                </c:pt>
                <c:pt idx="99">
                  <c:v>44313</c:v>
                </c:pt>
                <c:pt idx="100">
                  <c:v>44314</c:v>
                </c:pt>
                <c:pt idx="101">
                  <c:v>44315</c:v>
                </c:pt>
                <c:pt idx="102">
                  <c:v>44316</c:v>
                </c:pt>
                <c:pt idx="103">
                  <c:v>44322</c:v>
                </c:pt>
                <c:pt idx="104">
                  <c:v>44323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44333</c:v>
                </c:pt>
                <c:pt idx="110">
                  <c:v>44334</c:v>
                </c:pt>
                <c:pt idx="111">
                  <c:v>44335</c:v>
                </c:pt>
                <c:pt idx="112">
                  <c:v>44336</c:v>
                </c:pt>
                <c:pt idx="113">
                  <c:v>44337</c:v>
                </c:pt>
                <c:pt idx="114">
                  <c:v>44340</c:v>
                </c:pt>
                <c:pt idx="115">
                  <c:v>44341</c:v>
                </c:pt>
                <c:pt idx="116">
                  <c:v>44342</c:v>
                </c:pt>
                <c:pt idx="117">
                  <c:v>44343</c:v>
                </c:pt>
                <c:pt idx="118">
                  <c:v>44344</c:v>
                </c:pt>
                <c:pt idx="119">
                  <c:v>44347</c:v>
                </c:pt>
                <c:pt idx="120">
                  <c:v>44348</c:v>
                </c:pt>
                <c:pt idx="121">
                  <c:v>44349</c:v>
                </c:pt>
                <c:pt idx="122">
                  <c:v>44350</c:v>
                </c:pt>
                <c:pt idx="123">
                  <c:v>44351</c:v>
                </c:pt>
                <c:pt idx="124">
                  <c:v>44354</c:v>
                </c:pt>
                <c:pt idx="125">
                  <c:v>44355</c:v>
                </c:pt>
                <c:pt idx="126">
                  <c:v>44356</c:v>
                </c:pt>
                <c:pt idx="127">
                  <c:v>44357</c:v>
                </c:pt>
                <c:pt idx="128">
                  <c:v>44358</c:v>
                </c:pt>
                <c:pt idx="129">
                  <c:v>44362</c:v>
                </c:pt>
                <c:pt idx="130">
                  <c:v>44363</c:v>
                </c:pt>
                <c:pt idx="131">
                  <c:v>44364</c:v>
                </c:pt>
                <c:pt idx="132">
                  <c:v>44365</c:v>
                </c:pt>
                <c:pt idx="133">
                  <c:v>44368</c:v>
                </c:pt>
                <c:pt idx="134">
                  <c:v>44369</c:v>
                </c:pt>
                <c:pt idx="135">
                  <c:v>44370</c:v>
                </c:pt>
                <c:pt idx="136">
                  <c:v>44371</c:v>
                </c:pt>
                <c:pt idx="137">
                  <c:v>44372</c:v>
                </c:pt>
                <c:pt idx="138">
                  <c:v>44375</c:v>
                </c:pt>
                <c:pt idx="139">
                  <c:v>44376</c:v>
                </c:pt>
                <c:pt idx="140">
                  <c:v>44377</c:v>
                </c:pt>
                <c:pt idx="141">
                  <c:v>44378</c:v>
                </c:pt>
                <c:pt idx="142">
                  <c:v>44379</c:v>
                </c:pt>
                <c:pt idx="143">
                  <c:v>44382</c:v>
                </c:pt>
                <c:pt idx="144">
                  <c:v>44383</c:v>
                </c:pt>
                <c:pt idx="145">
                  <c:v>44384</c:v>
                </c:pt>
                <c:pt idx="146">
                  <c:v>44385</c:v>
                </c:pt>
                <c:pt idx="147">
                  <c:v>44386</c:v>
                </c:pt>
                <c:pt idx="148">
                  <c:v>44389</c:v>
                </c:pt>
                <c:pt idx="149">
                  <c:v>44390</c:v>
                </c:pt>
                <c:pt idx="150">
                  <c:v>44391</c:v>
                </c:pt>
                <c:pt idx="151">
                  <c:v>44392</c:v>
                </c:pt>
                <c:pt idx="152">
                  <c:v>44393</c:v>
                </c:pt>
                <c:pt idx="153">
                  <c:v>44396</c:v>
                </c:pt>
                <c:pt idx="154">
                  <c:v>44397</c:v>
                </c:pt>
                <c:pt idx="155">
                  <c:v>44398</c:v>
                </c:pt>
                <c:pt idx="156">
                  <c:v>44399</c:v>
                </c:pt>
                <c:pt idx="157">
                  <c:v>44400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44410</c:v>
                </c:pt>
                <c:pt idx="164">
                  <c:v>44411</c:v>
                </c:pt>
                <c:pt idx="165">
                  <c:v>44412</c:v>
                </c:pt>
                <c:pt idx="166">
                  <c:v>44413</c:v>
                </c:pt>
                <c:pt idx="167">
                  <c:v>44414</c:v>
                </c:pt>
                <c:pt idx="168">
                  <c:v>44417</c:v>
                </c:pt>
                <c:pt idx="169">
                  <c:v>44418</c:v>
                </c:pt>
                <c:pt idx="170">
                  <c:v>44419</c:v>
                </c:pt>
                <c:pt idx="171">
                  <c:v>44420</c:v>
                </c:pt>
                <c:pt idx="172">
                  <c:v>44423</c:v>
                </c:pt>
                <c:pt idx="173">
                  <c:v>44424</c:v>
                </c:pt>
                <c:pt idx="174">
                  <c:v>44425</c:v>
                </c:pt>
                <c:pt idx="175">
                  <c:v>44426</c:v>
                </c:pt>
                <c:pt idx="176">
                  <c:v>44427</c:v>
                </c:pt>
                <c:pt idx="177">
                  <c:v>44428</c:v>
                </c:pt>
                <c:pt idx="178">
                  <c:v>44431</c:v>
                </c:pt>
                <c:pt idx="179">
                  <c:v>44432</c:v>
                </c:pt>
                <c:pt idx="180">
                  <c:v>44433</c:v>
                </c:pt>
                <c:pt idx="181">
                  <c:v>44434</c:v>
                </c:pt>
                <c:pt idx="182">
                  <c:v>44435</c:v>
                </c:pt>
                <c:pt idx="183">
                  <c:v>44438</c:v>
                </c:pt>
                <c:pt idx="184">
                  <c:v>44439</c:v>
                </c:pt>
                <c:pt idx="185">
                  <c:v>44440</c:v>
                </c:pt>
                <c:pt idx="186">
                  <c:v>44441</c:v>
                </c:pt>
                <c:pt idx="187">
                  <c:v>44442</c:v>
                </c:pt>
                <c:pt idx="188">
                  <c:v>44445</c:v>
                </c:pt>
                <c:pt idx="189">
                  <c:v>44446</c:v>
                </c:pt>
                <c:pt idx="190">
                  <c:v>44447</c:v>
                </c:pt>
                <c:pt idx="191">
                  <c:v>44448</c:v>
                </c:pt>
                <c:pt idx="192">
                  <c:v>44449</c:v>
                </c:pt>
                <c:pt idx="193">
                  <c:v>44452</c:v>
                </c:pt>
                <c:pt idx="194">
                  <c:v>44453</c:v>
                </c:pt>
                <c:pt idx="195">
                  <c:v>44454</c:v>
                </c:pt>
                <c:pt idx="196">
                  <c:v>44455</c:v>
                </c:pt>
                <c:pt idx="197">
                  <c:v>44456</c:v>
                </c:pt>
                <c:pt idx="198">
                  <c:v>44461</c:v>
                </c:pt>
                <c:pt idx="199">
                  <c:v>44462</c:v>
                </c:pt>
                <c:pt idx="200">
                  <c:v>44463</c:v>
                </c:pt>
                <c:pt idx="201">
                  <c:v>44466</c:v>
                </c:pt>
                <c:pt idx="202">
                  <c:v>44467</c:v>
                </c:pt>
                <c:pt idx="203">
                  <c:v>44468</c:v>
                </c:pt>
                <c:pt idx="204">
                  <c:v>44469</c:v>
                </c:pt>
                <c:pt idx="205">
                  <c:v>44477</c:v>
                </c:pt>
                <c:pt idx="206">
                  <c:v>44480</c:v>
                </c:pt>
                <c:pt idx="207">
                  <c:v>44481</c:v>
                </c:pt>
                <c:pt idx="208">
                  <c:v>44482</c:v>
                </c:pt>
                <c:pt idx="209">
                  <c:v>44483</c:v>
                </c:pt>
                <c:pt idx="210">
                  <c:v>44484</c:v>
                </c:pt>
                <c:pt idx="211">
                  <c:v>44487</c:v>
                </c:pt>
                <c:pt idx="212">
                  <c:v>44488</c:v>
                </c:pt>
                <c:pt idx="213">
                  <c:v>44489</c:v>
                </c:pt>
                <c:pt idx="214">
                  <c:v>44490</c:v>
                </c:pt>
                <c:pt idx="215">
                  <c:v>44491</c:v>
                </c:pt>
                <c:pt idx="216">
                  <c:v>44494</c:v>
                </c:pt>
                <c:pt idx="217">
                  <c:v>44495</c:v>
                </c:pt>
                <c:pt idx="218">
                  <c:v>44496</c:v>
                </c:pt>
                <c:pt idx="219">
                  <c:v>44497</c:v>
                </c:pt>
                <c:pt idx="220">
                  <c:v>44498</c:v>
                </c:pt>
                <c:pt idx="221">
                  <c:v>44501</c:v>
                </c:pt>
                <c:pt idx="222">
                  <c:v>44502</c:v>
                </c:pt>
                <c:pt idx="223">
                  <c:v>44503</c:v>
                </c:pt>
                <c:pt idx="224">
                  <c:v>44504</c:v>
                </c:pt>
                <c:pt idx="225">
                  <c:v>44505</c:v>
                </c:pt>
                <c:pt idx="226">
                  <c:v>44508</c:v>
                </c:pt>
                <c:pt idx="227">
                  <c:v>44509</c:v>
                </c:pt>
                <c:pt idx="228">
                  <c:v>44510</c:v>
                </c:pt>
                <c:pt idx="229">
                  <c:v>44511</c:v>
                </c:pt>
                <c:pt idx="230">
                  <c:v>44512</c:v>
                </c:pt>
                <c:pt idx="231">
                  <c:v>44515</c:v>
                </c:pt>
                <c:pt idx="232">
                  <c:v>44516</c:v>
                </c:pt>
                <c:pt idx="233">
                  <c:v>44517</c:v>
                </c:pt>
                <c:pt idx="234">
                  <c:v>44518</c:v>
                </c:pt>
                <c:pt idx="235">
                  <c:v>44519</c:v>
                </c:pt>
                <c:pt idx="236">
                  <c:v>44522</c:v>
                </c:pt>
                <c:pt idx="237">
                  <c:v>44523</c:v>
                </c:pt>
                <c:pt idx="238">
                  <c:v>44524</c:v>
                </c:pt>
                <c:pt idx="239">
                  <c:v>44525</c:v>
                </c:pt>
                <c:pt idx="240">
                  <c:v>44526</c:v>
                </c:pt>
                <c:pt idx="241">
                  <c:v>44529</c:v>
                </c:pt>
                <c:pt idx="242">
                  <c:v>44530</c:v>
                </c:pt>
                <c:pt idx="243">
                  <c:v>44531</c:v>
                </c:pt>
                <c:pt idx="244">
                  <c:v>44532</c:v>
                </c:pt>
                <c:pt idx="245">
                  <c:v>44533</c:v>
                </c:pt>
                <c:pt idx="246">
                  <c:v>44536</c:v>
                </c:pt>
                <c:pt idx="247">
                  <c:v>44537</c:v>
                </c:pt>
                <c:pt idx="248">
                  <c:v>44538</c:v>
                </c:pt>
                <c:pt idx="249">
                  <c:v>44539</c:v>
                </c:pt>
                <c:pt idx="250">
                  <c:v>44540</c:v>
                </c:pt>
                <c:pt idx="251">
                  <c:v>44543</c:v>
                </c:pt>
                <c:pt idx="252">
                  <c:v>44544</c:v>
                </c:pt>
                <c:pt idx="253">
                  <c:v>44545</c:v>
                </c:pt>
                <c:pt idx="254">
                  <c:v>44546</c:v>
                </c:pt>
                <c:pt idx="255">
                  <c:v>44547</c:v>
                </c:pt>
                <c:pt idx="256">
                  <c:v>44550</c:v>
                </c:pt>
                <c:pt idx="257">
                  <c:v>44551</c:v>
                </c:pt>
                <c:pt idx="258">
                  <c:v>44552</c:v>
                </c:pt>
                <c:pt idx="259">
                  <c:v>44553</c:v>
                </c:pt>
                <c:pt idx="260">
                  <c:v>44554</c:v>
                </c:pt>
                <c:pt idx="261">
                  <c:v>44557</c:v>
                </c:pt>
                <c:pt idx="262">
                  <c:v>44558</c:v>
                </c:pt>
                <c:pt idx="263">
                  <c:v>44559</c:v>
                </c:pt>
                <c:pt idx="264">
                  <c:v>44560</c:v>
                </c:pt>
                <c:pt idx="265">
                  <c:v>44561</c:v>
                </c:pt>
                <c:pt idx="266">
                  <c:v>44565</c:v>
                </c:pt>
                <c:pt idx="267">
                  <c:v>44566</c:v>
                </c:pt>
                <c:pt idx="268">
                  <c:v>44567</c:v>
                </c:pt>
                <c:pt idx="269">
                  <c:v>44568</c:v>
                </c:pt>
                <c:pt idx="270">
                  <c:v>44571</c:v>
                </c:pt>
                <c:pt idx="271">
                  <c:v>44572</c:v>
                </c:pt>
                <c:pt idx="272">
                  <c:v>44573</c:v>
                </c:pt>
                <c:pt idx="273">
                  <c:v>44574</c:v>
                </c:pt>
                <c:pt idx="274">
                  <c:v>44575</c:v>
                </c:pt>
                <c:pt idx="275">
                  <c:v>44578</c:v>
                </c:pt>
                <c:pt idx="276">
                  <c:v>44579</c:v>
                </c:pt>
                <c:pt idx="277">
                  <c:v>44580</c:v>
                </c:pt>
                <c:pt idx="278">
                  <c:v>44581</c:v>
                </c:pt>
                <c:pt idx="279">
                  <c:v>44582</c:v>
                </c:pt>
                <c:pt idx="280">
                  <c:v>44585</c:v>
                </c:pt>
                <c:pt idx="281">
                  <c:v>44586</c:v>
                </c:pt>
                <c:pt idx="282">
                  <c:v>44587</c:v>
                </c:pt>
                <c:pt idx="283">
                  <c:v>44588</c:v>
                </c:pt>
                <c:pt idx="284">
                  <c:v>44589</c:v>
                </c:pt>
                <c:pt idx="285">
                  <c:v>44599</c:v>
                </c:pt>
                <c:pt idx="286">
                  <c:v>44600</c:v>
                </c:pt>
                <c:pt idx="287">
                  <c:v>44601</c:v>
                </c:pt>
                <c:pt idx="288">
                  <c:v>44602</c:v>
                </c:pt>
                <c:pt idx="289">
                  <c:v>44603</c:v>
                </c:pt>
                <c:pt idx="290">
                  <c:v>44606</c:v>
                </c:pt>
                <c:pt idx="291">
                  <c:v>44607</c:v>
                </c:pt>
                <c:pt idx="292">
                  <c:v>44608</c:v>
                </c:pt>
                <c:pt idx="293">
                  <c:v>44609</c:v>
                </c:pt>
                <c:pt idx="294">
                  <c:v>44610</c:v>
                </c:pt>
                <c:pt idx="295">
                  <c:v>44613</c:v>
                </c:pt>
                <c:pt idx="296">
                  <c:v>44614</c:v>
                </c:pt>
                <c:pt idx="297">
                  <c:v>44615</c:v>
                </c:pt>
                <c:pt idx="298">
                  <c:v>44616</c:v>
                </c:pt>
                <c:pt idx="299">
                  <c:v>44617</c:v>
                </c:pt>
                <c:pt idx="300">
                  <c:v>44620</c:v>
                </c:pt>
                <c:pt idx="301">
                  <c:v>44621</c:v>
                </c:pt>
                <c:pt idx="302">
                  <c:v>44622</c:v>
                </c:pt>
                <c:pt idx="303">
                  <c:v>44623</c:v>
                </c:pt>
                <c:pt idx="304">
                  <c:v>44624</c:v>
                </c:pt>
                <c:pt idx="305">
                  <c:v>44627</c:v>
                </c:pt>
                <c:pt idx="306">
                  <c:v>44628</c:v>
                </c:pt>
                <c:pt idx="307">
                  <c:v>44629</c:v>
                </c:pt>
                <c:pt idx="308">
                  <c:v>44630</c:v>
                </c:pt>
                <c:pt idx="309">
                  <c:v>44631</c:v>
                </c:pt>
                <c:pt idx="310">
                  <c:v>44634</c:v>
                </c:pt>
                <c:pt idx="311">
                  <c:v>44635</c:v>
                </c:pt>
                <c:pt idx="312">
                  <c:v>44636</c:v>
                </c:pt>
                <c:pt idx="313">
                  <c:v>44637</c:v>
                </c:pt>
                <c:pt idx="314">
                  <c:v>44638</c:v>
                </c:pt>
                <c:pt idx="315">
                  <c:v>44641</c:v>
                </c:pt>
                <c:pt idx="316">
                  <c:v>44642</c:v>
                </c:pt>
                <c:pt idx="317">
                  <c:v>44643</c:v>
                </c:pt>
                <c:pt idx="318">
                  <c:v>44644</c:v>
                </c:pt>
                <c:pt idx="319">
                  <c:v>44645</c:v>
                </c:pt>
                <c:pt idx="320">
                  <c:v>44648</c:v>
                </c:pt>
                <c:pt idx="321">
                  <c:v>44649</c:v>
                </c:pt>
                <c:pt idx="322">
                  <c:v>44650</c:v>
                </c:pt>
                <c:pt idx="323">
                  <c:v>44651</c:v>
                </c:pt>
                <c:pt idx="324">
                  <c:v>44652</c:v>
                </c:pt>
                <c:pt idx="325">
                  <c:v>44657</c:v>
                </c:pt>
                <c:pt idx="326">
                  <c:v>44658</c:v>
                </c:pt>
                <c:pt idx="327">
                  <c:v>44659</c:v>
                </c:pt>
                <c:pt idx="328">
                  <c:v>44662</c:v>
                </c:pt>
                <c:pt idx="329">
                  <c:v>44663</c:v>
                </c:pt>
                <c:pt idx="330">
                  <c:v>44664</c:v>
                </c:pt>
                <c:pt idx="331">
                  <c:v>44665</c:v>
                </c:pt>
                <c:pt idx="332">
                  <c:v>44666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44686</c:v>
                </c:pt>
                <c:pt idx="344">
                  <c:v>44687</c:v>
                </c:pt>
                <c:pt idx="345">
                  <c:v>44690</c:v>
                </c:pt>
                <c:pt idx="346">
                  <c:v>44691</c:v>
                </c:pt>
                <c:pt idx="347">
                  <c:v>44692</c:v>
                </c:pt>
                <c:pt idx="348">
                  <c:v>44693</c:v>
                </c:pt>
                <c:pt idx="349">
                  <c:v>44694</c:v>
                </c:pt>
                <c:pt idx="350">
                  <c:v>44697</c:v>
                </c:pt>
                <c:pt idx="351">
                  <c:v>44698</c:v>
                </c:pt>
                <c:pt idx="352">
                  <c:v>44699</c:v>
                </c:pt>
                <c:pt idx="353">
                  <c:v>44700</c:v>
                </c:pt>
                <c:pt idx="354">
                  <c:v>44701</c:v>
                </c:pt>
                <c:pt idx="355">
                  <c:v>44704</c:v>
                </c:pt>
                <c:pt idx="356">
                  <c:v>44705</c:v>
                </c:pt>
                <c:pt idx="357">
                  <c:v>44706</c:v>
                </c:pt>
                <c:pt idx="358">
                  <c:v>44707</c:v>
                </c:pt>
                <c:pt idx="359">
                  <c:v>44708</c:v>
                </c:pt>
                <c:pt idx="360">
                  <c:v>44711</c:v>
                </c:pt>
                <c:pt idx="361">
                  <c:v>44712</c:v>
                </c:pt>
                <c:pt idx="362">
                  <c:v>44713</c:v>
                </c:pt>
                <c:pt idx="363">
                  <c:v>44714</c:v>
                </c:pt>
                <c:pt idx="364">
                  <c:v>44718</c:v>
                </c:pt>
                <c:pt idx="365">
                  <c:v>44719</c:v>
                </c:pt>
                <c:pt idx="366">
                  <c:v>44720</c:v>
                </c:pt>
                <c:pt idx="367">
                  <c:v>44721</c:v>
                </c:pt>
                <c:pt idx="368">
                  <c:v>44722</c:v>
                </c:pt>
                <c:pt idx="369">
                  <c:v>44725</c:v>
                </c:pt>
                <c:pt idx="370">
                  <c:v>44726</c:v>
                </c:pt>
                <c:pt idx="371">
                  <c:v>44727</c:v>
                </c:pt>
                <c:pt idx="372">
                  <c:v>44728</c:v>
                </c:pt>
                <c:pt idx="373">
                  <c:v>44729</c:v>
                </c:pt>
                <c:pt idx="374">
                  <c:v>44732</c:v>
                </c:pt>
                <c:pt idx="375">
                  <c:v>44733</c:v>
                </c:pt>
                <c:pt idx="376">
                  <c:v>44734</c:v>
                </c:pt>
                <c:pt idx="377">
                  <c:v>44735</c:v>
                </c:pt>
                <c:pt idx="378">
                  <c:v>44736</c:v>
                </c:pt>
                <c:pt idx="379">
                  <c:v>44739</c:v>
                </c:pt>
                <c:pt idx="380">
                  <c:v>44740</c:v>
                </c:pt>
                <c:pt idx="381">
                  <c:v>44741</c:v>
                </c:pt>
                <c:pt idx="382">
                  <c:v>44742</c:v>
                </c:pt>
                <c:pt idx="383">
                  <c:v>44743</c:v>
                </c:pt>
                <c:pt idx="384">
                  <c:v>44746</c:v>
                </c:pt>
                <c:pt idx="385">
                  <c:v>44747</c:v>
                </c:pt>
                <c:pt idx="386">
                  <c:v>44748</c:v>
                </c:pt>
                <c:pt idx="387">
                  <c:v>44749</c:v>
                </c:pt>
                <c:pt idx="388">
                  <c:v>44750</c:v>
                </c:pt>
                <c:pt idx="389">
                  <c:v>44753</c:v>
                </c:pt>
                <c:pt idx="390">
                  <c:v>44754</c:v>
                </c:pt>
                <c:pt idx="391">
                  <c:v>44755</c:v>
                </c:pt>
                <c:pt idx="392">
                  <c:v>44756</c:v>
                </c:pt>
                <c:pt idx="393">
                  <c:v>44757</c:v>
                </c:pt>
                <c:pt idx="394">
                  <c:v>44760</c:v>
                </c:pt>
                <c:pt idx="395">
                  <c:v>44761</c:v>
                </c:pt>
                <c:pt idx="396">
                  <c:v>44762</c:v>
                </c:pt>
                <c:pt idx="397">
                  <c:v>44763</c:v>
                </c:pt>
                <c:pt idx="398">
                  <c:v>44764</c:v>
                </c:pt>
                <c:pt idx="399">
                  <c:v>44767</c:v>
                </c:pt>
                <c:pt idx="400">
                  <c:v>44768</c:v>
                </c:pt>
                <c:pt idx="401">
                  <c:v>44769</c:v>
                </c:pt>
                <c:pt idx="402">
                  <c:v>44770</c:v>
                </c:pt>
                <c:pt idx="403">
                  <c:v>44771</c:v>
                </c:pt>
                <c:pt idx="404">
                  <c:v>44774</c:v>
                </c:pt>
                <c:pt idx="405">
                  <c:v>44775</c:v>
                </c:pt>
                <c:pt idx="406">
                  <c:v>44776</c:v>
                </c:pt>
                <c:pt idx="407">
                  <c:v>44777</c:v>
                </c:pt>
                <c:pt idx="408">
                  <c:v>44778</c:v>
                </c:pt>
                <c:pt idx="409">
                  <c:v>44781</c:v>
                </c:pt>
                <c:pt idx="410">
                  <c:v>44782</c:v>
                </c:pt>
                <c:pt idx="411">
                  <c:v>44783</c:v>
                </c:pt>
                <c:pt idx="412">
                  <c:v>44784</c:v>
                </c:pt>
                <c:pt idx="413">
                  <c:v>44785</c:v>
                </c:pt>
                <c:pt idx="414">
                  <c:v>44788</c:v>
                </c:pt>
                <c:pt idx="415">
                  <c:v>44789</c:v>
                </c:pt>
                <c:pt idx="416">
                  <c:v>44790</c:v>
                </c:pt>
                <c:pt idx="417">
                  <c:v>44791</c:v>
                </c:pt>
                <c:pt idx="418">
                  <c:v>44792</c:v>
                </c:pt>
                <c:pt idx="419">
                  <c:v>44795</c:v>
                </c:pt>
                <c:pt idx="420">
                  <c:v>44796</c:v>
                </c:pt>
                <c:pt idx="421">
                  <c:v>44797</c:v>
                </c:pt>
                <c:pt idx="422">
                  <c:v>44798</c:v>
                </c:pt>
                <c:pt idx="423">
                  <c:v>44799</c:v>
                </c:pt>
                <c:pt idx="424">
                  <c:v>44802</c:v>
                </c:pt>
                <c:pt idx="425">
                  <c:v>44803</c:v>
                </c:pt>
                <c:pt idx="426">
                  <c:v>44804</c:v>
                </c:pt>
                <c:pt idx="427">
                  <c:v>44805</c:v>
                </c:pt>
                <c:pt idx="428">
                  <c:v>44806</c:v>
                </c:pt>
                <c:pt idx="429">
                  <c:v>44809</c:v>
                </c:pt>
                <c:pt idx="430">
                  <c:v>44810</c:v>
                </c:pt>
                <c:pt idx="431">
                  <c:v>44811</c:v>
                </c:pt>
                <c:pt idx="432">
                  <c:v>44812</c:v>
                </c:pt>
                <c:pt idx="433">
                  <c:v>44813</c:v>
                </c:pt>
                <c:pt idx="434">
                  <c:v>44817</c:v>
                </c:pt>
                <c:pt idx="435">
                  <c:v>44818</c:v>
                </c:pt>
                <c:pt idx="436">
                  <c:v>44819</c:v>
                </c:pt>
                <c:pt idx="437">
                  <c:v>44820</c:v>
                </c:pt>
                <c:pt idx="438">
                  <c:v>44823</c:v>
                </c:pt>
                <c:pt idx="439">
                  <c:v>44824</c:v>
                </c:pt>
                <c:pt idx="440">
                  <c:v>44825</c:v>
                </c:pt>
                <c:pt idx="441">
                  <c:v>44826</c:v>
                </c:pt>
                <c:pt idx="442">
                  <c:v>44827</c:v>
                </c:pt>
                <c:pt idx="443">
                  <c:v>44830</c:v>
                </c:pt>
                <c:pt idx="444">
                  <c:v>44831</c:v>
                </c:pt>
                <c:pt idx="445">
                  <c:v>44832</c:v>
                </c:pt>
                <c:pt idx="446">
                  <c:v>44833</c:v>
                </c:pt>
                <c:pt idx="447">
                  <c:v>44834</c:v>
                </c:pt>
                <c:pt idx="448">
                  <c:v>44844</c:v>
                </c:pt>
                <c:pt idx="449">
                  <c:v>44845</c:v>
                </c:pt>
                <c:pt idx="450">
                  <c:v>44846</c:v>
                </c:pt>
                <c:pt idx="451">
                  <c:v>44847</c:v>
                </c:pt>
                <c:pt idx="452">
                  <c:v>44848</c:v>
                </c:pt>
                <c:pt idx="453">
                  <c:v>44851</c:v>
                </c:pt>
                <c:pt idx="454">
                  <c:v>44852</c:v>
                </c:pt>
                <c:pt idx="455">
                  <c:v>44853</c:v>
                </c:pt>
                <c:pt idx="456">
                  <c:v>44854</c:v>
                </c:pt>
                <c:pt idx="457">
                  <c:v>44855</c:v>
                </c:pt>
                <c:pt idx="458">
                  <c:v>44858</c:v>
                </c:pt>
                <c:pt idx="459">
                  <c:v>44859</c:v>
                </c:pt>
                <c:pt idx="460">
                  <c:v>44860</c:v>
                </c:pt>
                <c:pt idx="461">
                  <c:v>44861</c:v>
                </c:pt>
                <c:pt idx="462">
                  <c:v>44862</c:v>
                </c:pt>
                <c:pt idx="463">
                  <c:v>44865</c:v>
                </c:pt>
                <c:pt idx="464">
                  <c:v>44866</c:v>
                </c:pt>
                <c:pt idx="465">
                  <c:v>44867</c:v>
                </c:pt>
                <c:pt idx="466">
                  <c:v>44868</c:v>
                </c:pt>
                <c:pt idx="467">
                  <c:v>44869</c:v>
                </c:pt>
                <c:pt idx="468">
                  <c:v>44872</c:v>
                </c:pt>
                <c:pt idx="469">
                  <c:v>44873</c:v>
                </c:pt>
                <c:pt idx="470">
                  <c:v>44874</c:v>
                </c:pt>
                <c:pt idx="471">
                  <c:v>44875</c:v>
                </c:pt>
                <c:pt idx="472">
                  <c:v>44876</c:v>
                </c:pt>
                <c:pt idx="473">
                  <c:v>44879</c:v>
                </c:pt>
                <c:pt idx="474">
                  <c:v>44880</c:v>
                </c:pt>
                <c:pt idx="475">
                  <c:v>44881</c:v>
                </c:pt>
                <c:pt idx="476">
                  <c:v>44882</c:v>
                </c:pt>
                <c:pt idx="477">
                  <c:v>44883</c:v>
                </c:pt>
                <c:pt idx="478">
                  <c:v>44886</c:v>
                </c:pt>
                <c:pt idx="479">
                  <c:v>44887</c:v>
                </c:pt>
                <c:pt idx="480">
                  <c:v>44888</c:v>
                </c:pt>
                <c:pt idx="481">
                  <c:v>44889</c:v>
                </c:pt>
                <c:pt idx="482">
                  <c:v>44890</c:v>
                </c:pt>
                <c:pt idx="483">
                  <c:v>44893</c:v>
                </c:pt>
                <c:pt idx="484">
                  <c:v>44894</c:v>
                </c:pt>
                <c:pt idx="485">
                  <c:v>44895</c:v>
                </c:pt>
                <c:pt idx="486">
                  <c:v>44896</c:v>
                </c:pt>
                <c:pt idx="487">
                  <c:v>44897</c:v>
                </c:pt>
                <c:pt idx="488">
                  <c:v>44900</c:v>
                </c:pt>
                <c:pt idx="489">
                  <c:v>44901</c:v>
                </c:pt>
                <c:pt idx="490">
                  <c:v>44902</c:v>
                </c:pt>
                <c:pt idx="491">
                  <c:v>44903</c:v>
                </c:pt>
                <c:pt idx="492">
                  <c:v>44904</c:v>
                </c:pt>
                <c:pt idx="493">
                  <c:v>44907</c:v>
                </c:pt>
                <c:pt idx="494">
                  <c:v>44908</c:v>
                </c:pt>
                <c:pt idx="495">
                  <c:v>44909</c:v>
                </c:pt>
                <c:pt idx="496">
                  <c:v>44910</c:v>
                </c:pt>
                <c:pt idx="497">
                  <c:v>44911</c:v>
                </c:pt>
                <c:pt idx="498">
                  <c:v>44914</c:v>
                </c:pt>
                <c:pt idx="499">
                  <c:v>44915</c:v>
                </c:pt>
                <c:pt idx="500">
                  <c:v>44916</c:v>
                </c:pt>
                <c:pt idx="501">
                  <c:v>44917</c:v>
                </c:pt>
                <c:pt idx="502">
                  <c:v>44918</c:v>
                </c:pt>
                <c:pt idx="503">
                  <c:v>44921</c:v>
                </c:pt>
                <c:pt idx="504">
                  <c:v>44922</c:v>
                </c:pt>
                <c:pt idx="505">
                  <c:v>44923</c:v>
                </c:pt>
                <c:pt idx="506">
                  <c:v>44924</c:v>
                </c:pt>
                <c:pt idx="507">
                  <c:v>44925</c:v>
                </c:pt>
                <c:pt idx="508">
                  <c:v>44929</c:v>
                </c:pt>
                <c:pt idx="509">
                  <c:v>44930</c:v>
                </c:pt>
                <c:pt idx="510">
                  <c:v>44931</c:v>
                </c:pt>
                <c:pt idx="511">
                  <c:v>44932</c:v>
                </c:pt>
                <c:pt idx="512">
                  <c:v>44935</c:v>
                </c:pt>
                <c:pt idx="513">
                  <c:v>44936</c:v>
                </c:pt>
                <c:pt idx="514">
                  <c:v>44937</c:v>
                </c:pt>
                <c:pt idx="515">
                  <c:v>44938</c:v>
                </c:pt>
                <c:pt idx="516">
                  <c:v>44939</c:v>
                </c:pt>
                <c:pt idx="517">
                  <c:v>44942</c:v>
                </c:pt>
                <c:pt idx="518">
                  <c:v>44943</c:v>
                </c:pt>
                <c:pt idx="519">
                  <c:v>44944</c:v>
                </c:pt>
                <c:pt idx="520">
                  <c:v>44945</c:v>
                </c:pt>
                <c:pt idx="521">
                  <c:v>44946</c:v>
                </c:pt>
                <c:pt idx="522">
                  <c:v>44956</c:v>
                </c:pt>
                <c:pt idx="523">
                  <c:v>44957</c:v>
                </c:pt>
                <c:pt idx="524">
                  <c:v>44958</c:v>
                </c:pt>
                <c:pt idx="525">
                  <c:v>44959</c:v>
                </c:pt>
                <c:pt idx="526">
                  <c:v>44960</c:v>
                </c:pt>
                <c:pt idx="527">
                  <c:v>44963</c:v>
                </c:pt>
                <c:pt idx="528">
                  <c:v>44964</c:v>
                </c:pt>
                <c:pt idx="529">
                  <c:v>44965</c:v>
                </c:pt>
                <c:pt idx="530">
                  <c:v>44966</c:v>
                </c:pt>
                <c:pt idx="531">
                  <c:v>44967</c:v>
                </c:pt>
                <c:pt idx="532">
                  <c:v>44970</c:v>
                </c:pt>
                <c:pt idx="533">
                  <c:v>44971</c:v>
                </c:pt>
                <c:pt idx="534">
                  <c:v>44972</c:v>
                </c:pt>
                <c:pt idx="535">
                  <c:v>44973</c:v>
                </c:pt>
                <c:pt idx="536">
                  <c:v>44974</c:v>
                </c:pt>
                <c:pt idx="537">
                  <c:v>44977</c:v>
                </c:pt>
                <c:pt idx="538">
                  <c:v>44978</c:v>
                </c:pt>
                <c:pt idx="539">
                  <c:v>44979</c:v>
                </c:pt>
                <c:pt idx="540">
                  <c:v>44980</c:v>
                </c:pt>
                <c:pt idx="541">
                  <c:v>44981</c:v>
                </c:pt>
                <c:pt idx="542">
                  <c:v>44984</c:v>
                </c:pt>
                <c:pt idx="543">
                  <c:v>44985</c:v>
                </c:pt>
                <c:pt idx="544">
                  <c:v>44986</c:v>
                </c:pt>
                <c:pt idx="545">
                  <c:v>44987</c:v>
                </c:pt>
                <c:pt idx="546">
                  <c:v>44988</c:v>
                </c:pt>
                <c:pt idx="547">
                  <c:v>44991</c:v>
                </c:pt>
                <c:pt idx="548">
                  <c:v>44992</c:v>
                </c:pt>
                <c:pt idx="549">
                  <c:v>44993</c:v>
                </c:pt>
                <c:pt idx="550">
                  <c:v>44994</c:v>
                </c:pt>
                <c:pt idx="551">
                  <c:v>44995</c:v>
                </c:pt>
                <c:pt idx="552">
                  <c:v>44998</c:v>
                </c:pt>
                <c:pt idx="553">
                  <c:v>44999</c:v>
                </c:pt>
                <c:pt idx="554">
                  <c:v>45000</c:v>
                </c:pt>
                <c:pt idx="555">
                  <c:v>45001</c:v>
                </c:pt>
                <c:pt idx="556">
                  <c:v>45002</c:v>
                </c:pt>
                <c:pt idx="557">
                  <c:v>45005</c:v>
                </c:pt>
                <c:pt idx="558">
                  <c:v>45006</c:v>
                </c:pt>
                <c:pt idx="559">
                  <c:v>45007</c:v>
                </c:pt>
                <c:pt idx="560">
                  <c:v>45008</c:v>
                </c:pt>
                <c:pt idx="561">
                  <c:v>45009</c:v>
                </c:pt>
                <c:pt idx="562">
                  <c:v>45012</c:v>
                </c:pt>
                <c:pt idx="563">
                  <c:v>45013</c:v>
                </c:pt>
                <c:pt idx="564">
                  <c:v>45014</c:v>
                </c:pt>
                <c:pt idx="565">
                  <c:v>45015</c:v>
                </c:pt>
                <c:pt idx="566">
                  <c:v>45016</c:v>
                </c:pt>
                <c:pt idx="567">
                  <c:v>45019</c:v>
                </c:pt>
                <c:pt idx="568">
                  <c:v>45020</c:v>
                </c:pt>
                <c:pt idx="569">
                  <c:v>45022</c:v>
                </c:pt>
                <c:pt idx="570">
                  <c:v>45023</c:v>
                </c:pt>
                <c:pt idx="571">
                  <c:v>45026</c:v>
                </c:pt>
                <c:pt idx="572">
                  <c:v>45027</c:v>
                </c:pt>
                <c:pt idx="573">
                  <c:v>45028</c:v>
                </c:pt>
                <c:pt idx="574">
                  <c:v>45029</c:v>
                </c:pt>
                <c:pt idx="575">
                  <c:v>45030</c:v>
                </c:pt>
                <c:pt idx="576">
                  <c:v>45033</c:v>
                </c:pt>
                <c:pt idx="577">
                  <c:v>45034</c:v>
                </c:pt>
                <c:pt idx="578">
                  <c:v>45035</c:v>
                </c:pt>
                <c:pt idx="579">
                  <c:v>45036</c:v>
                </c:pt>
                <c:pt idx="580">
                  <c:v>45037</c:v>
                </c:pt>
                <c:pt idx="581">
                  <c:v>45040</c:v>
                </c:pt>
                <c:pt idx="582">
                  <c:v>45041</c:v>
                </c:pt>
                <c:pt idx="583">
                  <c:v>45042</c:v>
                </c:pt>
                <c:pt idx="584">
                  <c:v>45043</c:v>
                </c:pt>
                <c:pt idx="585">
                  <c:v>45044</c:v>
                </c:pt>
              </c:numCache>
            </c:numRef>
          </c:cat>
          <c:val>
            <c:numRef>
              <c:f>情绪数据!今日涨停炸版计数</c:f>
              <c:numCache>
                <c:formatCode>0_ ;[Red]\-0\ </c:formatCode>
                <c:ptCount val="586"/>
                <c:pt idx="0">
                  <c:v>30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21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26</c:v>
                </c:pt>
                <c:pt idx="9">
                  <c:v>12</c:v>
                </c:pt>
                <c:pt idx="10">
                  <c:v>15</c:v>
                </c:pt>
                <c:pt idx="11">
                  <c:v>14</c:v>
                </c:pt>
                <c:pt idx="12">
                  <c:v>23</c:v>
                </c:pt>
                <c:pt idx="13">
                  <c:v>11</c:v>
                </c:pt>
                <c:pt idx="14">
                  <c:v>20</c:v>
                </c:pt>
                <c:pt idx="15">
                  <c:v>25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25</c:v>
                </c:pt>
                <c:pt idx="20">
                  <c:v>26</c:v>
                </c:pt>
                <c:pt idx="21">
                  <c:v>21</c:v>
                </c:pt>
                <c:pt idx="22">
                  <c:v>13</c:v>
                </c:pt>
                <c:pt idx="23">
                  <c:v>25</c:v>
                </c:pt>
                <c:pt idx="24">
                  <c:v>41</c:v>
                </c:pt>
                <c:pt idx="25">
                  <c:v>32</c:v>
                </c:pt>
                <c:pt idx="26">
                  <c:v>30</c:v>
                </c:pt>
                <c:pt idx="27">
                  <c:v>28</c:v>
                </c:pt>
                <c:pt idx="28">
                  <c:v>18</c:v>
                </c:pt>
                <c:pt idx="29">
                  <c:v>27</c:v>
                </c:pt>
                <c:pt idx="30">
                  <c:v>41</c:v>
                </c:pt>
                <c:pt idx="31">
                  <c:v>36</c:v>
                </c:pt>
                <c:pt idx="32">
                  <c:v>21</c:v>
                </c:pt>
                <c:pt idx="33">
                  <c:v>12</c:v>
                </c:pt>
                <c:pt idx="34">
                  <c:v>44</c:v>
                </c:pt>
                <c:pt idx="35">
                  <c:v>26</c:v>
                </c:pt>
                <c:pt idx="36">
                  <c:v>19</c:v>
                </c:pt>
                <c:pt idx="37">
                  <c:v>38</c:v>
                </c:pt>
                <c:pt idx="38">
                  <c:v>23</c:v>
                </c:pt>
                <c:pt idx="39">
                  <c:v>44</c:v>
                </c:pt>
                <c:pt idx="40">
                  <c:v>19</c:v>
                </c:pt>
                <c:pt idx="41">
                  <c:v>28</c:v>
                </c:pt>
                <c:pt idx="42">
                  <c:v>30</c:v>
                </c:pt>
                <c:pt idx="43">
                  <c:v>18</c:v>
                </c:pt>
                <c:pt idx="44">
                  <c:v>-28</c:v>
                </c:pt>
                <c:pt idx="45">
                  <c:v>-20</c:v>
                </c:pt>
                <c:pt idx="46">
                  <c:v>28</c:v>
                </c:pt>
                <c:pt idx="47">
                  <c:v>19</c:v>
                </c:pt>
                <c:pt idx="48">
                  <c:v>30</c:v>
                </c:pt>
                <c:pt idx="49">
                  <c:v>29</c:v>
                </c:pt>
                <c:pt idx="50">
                  <c:v>24</c:v>
                </c:pt>
                <c:pt idx="51">
                  <c:v>15</c:v>
                </c:pt>
                <c:pt idx="52">
                  <c:v>55</c:v>
                </c:pt>
                <c:pt idx="53">
                  <c:v>21</c:v>
                </c:pt>
                <c:pt idx="54">
                  <c:v>108</c:v>
                </c:pt>
                <c:pt idx="55">
                  <c:v>26</c:v>
                </c:pt>
                <c:pt idx="56">
                  <c:v>13</c:v>
                </c:pt>
                <c:pt idx="57">
                  <c:v>29</c:v>
                </c:pt>
                <c:pt idx="58">
                  <c:v>23</c:v>
                </c:pt>
                <c:pt idx="59">
                  <c:v>30</c:v>
                </c:pt>
                <c:pt idx="60">
                  <c:v>20</c:v>
                </c:pt>
                <c:pt idx="61">
                  <c:v>22</c:v>
                </c:pt>
                <c:pt idx="62">
                  <c:v>18</c:v>
                </c:pt>
                <c:pt idx="63">
                  <c:v>13</c:v>
                </c:pt>
                <c:pt idx="64">
                  <c:v>31</c:v>
                </c:pt>
                <c:pt idx="65">
                  <c:v>21</c:v>
                </c:pt>
                <c:pt idx="66">
                  <c:v>24</c:v>
                </c:pt>
                <c:pt idx="67">
                  <c:v>27</c:v>
                </c:pt>
                <c:pt idx="68">
                  <c:v>38</c:v>
                </c:pt>
                <c:pt idx="69">
                  <c:v>29</c:v>
                </c:pt>
                <c:pt idx="70">
                  <c:v>20</c:v>
                </c:pt>
                <c:pt idx="71">
                  <c:v>20</c:v>
                </c:pt>
                <c:pt idx="72">
                  <c:v>22</c:v>
                </c:pt>
                <c:pt idx="73">
                  <c:v>23</c:v>
                </c:pt>
                <c:pt idx="74">
                  <c:v>27</c:v>
                </c:pt>
                <c:pt idx="75">
                  <c:v>35</c:v>
                </c:pt>
                <c:pt idx="76">
                  <c:v>22</c:v>
                </c:pt>
                <c:pt idx="77">
                  <c:v>28</c:v>
                </c:pt>
                <c:pt idx="78">
                  <c:v>24</c:v>
                </c:pt>
                <c:pt idx="79">
                  <c:v>31</c:v>
                </c:pt>
                <c:pt idx="80">
                  <c:v>32</c:v>
                </c:pt>
                <c:pt idx="81">
                  <c:v>30</c:v>
                </c:pt>
                <c:pt idx="82">
                  <c:v>27</c:v>
                </c:pt>
                <c:pt idx="83">
                  <c:v>22</c:v>
                </c:pt>
                <c:pt idx="84">
                  <c:v>30</c:v>
                </c:pt>
                <c:pt idx="85">
                  <c:v>30</c:v>
                </c:pt>
                <c:pt idx="86">
                  <c:v>48</c:v>
                </c:pt>
                <c:pt idx="87">
                  <c:v>17</c:v>
                </c:pt>
                <c:pt idx="88">
                  <c:v>23</c:v>
                </c:pt>
                <c:pt idx="89">
                  <c:v>19</c:v>
                </c:pt>
                <c:pt idx="90">
                  <c:v>32</c:v>
                </c:pt>
                <c:pt idx="91">
                  <c:v>29</c:v>
                </c:pt>
                <c:pt idx="92">
                  <c:v>29</c:v>
                </c:pt>
                <c:pt idx="93">
                  <c:v>30</c:v>
                </c:pt>
                <c:pt idx="94">
                  <c:v>38</c:v>
                </c:pt>
                <c:pt idx="95">
                  <c:v>20</c:v>
                </c:pt>
                <c:pt idx="96">
                  <c:v>31</c:v>
                </c:pt>
                <c:pt idx="97">
                  <c:v>14</c:v>
                </c:pt>
                <c:pt idx="98">
                  <c:v>32</c:v>
                </c:pt>
                <c:pt idx="99">
                  <c:v>18</c:v>
                </c:pt>
                <c:pt idx="100">
                  <c:v>21</c:v>
                </c:pt>
                <c:pt idx="101">
                  <c:v>20</c:v>
                </c:pt>
                <c:pt idx="102">
                  <c:v>17</c:v>
                </c:pt>
                <c:pt idx="103">
                  <c:v>39</c:v>
                </c:pt>
                <c:pt idx="104">
                  <c:v>31</c:v>
                </c:pt>
                <c:pt idx="105">
                  <c:v>28</c:v>
                </c:pt>
                <c:pt idx="106">
                  <c:v>32</c:v>
                </c:pt>
                <c:pt idx="107">
                  <c:v>30</c:v>
                </c:pt>
                <c:pt idx="108">
                  <c:v>27</c:v>
                </c:pt>
                <c:pt idx="109">
                  <c:v>30</c:v>
                </c:pt>
                <c:pt idx="110">
                  <c:v>23</c:v>
                </c:pt>
                <c:pt idx="111">
                  <c:v>21</c:v>
                </c:pt>
                <c:pt idx="112">
                  <c:v>25</c:v>
                </c:pt>
                <c:pt idx="113">
                  <c:v>17</c:v>
                </c:pt>
                <c:pt idx="114">
                  <c:v>23</c:v>
                </c:pt>
                <c:pt idx="115">
                  <c:v>21</c:v>
                </c:pt>
                <c:pt idx="116">
                  <c:v>31</c:v>
                </c:pt>
                <c:pt idx="117">
                  <c:v>16</c:v>
                </c:pt>
                <c:pt idx="118">
                  <c:v>32</c:v>
                </c:pt>
                <c:pt idx="119">
                  <c:v>26</c:v>
                </c:pt>
                <c:pt idx="120">
                  <c:v>22</c:v>
                </c:pt>
                <c:pt idx="121">
                  <c:v>32</c:v>
                </c:pt>
                <c:pt idx="122">
                  <c:v>37</c:v>
                </c:pt>
                <c:pt idx="123">
                  <c:v>23</c:v>
                </c:pt>
                <c:pt idx="124">
                  <c:v>28</c:v>
                </c:pt>
                <c:pt idx="125">
                  <c:v>23</c:v>
                </c:pt>
                <c:pt idx="126">
                  <c:v>21</c:v>
                </c:pt>
                <c:pt idx="127">
                  <c:v>26</c:v>
                </c:pt>
                <c:pt idx="128">
                  <c:v>26</c:v>
                </c:pt>
                <c:pt idx="129">
                  <c:v>15</c:v>
                </c:pt>
                <c:pt idx="130">
                  <c:v>19</c:v>
                </c:pt>
                <c:pt idx="131">
                  <c:v>28</c:v>
                </c:pt>
                <c:pt idx="132">
                  <c:v>24</c:v>
                </c:pt>
                <c:pt idx="133">
                  <c:v>31</c:v>
                </c:pt>
                <c:pt idx="134">
                  <c:v>30</c:v>
                </c:pt>
                <c:pt idx="135">
                  <c:v>33</c:v>
                </c:pt>
                <c:pt idx="136">
                  <c:v>16</c:v>
                </c:pt>
                <c:pt idx="137">
                  <c:v>19</c:v>
                </c:pt>
                <c:pt idx="138">
                  <c:v>29</c:v>
                </c:pt>
                <c:pt idx="139">
                  <c:v>23</c:v>
                </c:pt>
                <c:pt idx="140">
                  <c:v>33</c:v>
                </c:pt>
                <c:pt idx="141">
                  <c:v>20</c:v>
                </c:pt>
                <c:pt idx="142">
                  <c:v>20</c:v>
                </c:pt>
                <c:pt idx="143">
                  <c:v>24</c:v>
                </c:pt>
                <c:pt idx="144">
                  <c:v>26</c:v>
                </c:pt>
                <c:pt idx="145">
                  <c:v>25</c:v>
                </c:pt>
                <c:pt idx="146">
                  <c:v>16</c:v>
                </c:pt>
                <c:pt idx="147">
                  <c:v>17</c:v>
                </c:pt>
                <c:pt idx="148">
                  <c:v>43</c:v>
                </c:pt>
                <c:pt idx="149">
                  <c:v>25</c:v>
                </c:pt>
                <c:pt idx="150">
                  <c:v>24</c:v>
                </c:pt>
                <c:pt idx="151">
                  <c:v>19</c:v>
                </c:pt>
                <c:pt idx="152">
                  <c:v>47</c:v>
                </c:pt>
                <c:pt idx="153">
                  <c:v>24</c:v>
                </c:pt>
                <c:pt idx="154">
                  <c:v>9</c:v>
                </c:pt>
                <c:pt idx="155">
                  <c:v>28</c:v>
                </c:pt>
                <c:pt idx="156">
                  <c:v>33</c:v>
                </c:pt>
                <c:pt idx="157">
                  <c:v>26</c:v>
                </c:pt>
                <c:pt idx="158">
                  <c:v>28</c:v>
                </c:pt>
                <c:pt idx="159">
                  <c:v>50</c:v>
                </c:pt>
                <c:pt idx="160">
                  <c:v>11</c:v>
                </c:pt>
                <c:pt idx="161">
                  <c:v>31</c:v>
                </c:pt>
                <c:pt idx="162">
                  <c:v>27</c:v>
                </c:pt>
                <c:pt idx="163">
                  <c:v>49</c:v>
                </c:pt>
                <c:pt idx="164">
                  <c:v>28</c:v>
                </c:pt>
                <c:pt idx="165">
                  <c:v>23</c:v>
                </c:pt>
                <c:pt idx="166">
                  <c:v>21</c:v>
                </c:pt>
                <c:pt idx="167">
                  <c:v>30</c:v>
                </c:pt>
                <c:pt idx="168">
                  <c:v>31</c:v>
                </c:pt>
                <c:pt idx="169">
                  <c:v>27</c:v>
                </c:pt>
                <c:pt idx="170">
                  <c:v>20</c:v>
                </c:pt>
                <c:pt idx="171">
                  <c:v>32</c:v>
                </c:pt>
                <c:pt idx="172">
                  <c:v>27</c:v>
                </c:pt>
                <c:pt idx="173">
                  <c:v>32</c:v>
                </c:pt>
                <c:pt idx="174">
                  <c:v>39</c:v>
                </c:pt>
                <c:pt idx="175">
                  <c:v>21</c:v>
                </c:pt>
                <c:pt idx="176">
                  <c:v>17</c:v>
                </c:pt>
                <c:pt idx="177">
                  <c:v>18</c:v>
                </c:pt>
                <c:pt idx="178">
                  <c:v>51</c:v>
                </c:pt>
                <c:pt idx="179">
                  <c:v>42</c:v>
                </c:pt>
                <c:pt idx="180">
                  <c:v>29</c:v>
                </c:pt>
                <c:pt idx="181">
                  <c:v>37</c:v>
                </c:pt>
                <c:pt idx="182">
                  <c:v>26</c:v>
                </c:pt>
                <c:pt idx="183">
                  <c:v>45</c:v>
                </c:pt>
                <c:pt idx="184">
                  <c:v>27</c:v>
                </c:pt>
                <c:pt idx="185">
                  <c:v>37</c:v>
                </c:pt>
                <c:pt idx="186">
                  <c:v>40</c:v>
                </c:pt>
                <c:pt idx="187">
                  <c:v>61</c:v>
                </c:pt>
                <c:pt idx="188">
                  <c:v>18</c:v>
                </c:pt>
                <c:pt idx="189">
                  <c:v>32</c:v>
                </c:pt>
                <c:pt idx="190">
                  <c:v>29</c:v>
                </c:pt>
                <c:pt idx="191">
                  <c:v>19</c:v>
                </c:pt>
                <c:pt idx="192">
                  <c:v>34</c:v>
                </c:pt>
                <c:pt idx="193">
                  <c:v>28</c:v>
                </c:pt>
                <c:pt idx="194">
                  <c:v>36</c:v>
                </c:pt>
                <c:pt idx="195">
                  <c:v>19</c:v>
                </c:pt>
                <c:pt idx="196">
                  <c:v>50</c:v>
                </c:pt>
                <c:pt idx="197">
                  <c:v>30</c:v>
                </c:pt>
                <c:pt idx="198">
                  <c:v>30</c:v>
                </c:pt>
                <c:pt idx="199">
                  <c:v>48</c:v>
                </c:pt>
                <c:pt idx="200">
                  <c:v>23</c:v>
                </c:pt>
                <c:pt idx="201">
                  <c:v>20</c:v>
                </c:pt>
                <c:pt idx="202">
                  <c:v>20</c:v>
                </c:pt>
                <c:pt idx="203">
                  <c:v>5</c:v>
                </c:pt>
                <c:pt idx="204">
                  <c:v>21</c:v>
                </c:pt>
                <c:pt idx="205">
                  <c:v>38</c:v>
                </c:pt>
                <c:pt idx="206">
                  <c:v>18</c:v>
                </c:pt>
                <c:pt idx="207">
                  <c:v>12</c:v>
                </c:pt>
                <c:pt idx="208">
                  <c:v>9</c:v>
                </c:pt>
                <c:pt idx="209">
                  <c:v>17</c:v>
                </c:pt>
                <c:pt idx="210">
                  <c:v>30</c:v>
                </c:pt>
                <c:pt idx="211">
                  <c:v>19</c:v>
                </c:pt>
                <c:pt idx="212">
                  <c:v>22</c:v>
                </c:pt>
                <c:pt idx="213">
                  <c:v>22</c:v>
                </c:pt>
                <c:pt idx="214">
                  <c:v>23</c:v>
                </c:pt>
                <c:pt idx="215">
                  <c:v>20</c:v>
                </c:pt>
                <c:pt idx="216">
                  <c:v>30</c:v>
                </c:pt>
                <c:pt idx="217">
                  <c:v>30</c:v>
                </c:pt>
                <c:pt idx="218">
                  <c:v>8</c:v>
                </c:pt>
                <c:pt idx="219">
                  <c:v>17</c:v>
                </c:pt>
                <c:pt idx="220">
                  <c:v>21</c:v>
                </c:pt>
                <c:pt idx="221">
                  <c:v>41</c:v>
                </c:pt>
                <c:pt idx="222">
                  <c:v>16</c:v>
                </c:pt>
                <c:pt idx="223">
                  <c:v>15</c:v>
                </c:pt>
                <c:pt idx="224">
                  <c:v>29</c:v>
                </c:pt>
                <c:pt idx="225">
                  <c:v>22</c:v>
                </c:pt>
                <c:pt idx="226">
                  <c:v>24</c:v>
                </c:pt>
                <c:pt idx="227">
                  <c:v>21</c:v>
                </c:pt>
                <c:pt idx="228">
                  <c:v>20</c:v>
                </c:pt>
                <c:pt idx="229">
                  <c:v>28</c:v>
                </c:pt>
                <c:pt idx="230">
                  <c:v>24</c:v>
                </c:pt>
                <c:pt idx="231">
                  <c:v>38</c:v>
                </c:pt>
                <c:pt idx="232">
                  <c:v>18</c:v>
                </c:pt>
                <c:pt idx="233">
                  <c:v>18</c:v>
                </c:pt>
                <c:pt idx="234">
                  <c:v>25</c:v>
                </c:pt>
                <c:pt idx="235">
                  <c:v>23</c:v>
                </c:pt>
                <c:pt idx="236">
                  <c:v>19</c:v>
                </c:pt>
                <c:pt idx="237">
                  <c:v>28</c:v>
                </c:pt>
                <c:pt idx="238">
                  <c:v>20</c:v>
                </c:pt>
                <c:pt idx="239">
                  <c:v>28</c:v>
                </c:pt>
                <c:pt idx="240">
                  <c:v>27</c:v>
                </c:pt>
                <c:pt idx="241">
                  <c:v>28</c:v>
                </c:pt>
                <c:pt idx="242">
                  <c:v>33</c:v>
                </c:pt>
                <c:pt idx="243">
                  <c:v>16</c:v>
                </c:pt>
                <c:pt idx="244">
                  <c:v>26</c:v>
                </c:pt>
                <c:pt idx="245">
                  <c:v>32</c:v>
                </c:pt>
                <c:pt idx="246">
                  <c:v>31</c:v>
                </c:pt>
                <c:pt idx="247">
                  <c:v>19</c:v>
                </c:pt>
                <c:pt idx="248">
                  <c:v>29</c:v>
                </c:pt>
                <c:pt idx="249">
                  <c:v>35</c:v>
                </c:pt>
                <c:pt idx="250">
                  <c:v>27</c:v>
                </c:pt>
                <c:pt idx="251">
                  <c:v>36</c:v>
                </c:pt>
                <c:pt idx="252">
                  <c:v>32</c:v>
                </c:pt>
                <c:pt idx="253">
                  <c:v>48</c:v>
                </c:pt>
                <c:pt idx="254">
                  <c:v>25</c:v>
                </c:pt>
                <c:pt idx="255">
                  <c:v>30</c:v>
                </c:pt>
                <c:pt idx="256">
                  <c:v>38</c:v>
                </c:pt>
                <c:pt idx="257">
                  <c:v>28</c:v>
                </c:pt>
                <c:pt idx="258">
                  <c:v>55</c:v>
                </c:pt>
                <c:pt idx="259">
                  <c:v>25</c:v>
                </c:pt>
                <c:pt idx="260">
                  <c:v>25</c:v>
                </c:pt>
                <c:pt idx="261">
                  <c:v>30</c:v>
                </c:pt>
                <c:pt idx="262">
                  <c:v>20</c:v>
                </c:pt>
                <c:pt idx="263">
                  <c:v>21</c:v>
                </c:pt>
                <c:pt idx="264">
                  <c:v>32</c:v>
                </c:pt>
                <c:pt idx="265">
                  <c:v>36</c:v>
                </c:pt>
                <c:pt idx="266">
                  <c:v>45</c:v>
                </c:pt>
                <c:pt idx="267">
                  <c:v>45</c:v>
                </c:pt>
                <c:pt idx="268">
                  <c:v>40</c:v>
                </c:pt>
                <c:pt idx="269">
                  <c:v>44</c:v>
                </c:pt>
                <c:pt idx="270">
                  <c:v>16</c:v>
                </c:pt>
                <c:pt idx="271">
                  <c:v>28</c:v>
                </c:pt>
                <c:pt idx="272">
                  <c:v>28</c:v>
                </c:pt>
                <c:pt idx="273">
                  <c:v>36</c:v>
                </c:pt>
                <c:pt idx="274">
                  <c:v>36</c:v>
                </c:pt>
                <c:pt idx="275">
                  <c:v>27</c:v>
                </c:pt>
                <c:pt idx="276">
                  <c:v>45</c:v>
                </c:pt>
                <c:pt idx="277">
                  <c:v>21</c:v>
                </c:pt>
                <c:pt idx="278">
                  <c:v>27</c:v>
                </c:pt>
                <c:pt idx="279">
                  <c:v>27</c:v>
                </c:pt>
                <c:pt idx="280">
                  <c:v>22</c:v>
                </c:pt>
                <c:pt idx="281">
                  <c:v>14</c:v>
                </c:pt>
                <c:pt idx="282">
                  <c:v>22</c:v>
                </c:pt>
                <c:pt idx="283">
                  <c:v>15</c:v>
                </c:pt>
                <c:pt idx="284">
                  <c:v>22</c:v>
                </c:pt>
                <c:pt idx="285">
                  <c:v>32</c:v>
                </c:pt>
                <c:pt idx="286">
                  <c:v>26</c:v>
                </c:pt>
                <c:pt idx="287">
                  <c:v>25</c:v>
                </c:pt>
                <c:pt idx="288">
                  <c:v>28</c:v>
                </c:pt>
                <c:pt idx="289">
                  <c:v>24</c:v>
                </c:pt>
                <c:pt idx="290">
                  <c:v>33</c:v>
                </c:pt>
                <c:pt idx="291">
                  <c:v>38</c:v>
                </c:pt>
                <c:pt idx="292">
                  <c:v>33</c:v>
                </c:pt>
                <c:pt idx="293">
                  <c:v>49</c:v>
                </c:pt>
                <c:pt idx="294">
                  <c:v>26</c:v>
                </c:pt>
                <c:pt idx="295">
                  <c:v>27</c:v>
                </c:pt>
                <c:pt idx="296">
                  <c:v>28</c:v>
                </c:pt>
                <c:pt idx="297">
                  <c:v>28</c:v>
                </c:pt>
                <c:pt idx="298">
                  <c:v>54</c:v>
                </c:pt>
                <c:pt idx="299">
                  <c:v>28</c:v>
                </c:pt>
                <c:pt idx="300">
                  <c:v>23</c:v>
                </c:pt>
                <c:pt idx="301">
                  <c:v>17</c:v>
                </c:pt>
                <c:pt idx="302">
                  <c:v>20</c:v>
                </c:pt>
                <c:pt idx="303">
                  <c:v>28</c:v>
                </c:pt>
                <c:pt idx="304">
                  <c:v>26</c:v>
                </c:pt>
                <c:pt idx="305">
                  <c:v>27</c:v>
                </c:pt>
                <c:pt idx="306">
                  <c:v>34</c:v>
                </c:pt>
                <c:pt idx="307">
                  <c:v>26</c:v>
                </c:pt>
                <c:pt idx="308">
                  <c:v>44</c:v>
                </c:pt>
                <c:pt idx="309">
                  <c:v>22</c:v>
                </c:pt>
                <c:pt idx="310">
                  <c:v>28</c:v>
                </c:pt>
                <c:pt idx="311">
                  <c:v>22</c:v>
                </c:pt>
                <c:pt idx="312">
                  <c:v>34</c:v>
                </c:pt>
                <c:pt idx="313">
                  <c:v>80</c:v>
                </c:pt>
                <c:pt idx="314">
                  <c:v>15</c:v>
                </c:pt>
                <c:pt idx="315">
                  <c:v>36</c:v>
                </c:pt>
                <c:pt idx="316">
                  <c:v>36</c:v>
                </c:pt>
                <c:pt idx="317">
                  <c:v>45</c:v>
                </c:pt>
                <c:pt idx="318">
                  <c:v>34</c:v>
                </c:pt>
                <c:pt idx="319">
                  <c:v>47</c:v>
                </c:pt>
                <c:pt idx="320">
                  <c:v>32</c:v>
                </c:pt>
                <c:pt idx="321">
                  <c:v>32</c:v>
                </c:pt>
                <c:pt idx="322">
                  <c:v>33</c:v>
                </c:pt>
                <c:pt idx="323">
                  <c:v>59</c:v>
                </c:pt>
                <c:pt idx="324">
                  <c:v>16</c:v>
                </c:pt>
                <c:pt idx="325">
                  <c:v>43</c:v>
                </c:pt>
                <c:pt idx="326">
                  <c:v>37</c:v>
                </c:pt>
                <c:pt idx="327">
                  <c:v>26</c:v>
                </c:pt>
                <c:pt idx="328">
                  <c:v>54</c:v>
                </c:pt>
                <c:pt idx="329">
                  <c:v>46</c:v>
                </c:pt>
                <c:pt idx="330">
                  <c:v>42</c:v>
                </c:pt>
                <c:pt idx="331">
                  <c:v>24</c:v>
                </c:pt>
                <c:pt idx="332">
                  <c:v>37</c:v>
                </c:pt>
                <c:pt idx="333">
                  <c:v>20</c:v>
                </c:pt>
                <c:pt idx="334">
                  <c:v>32</c:v>
                </c:pt>
                <c:pt idx="335">
                  <c:v>22</c:v>
                </c:pt>
                <c:pt idx="336">
                  <c:v>22</c:v>
                </c:pt>
                <c:pt idx="337">
                  <c:v>15</c:v>
                </c:pt>
                <c:pt idx="338">
                  <c:v>20</c:v>
                </c:pt>
                <c:pt idx="339">
                  <c:v>45</c:v>
                </c:pt>
                <c:pt idx="340">
                  <c:v>70</c:v>
                </c:pt>
                <c:pt idx="341">
                  <c:v>35</c:v>
                </c:pt>
                <c:pt idx="342">
                  <c:v>61</c:v>
                </c:pt>
                <c:pt idx="343">
                  <c:v>46</c:v>
                </c:pt>
                <c:pt idx="344">
                  <c:v>34</c:v>
                </c:pt>
                <c:pt idx="345">
                  <c:v>44</c:v>
                </c:pt>
                <c:pt idx="346">
                  <c:v>41</c:v>
                </c:pt>
                <c:pt idx="347">
                  <c:v>106</c:v>
                </c:pt>
                <c:pt idx="348">
                  <c:v>41</c:v>
                </c:pt>
                <c:pt idx="349">
                  <c:v>25</c:v>
                </c:pt>
                <c:pt idx="350">
                  <c:v>30</c:v>
                </c:pt>
                <c:pt idx="351">
                  <c:v>20</c:v>
                </c:pt>
                <c:pt idx="352">
                  <c:v>44</c:v>
                </c:pt>
                <c:pt idx="353">
                  <c:v>38</c:v>
                </c:pt>
                <c:pt idx="354">
                  <c:v>40</c:v>
                </c:pt>
                <c:pt idx="355">
                  <c:v>38</c:v>
                </c:pt>
                <c:pt idx="356">
                  <c:v>50</c:v>
                </c:pt>
                <c:pt idx="357">
                  <c:v>37</c:v>
                </c:pt>
                <c:pt idx="358">
                  <c:v>38</c:v>
                </c:pt>
                <c:pt idx="359">
                  <c:v>39</c:v>
                </c:pt>
                <c:pt idx="360">
                  <c:v>45</c:v>
                </c:pt>
                <c:pt idx="361">
                  <c:v>37</c:v>
                </c:pt>
                <c:pt idx="362">
                  <c:v>44</c:v>
                </c:pt>
                <c:pt idx="363">
                  <c:v>28</c:v>
                </c:pt>
                <c:pt idx="364">
                  <c:v>37</c:v>
                </c:pt>
                <c:pt idx="365">
                  <c:v>31</c:v>
                </c:pt>
                <c:pt idx="366">
                  <c:v>45</c:v>
                </c:pt>
                <c:pt idx="367">
                  <c:v>21</c:v>
                </c:pt>
                <c:pt idx="368">
                  <c:v>44</c:v>
                </c:pt>
                <c:pt idx="369">
                  <c:v>49</c:v>
                </c:pt>
                <c:pt idx="370">
                  <c:v>34</c:v>
                </c:pt>
                <c:pt idx="371">
                  <c:v>54</c:v>
                </c:pt>
                <c:pt idx="372">
                  <c:v>37</c:v>
                </c:pt>
                <c:pt idx="373">
                  <c:v>26</c:v>
                </c:pt>
                <c:pt idx="374">
                  <c:v>55</c:v>
                </c:pt>
                <c:pt idx="375">
                  <c:v>42</c:v>
                </c:pt>
                <c:pt idx="376">
                  <c:v>31</c:v>
                </c:pt>
                <c:pt idx="377">
                  <c:v>43</c:v>
                </c:pt>
                <c:pt idx="378">
                  <c:v>41</c:v>
                </c:pt>
                <c:pt idx="379">
                  <c:v>52</c:v>
                </c:pt>
                <c:pt idx="380">
                  <c:v>28</c:v>
                </c:pt>
                <c:pt idx="381">
                  <c:v>26</c:v>
                </c:pt>
                <c:pt idx="382">
                  <c:v>51</c:v>
                </c:pt>
                <c:pt idx="383">
                  <c:v>26</c:v>
                </c:pt>
                <c:pt idx="384">
                  <c:v>33</c:v>
                </c:pt>
                <c:pt idx="385">
                  <c:v>34</c:v>
                </c:pt>
                <c:pt idx="386">
                  <c:v>23</c:v>
                </c:pt>
                <c:pt idx="387">
                  <c:v>36</c:v>
                </c:pt>
                <c:pt idx="388">
                  <c:v>29</c:v>
                </c:pt>
                <c:pt idx="389">
                  <c:v>24</c:v>
                </c:pt>
                <c:pt idx="390">
                  <c:v>29</c:v>
                </c:pt>
                <c:pt idx="391">
                  <c:v>31</c:v>
                </c:pt>
                <c:pt idx="392">
                  <c:v>28</c:v>
                </c:pt>
                <c:pt idx="393">
                  <c:v>27</c:v>
                </c:pt>
                <c:pt idx="394">
                  <c:v>33</c:v>
                </c:pt>
                <c:pt idx="395">
                  <c:v>35</c:v>
                </c:pt>
                <c:pt idx="396">
                  <c:v>29</c:v>
                </c:pt>
                <c:pt idx="397">
                  <c:v>37</c:v>
                </c:pt>
                <c:pt idx="398">
                  <c:v>18</c:v>
                </c:pt>
                <c:pt idx="399">
                  <c:v>30</c:v>
                </c:pt>
                <c:pt idx="400">
                  <c:v>27</c:v>
                </c:pt>
                <c:pt idx="401">
                  <c:v>27</c:v>
                </c:pt>
                <c:pt idx="402">
                  <c:v>28</c:v>
                </c:pt>
                <c:pt idx="403">
                  <c:v>33</c:v>
                </c:pt>
                <c:pt idx="404">
                  <c:v>28</c:v>
                </c:pt>
                <c:pt idx="405">
                  <c:v>13</c:v>
                </c:pt>
                <c:pt idx="406">
                  <c:v>72</c:v>
                </c:pt>
                <c:pt idx="407">
                  <c:v>17</c:v>
                </c:pt>
                <c:pt idx="408">
                  <c:v>29</c:v>
                </c:pt>
                <c:pt idx="409">
                  <c:v>24</c:v>
                </c:pt>
                <c:pt idx="410">
                  <c:v>32</c:v>
                </c:pt>
                <c:pt idx="411">
                  <c:v>30</c:v>
                </c:pt>
                <c:pt idx="412">
                  <c:v>29</c:v>
                </c:pt>
                <c:pt idx="413">
                  <c:v>33</c:v>
                </c:pt>
                <c:pt idx="414">
                  <c:v>26</c:v>
                </c:pt>
                <c:pt idx="415">
                  <c:v>41</c:v>
                </c:pt>
                <c:pt idx="416">
                  <c:v>31</c:v>
                </c:pt>
                <c:pt idx="417">
                  <c:v>29</c:v>
                </c:pt>
                <c:pt idx="418">
                  <c:v>21</c:v>
                </c:pt>
                <c:pt idx="419">
                  <c:v>30</c:v>
                </c:pt>
                <c:pt idx="420">
                  <c:v>32</c:v>
                </c:pt>
                <c:pt idx="421">
                  <c:v>28</c:v>
                </c:pt>
                <c:pt idx="422">
                  <c:v>24</c:v>
                </c:pt>
                <c:pt idx="423">
                  <c:v>41</c:v>
                </c:pt>
                <c:pt idx="424">
                  <c:v>23</c:v>
                </c:pt>
                <c:pt idx="425">
                  <c:v>21</c:v>
                </c:pt>
                <c:pt idx="426">
                  <c:v>23</c:v>
                </c:pt>
                <c:pt idx="427">
                  <c:v>23</c:v>
                </c:pt>
                <c:pt idx="428">
                  <c:v>38</c:v>
                </c:pt>
                <c:pt idx="429">
                  <c:v>28</c:v>
                </c:pt>
                <c:pt idx="430">
                  <c:v>27</c:v>
                </c:pt>
                <c:pt idx="431">
                  <c:v>26</c:v>
                </c:pt>
                <c:pt idx="432">
                  <c:v>18</c:v>
                </c:pt>
                <c:pt idx="433">
                  <c:v>21</c:v>
                </c:pt>
                <c:pt idx="434">
                  <c:v>16</c:v>
                </c:pt>
                <c:pt idx="435">
                  <c:v>13</c:v>
                </c:pt>
                <c:pt idx="436">
                  <c:v>12</c:v>
                </c:pt>
                <c:pt idx="437">
                  <c:v>9</c:v>
                </c:pt>
                <c:pt idx="438">
                  <c:v>18</c:v>
                </c:pt>
                <c:pt idx="439">
                  <c:v>35</c:v>
                </c:pt>
                <c:pt idx="440">
                  <c:v>11</c:v>
                </c:pt>
                <c:pt idx="441">
                  <c:v>23</c:v>
                </c:pt>
                <c:pt idx="442">
                  <c:v>20</c:v>
                </c:pt>
                <c:pt idx="443">
                  <c:v>15</c:v>
                </c:pt>
                <c:pt idx="444">
                  <c:v>19</c:v>
                </c:pt>
                <c:pt idx="445">
                  <c:v>9</c:v>
                </c:pt>
                <c:pt idx="446">
                  <c:v>21</c:v>
                </c:pt>
                <c:pt idx="447">
                  <c:v>5</c:v>
                </c:pt>
                <c:pt idx="448">
                  <c:v>23</c:v>
                </c:pt>
                <c:pt idx="449">
                  <c:v>23</c:v>
                </c:pt>
                <c:pt idx="450">
                  <c:v>25</c:v>
                </c:pt>
                <c:pt idx="451">
                  <c:v>24</c:v>
                </c:pt>
                <c:pt idx="452">
                  <c:v>28</c:v>
                </c:pt>
                <c:pt idx="453">
                  <c:v>21</c:v>
                </c:pt>
                <c:pt idx="454">
                  <c:v>43</c:v>
                </c:pt>
                <c:pt idx="455">
                  <c:v>31</c:v>
                </c:pt>
                <c:pt idx="456">
                  <c:v>39</c:v>
                </c:pt>
                <c:pt idx="457">
                  <c:v>29</c:v>
                </c:pt>
                <c:pt idx="458">
                  <c:v>35</c:v>
                </c:pt>
                <c:pt idx="459">
                  <c:v>23</c:v>
                </c:pt>
                <c:pt idx="460">
                  <c:v>49</c:v>
                </c:pt>
                <c:pt idx="461">
                  <c:v>26</c:v>
                </c:pt>
                <c:pt idx="462">
                  <c:v>19</c:v>
                </c:pt>
                <c:pt idx="463">
                  <c:v>29</c:v>
                </c:pt>
                <c:pt idx="464">
                  <c:v>41</c:v>
                </c:pt>
                <c:pt idx="465">
                  <c:v>48</c:v>
                </c:pt>
                <c:pt idx="466">
                  <c:v>33</c:v>
                </c:pt>
                <c:pt idx="467">
                  <c:v>23</c:v>
                </c:pt>
                <c:pt idx="468">
                  <c:v>22</c:v>
                </c:pt>
                <c:pt idx="469">
                  <c:v>25</c:v>
                </c:pt>
                <c:pt idx="470">
                  <c:v>22</c:v>
                </c:pt>
                <c:pt idx="471">
                  <c:v>20</c:v>
                </c:pt>
                <c:pt idx="472">
                  <c:v>72</c:v>
                </c:pt>
                <c:pt idx="473">
                  <c:v>39</c:v>
                </c:pt>
                <c:pt idx="474">
                  <c:v>33</c:v>
                </c:pt>
                <c:pt idx="475">
                  <c:v>22</c:v>
                </c:pt>
                <c:pt idx="476">
                  <c:v>16</c:v>
                </c:pt>
                <c:pt idx="477">
                  <c:v>34</c:v>
                </c:pt>
                <c:pt idx="478">
                  <c:v>16</c:v>
                </c:pt>
                <c:pt idx="479">
                  <c:v>32</c:v>
                </c:pt>
                <c:pt idx="480">
                  <c:v>10</c:v>
                </c:pt>
                <c:pt idx="481">
                  <c:v>31</c:v>
                </c:pt>
                <c:pt idx="482">
                  <c:v>11</c:v>
                </c:pt>
                <c:pt idx="483">
                  <c:v>19</c:v>
                </c:pt>
                <c:pt idx="484">
                  <c:v>32</c:v>
                </c:pt>
                <c:pt idx="485">
                  <c:v>36</c:v>
                </c:pt>
                <c:pt idx="486">
                  <c:v>38</c:v>
                </c:pt>
                <c:pt idx="487">
                  <c:v>19</c:v>
                </c:pt>
                <c:pt idx="488">
                  <c:v>41</c:v>
                </c:pt>
                <c:pt idx="489">
                  <c:v>27</c:v>
                </c:pt>
                <c:pt idx="490">
                  <c:v>14</c:v>
                </c:pt>
                <c:pt idx="491">
                  <c:v>17</c:v>
                </c:pt>
                <c:pt idx="492">
                  <c:v>25</c:v>
                </c:pt>
                <c:pt idx="493">
                  <c:v>21</c:v>
                </c:pt>
                <c:pt idx="494">
                  <c:v>20</c:v>
                </c:pt>
                <c:pt idx="495">
                  <c:v>18</c:v>
                </c:pt>
                <c:pt idx="496">
                  <c:v>24</c:v>
                </c:pt>
                <c:pt idx="497">
                  <c:v>19</c:v>
                </c:pt>
                <c:pt idx="498">
                  <c:v>19</c:v>
                </c:pt>
                <c:pt idx="499">
                  <c:v>14</c:v>
                </c:pt>
                <c:pt idx="500">
                  <c:v>14</c:v>
                </c:pt>
                <c:pt idx="501">
                  <c:v>27</c:v>
                </c:pt>
                <c:pt idx="502">
                  <c:v>25</c:v>
                </c:pt>
                <c:pt idx="503">
                  <c:v>13</c:v>
                </c:pt>
                <c:pt idx="504">
                  <c:v>19</c:v>
                </c:pt>
                <c:pt idx="505">
                  <c:v>20</c:v>
                </c:pt>
                <c:pt idx="506">
                  <c:v>15</c:v>
                </c:pt>
                <c:pt idx="507">
                  <c:v>14</c:v>
                </c:pt>
                <c:pt idx="508">
                  <c:v>19</c:v>
                </c:pt>
                <c:pt idx="509">
                  <c:v>25</c:v>
                </c:pt>
                <c:pt idx="510">
                  <c:v>23</c:v>
                </c:pt>
                <c:pt idx="511">
                  <c:v>32</c:v>
                </c:pt>
                <c:pt idx="512">
                  <c:v>23</c:v>
                </c:pt>
                <c:pt idx="513">
                  <c:v>10</c:v>
                </c:pt>
                <c:pt idx="514">
                  <c:v>20</c:v>
                </c:pt>
                <c:pt idx="515">
                  <c:v>21</c:v>
                </c:pt>
                <c:pt idx="516">
                  <c:v>21</c:v>
                </c:pt>
                <c:pt idx="517">
                  <c:v>26</c:v>
                </c:pt>
                <c:pt idx="518">
                  <c:v>18</c:v>
                </c:pt>
                <c:pt idx="519">
                  <c:v>14</c:v>
                </c:pt>
                <c:pt idx="520">
                  <c:v>16</c:v>
                </c:pt>
                <c:pt idx="521">
                  <c:v>18</c:v>
                </c:pt>
                <c:pt idx="522">
                  <c:v>31</c:v>
                </c:pt>
                <c:pt idx="523">
                  <c:v>23</c:v>
                </c:pt>
                <c:pt idx="524">
                  <c:v>16</c:v>
                </c:pt>
                <c:pt idx="525">
                  <c:v>23</c:v>
                </c:pt>
                <c:pt idx="526">
                  <c:v>15</c:v>
                </c:pt>
                <c:pt idx="527">
                  <c:v>24</c:v>
                </c:pt>
                <c:pt idx="528">
                  <c:v>22</c:v>
                </c:pt>
                <c:pt idx="529">
                  <c:v>24</c:v>
                </c:pt>
                <c:pt idx="530">
                  <c:v>23</c:v>
                </c:pt>
                <c:pt idx="531">
                  <c:v>20</c:v>
                </c:pt>
                <c:pt idx="532">
                  <c:v>22</c:v>
                </c:pt>
                <c:pt idx="533">
                  <c:v>20</c:v>
                </c:pt>
                <c:pt idx="534">
                  <c:v>13</c:v>
                </c:pt>
                <c:pt idx="535">
                  <c:v>25</c:v>
                </c:pt>
                <c:pt idx="536">
                  <c:v>19</c:v>
                </c:pt>
                <c:pt idx="537">
                  <c:v>15</c:v>
                </c:pt>
                <c:pt idx="538">
                  <c:v>13</c:v>
                </c:pt>
                <c:pt idx="539">
                  <c:v>7</c:v>
                </c:pt>
                <c:pt idx="540">
                  <c:v>8</c:v>
                </c:pt>
                <c:pt idx="541">
                  <c:v>9</c:v>
                </c:pt>
                <c:pt idx="542">
                  <c:v>17</c:v>
                </c:pt>
                <c:pt idx="543">
                  <c:v>10</c:v>
                </c:pt>
                <c:pt idx="544">
                  <c:v>17</c:v>
                </c:pt>
                <c:pt idx="545">
                  <c:v>17</c:v>
                </c:pt>
                <c:pt idx="546">
                  <c:v>8</c:v>
                </c:pt>
                <c:pt idx="547">
                  <c:v>15</c:v>
                </c:pt>
                <c:pt idx="548">
                  <c:v>8</c:v>
                </c:pt>
                <c:pt idx="549">
                  <c:v>6</c:v>
                </c:pt>
                <c:pt idx="550">
                  <c:v>10</c:v>
                </c:pt>
                <c:pt idx="551">
                  <c:v>7</c:v>
                </c:pt>
                <c:pt idx="552">
                  <c:v>10</c:v>
                </c:pt>
                <c:pt idx="553">
                  <c:v>14</c:v>
                </c:pt>
                <c:pt idx="554">
                  <c:v>17</c:v>
                </c:pt>
                <c:pt idx="555">
                  <c:v>7</c:v>
                </c:pt>
                <c:pt idx="556">
                  <c:v>11</c:v>
                </c:pt>
                <c:pt idx="557">
                  <c:v>28</c:v>
                </c:pt>
                <c:pt idx="558">
                  <c:v>6</c:v>
                </c:pt>
                <c:pt idx="559">
                  <c:v>13</c:v>
                </c:pt>
                <c:pt idx="560">
                  <c:v>14</c:v>
                </c:pt>
                <c:pt idx="561">
                  <c:v>10</c:v>
                </c:pt>
                <c:pt idx="562">
                  <c:v>20</c:v>
                </c:pt>
                <c:pt idx="563">
                  <c:v>17</c:v>
                </c:pt>
                <c:pt idx="564">
                  <c:v>21</c:v>
                </c:pt>
                <c:pt idx="565">
                  <c:v>6</c:v>
                </c:pt>
                <c:pt idx="566">
                  <c:v>8</c:v>
                </c:pt>
                <c:pt idx="567">
                  <c:v>16</c:v>
                </c:pt>
                <c:pt idx="568">
                  <c:v>16</c:v>
                </c:pt>
                <c:pt idx="569">
                  <c:v>13</c:v>
                </c:pt>
                <c:pt idx="570">
                  <c:v>12</c:v>
                </c:pt>
                <c:pt idx="571">
                  <c:v>19</c:v>
                </c:pt>
                <c:pt idx="572">
                  <c:v>13</c:v>
                </c:pt>
                <c:pt idx="573">
                  <c:v>14</c:v>
                </c:pt>
                <c:pt idx="574">
                  <c:v>18</c:v>
                </c:pt>
                <c:pt idx="575">
                  <c:v>12</c:v>
                </c:pt>
                <c:pt idx="576">
                  <c:v>17</c:v>
                </c:pt>
                <c:pt idx="577">
                  <c:v>10</c:v>
                </c:pt>
                <c:pt idx="578">
                  <c:v>17</c:v>
                </c:pt>
                <c:pt idx="579">
                  <c:v>13</c:v>
                </c:pt>
                <c:pt idx="580">
                  <c:v>12</c:v>
                </c:pt>
                <c:pt idx="581">
                  <c:v>11</c:v>
                </c:pt>
                <c:pt idx="582">
                  <c:v>9</c:v>
                </c:pt>
                <c:pt idx="583">
                  <c:v>16</c:v>
                </c:pt>
                <c:pt idx="584">
                  <c:v>18</c:v>
                </c:pt>
                <c:pt idx="58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A-430A-9FEA-5B633052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60248"/>
        <c:axId val="485559856"/>
      </c:areaChart>
      <c:areaChart>
        <c:grouping val="stacked"/>
        <c:varyColors val="0"/>
        <c:ser>
          <c:idx val="2"/>
          <c:order val="2"/>
          <c:tx>
            <c:strRef>
              <c:f>情绪数据!$D$1</c:f>
              <c:strCache>
                <c:ptCount val="1"/>
                <c:pt idx="0">
                  <c:v>盘中带量曾封跌停计数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情绪数据!$A$2:$A$20</c:f>
              <c:numCache>
                <c:formatCode>m/d/yyyy</c:formatCode>
                <c:ptCount val="19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</c:numCache>
            </c:numRef>
          </c:cat>
          <c:val>
            <c:numRef>
              <c:f>情绪数据!盘中带量</c:f>
              <c:numCache>
                <c:formatCode>0_ ;[Red]\-0\ </c:formatCode>
                <c:ptCount val="586"/>
                <c:pt idx="0">
                  <c:v>-17</c:v>
                </c:pt>
                <c:pt idx="1">
                  <c:v>-10</c:v>
                </c:pt>
                <c:pt idx="2">
                  <c:v>-10</c:v>
                </c:pt>
                <c:pt idx="3">
                  <c:v>-13</c:v>
                </c:pt>
                <c:pt idx="4">
                  <c:v>-18</c:v>
                </c:pt>
                <c:pt idx="5">
                  <c:v>-19</c:v>
                </c:pt>
                <c:pt idx="6">
                  <c:v>-22</c:v>
                </c:pt>
                <c:pt idx="7">
                  <c:v>-18</c:v>
                </c:pt>
                <c:pt idx="8">
                  <c:v>-23</c:v>
                </c:pt>
                <c:pt idx="9">
                  <c:v>-40</c:v>
                </c:pt>
                <c:pt idx="10">
                  <c:v>-46</c:v>
                </c:pt>
                <c:pt idx="11">
                  <c:v>-23</c:v>
                </c:pt>
                <c:pt idx="12">
                  <c:v>-31</c:v>
                </c:pt>
                <c:pt idx="13">
                  <c:v>-25</c:v>
                </c:pt>
                <c:pt idx="14">
                  <c:v>-13</c:v>
                </c:pt>
                <c:pt idx="15">
                  <c:v>-12</c:v>
                </c:pt>
                <c:pt idx="16">
                  <c:v>-19</c:v>
                </c:pt>
                <c:pt idx="17">
                  <c:v>-20</c:v>
                </c:pt>
                <c:pt idx="18">
                  <c:v>-52</c:v>
                </c:pt>
                <c:pt idx="19">
                  <c:v>-31</c:v>
                </c:pt>
                <c:pt idx="20">
                  <c:v>-30</c:v>
                </c:pt>
                <c:pt idx="21">
                  <c:v>-76</c:v>
                </c:pt>
                <c:pt idx="22">
                  <c:v>-17</c:v>
                </c:pt>
                <c:pt idx="23">
                  <c:v>-11</c:v>
                </c:pt>
                <c:pt idx="24">
                  <c:v>-19</c:v>
                </c:pt>
                <c:pt idx="25">
                  <c:v>-28</c:v>
                </c:pt>
                <c:pt idx="26">
                  <c:v>-31</c:v>
                </c:pt>
                <c:pt idx="27">
                  <c:v>-44</c:v>
                </c:pt>
                <c:pt idx="28">
                  <c:v>-57</c:v>
                </c:pt>
                <c:pt idx="29">
                  <c:v>-71</c:v>
                </c:pt>
                <c:pt idx="30">
                  <c:v>-22</c:v>
                </c:pt>
                <c:pt idx="31">
                  <c:v>-37</c:v>
                </c:pt>
                <c:pt idx="32">
                  <c:v>-52</c:v>
                </c:pt>
                <c:pt idx="33">
                  <c:v>-29</c:v>
                </c:pt>
                <c:pt idx="34">
                  <c:v>-13</c:v>
                </c:pt>
                <c:pt idx="35">
                  <c:v>-8</c:v>
                </c:pt>
                <c:pt idx="36">
                  <c:v>-7</c:v>
                </c:pt>
                <c:pt idx="37">
                  <c:v>-7</c:v>
                </c:pt>
                <c:pt idx="38">
                  <c:v>-32</c:v>
                </c:pt>
                <c:pt idx="39">
                  <c:v>-40</c:v>
                </c:pt>
                <c:pt idx="40">
                  <c:v>-51</c:v>
                </c:pt>
                <c:pt idx="41">
                  <c:v>-34</c:v>
                </c:pt>
                <c:pt idx="42">
                  <c:v>-46</c:v>
                </c:pt>
                <c:pt idx="43">
                  <c:v>-78</c:v>
                </c:pt>
                <c:pt idx="44">
                  <c:v>-92</c:v>
                </c:pt>
                <c:pt idx="45">
                  <c:v>-37</c:v>
                </c:pt>
                <c:pt idx="46">
                  <c:v>-35</c:v>
                </c:pt>
                <c:pt idx="47">
                  <c:v>-62</c:v>
                </c:pt>
                <c:pt idx="48">
                  <c:v>-77</c:v>
                </c:pt>
                <c:pt idx="49">
                  <c:v>-43</c:v>
                </c:pt>
                <c:pt idx="50">
                  <c:v>-15</c:v>
                </c:pt>
                <c:pt idx="51">
                  <c:v>-18</c:v>
                </c:pt>
                <c:pt idx="52">
                  <c:v>-10</c:v>
                </c:pt>
                <c:pt idx="53">
                  <c:v>-16</c:v>
                </c:pt>
                <c:pt idx="54">
                  <c:v>-14</c:v>
                </c:pt>
                <c:pt idx="55">
                  <c:v>-12</c:v>
                </c:pt>
                <c:pt idx="56">
                  <c:v>-35</c:v>
                </c:pt>
                <c:pt idx="57">
                  <c:v>-8</c:v>
                </c:pt>
                <c:pt idx="58">
                  <c:v>-26</c:v>
                </c:pt>
                <c:pt idx="59">
                  <c:v>-10</c:v>
                </c:pt>
                <c:pt idx="60">
                  <c:v>-21</c:v>
                </c:pt>
                <c:pt idx="61">
                  <c:v>-7</c:v>
                </c:pt>
                <c:pt idx="62">
                  <c:v>-27</c:v>
                </c:pt>
                <c:pt idx="63">
                  <c:v>-32</c:v>
                </c:pt>
                <c:pt idx="64">
                  <c:v>-33</c:v>
                </c:pt>
                <c:pt idx="65">
                  <c:v>-109</c:v>
                </c:pt>
                <c:pt idx="66">
                  <c:v>-27</c:v>
                </c:pt>
                <c:pt idx="67">
                  <c:v>-7</c:v>
                </c:pt>
                <c:pt idx="68">
                  <c:v>-8</c:v>
                </c:pt>
                <c:pt idx="69">
                  <c:v>-22</c:v>
                </c:pt>
                <c:pt idx="70">
                  <c:v>-13</c:v>
                </c:pt>
                <c:pt idx="71">
                  <c:v>-9</c:v>
                </c:pt>
                <c:pt idx="72">
                  <c:v>-5</c:v>
                </c:pt>
                <c:pt idx="73">
                  <c:v>-11</c:v>
                </c:pt>
                <c:pt idx="74">
                  <c:v>-4</c:v>
                </c:pt>
                <c:pt idx="75">
                  <c:v>-49</c:v>
                </c:pt>
                <c:pt idx="76">
                  <c:v>-45</c:v>
                </c:pt>
                <c:pt idx="77">
                  <c:v>-45</c:v>
                </c:pt>
                <c:pt idx="78">
                  <c:v>-4</c:v>
                </c:pt>
                <c:pt idx="79">
                  <c:v>-9</c:v>
                </c:pt>
                <c:pt idx="80">
                  <c:v>-33</c:v>
                </c:pt>
                <c:pt idx="81">
                  <c:v>-18</c:v>
                </c:pt>
                <c:pt idx="82">
                  <c:v>-21</c:v>
                </c:pt>
                <c:pt idx="83">
                  <c:v>-10</c:v>
                </c:pt>
                <c:pt idx="84">
                  <c:v>-7</c:v>
                </c:pt>
                <c:pt idx="85">
                  <c:v>-4</c:v>
                </c:pt>
                <c:pt idx="86">
                  <c:v>-29</c:v>
                </c:pt>
                <c:pt idx="87">
                  <c:v>-13</c:v>
                </c:pt>
                <c:pt idx="88">
                  <c:v>-35</c:v>
                </c:pt>
                <c:pt idx="89">
                  <c:v>-47</c:v>
                </c:pt>
                <c:pt idx="90">
                  <c:v>-23</c:v>
                </c:pt>
                <c:pt idx="91">
                  <c:v>-37</c:v>
                </c:pt>
                <c:pt idx="92">
                  <c:v>-15</c:v>
                </c:pt>
                <c:pt idx="93">
                  <c:v>-12</c:v>
                </c:pt>
                <c:pt idx="94">
                  <c:v>-17</c:v>
                </c:pt>
                <c:pt idx="95">
                  <c:v>-17</c:v>
                </c:pt>
                <c:pt idx="96">
                  <c:v>-8</c:v>
                </c:pt>
                <c:pt idx="97">
                  <c:v>-20</c:v>
                </c:pt>
                <c:pt idx="98">
                  <c:v>-26</c:v>
                </c:pt>
                <c:pt idx="99">
                  <c:v>-42</c:v>
                </c:pt>
                <c:pt idx="100">
                  <c:v>-40</c:v>
                </c:pt>
                <c:pt idx="101">
                  <c:v>-30</c:v>
                </c:pt>
                <c:pt idx="102">
                  <c:v>-55</c:v>
                </c:pt>
                <c:pt idx="103">
                  <c:v>-30</c:v>
                </c:pt>
                <c:pt idx="104">
                  <c:v>-20</c:v>
                </c:pt>
                <c:pt idx="105">
                  <c:v>-17</c:v>
                </c:pt>
                <c:pt idx="106">
                  <c:v>-35</c:v>
                </c:pt>
                <c:pt idx="107">
                  <c:v>-12</c:v>
                </c:pt>
                <c:pt idx="108">
                  <c:v>-4</c:v>
                </c:pt>
                <c:pt idx="109">
                  <c:v>-47</c:v>
                </c:pt>
                <c:pt idx="110">
                  <c:v>-16</c:v>
                </c:pt>
                <c:pt idx="111">
                  <c:v>-7</c:v>
                </c:pt>
                <c:pt idx="112">
                  <c:v>-22</c:v>
                </c:pt>
                <c:pt idx="113">
                  <c:v>-8</c:v>
                </c:pt>
                <c:pt idx="114">
                  <c:v>-15</c:v>
                </c:pt>
                <c:pt idx="115">
                  <c:v>-10</c:v>
                </c:pt>
                <c:pt idx="116">
                  <c:v>-3</c:v>
                </c:pt>
                <c:pt idx="117">
                  <c:v>-4</c:v>
                </c:pt>
                <c:pt idx="118">
                  <c:v>-5</c:v>
                </c:pt>
                <c:pt idx="119">
                  <c:v>-8</c:v>
                </c:pt>
                <c:pt idx="120">
                  <c:v>-12</c:v>
                </c:pt>
                <c:pt idx="121">
                  <c:v>-25</c:v>
                </c:pt>
                <c:pt idx="122">
                  <c:v>-12</c:v>
                </c:pt>
                <c:pt idx="123">
                  <c:v>-19</c:v>
                </c:pt>
                <c:pt idx="124">
                  <c:v>-14</c:v>
                </c:pt>
                <c:pt idx="125">
                  <c:v>-37</c:v>
                </c:pt>
                <c:pt idx="126">
                  <c:v>-14</c:v>
                </c:pt>
                <c:pt idx="127">
                  <c:v>-10</c:v>
                </c:pt>
                <c:pt idx="128">
                  <c:v>-18</c:v>
                </c:pt>
                <c:pt idx="129">
                  <c:v>-37</c:v>
                </c:pt>
                <c:pt idx="130">
                  <c:v>-35</c:v>
                </c:pt>
                <c:pt idx="131">
                  <c:v>-11</c:v>
                </c:pt>
                <c:pt idx="132">
                  <c:v>-6</c:v>
                </c:pt>
                <c:pt idx="133">
                  <c:v>-2</c:v>
                </c:pt>
                <c:pt idx="134">
                  <c:v>-3</c:v>
                </c:pt>
                <c:pt idx="135">
                  <c:v>-4</c:v>
                </c:pt>
                <c:pt idx="136">
                  <c:v>-15</c:v>
                </c:pt>
                <c:pt idx="137">
                  <c:v>-8</c:v>
                </c:pt>
                <c:pt idx="138">
                  <c:v>-18</c:v>
                </c:pt>
                <c:pt idx="139">
                  <c:v>-9</c:v>
                </c:pt>
                <c:pt idx="140">
                  <c:v>-8</c:v>
                </c:pt>
                <c:pt idx="141">
                  <c:v>-17</c:v>
                </c:pt>
                <c:pt idx="142">
                  <c:v>-5</c:v>
                </c:pt>
                <c:pt idx="143">
                  <c:v>-12</c:v>
                </c:pt>
                <c:pt idx="144">
                  <c:v>-21</c:v>
                </c:pt>
                <c:pt idx="145">
                  <c:v>-7</c:v>
                </c:pt>
                <c:pt idx="146">
                  <c:v>-9</c:v>
                </c:pt>
                <c:pt idx="147">
                  <c:v>-9</c:v>
                </c:pt>
                <c:pt idx="148">
                  <c:v>-8</c:v>
                </c:pt>
                <c:pt idx="149">
                  <c:v>-9</c:v>
                </c:pt>
                <c:pt idx="150">
                  <c:v>-21</c:v>
                </c:pt>
                <c:pt idx="151">
                  <c:v>-32</c:v>
                </c:pt>
                <c:pt idx="152">
                  <c:v>-10</c:v>
                </c:pt>
                <c:pt idx="153">
                  <c:v>-23</c:v>
                </c:pt>
                <c:pt idx="154">
                  <c:v>-12</c:v>
                </c:pt>
                <c:pt idx="155">
                  <c:v>-5</c:v>
                </c:pt>
                <c:pt idx="156">
                  <c:v>-13</c:v>
                </c:pt>
                <c:pt idx="157">
                  <c:v>-17</c:v>
                </c:pt>
                <c:pt idx="158">
                  <c:v>-58</c:v>
                </c:pt>
                <c:pt idx="159">
                  <c:v>-82</c:v>
                </c:pt>
                <c:pt idx="160">
                  <c:v>-146</c:v>
                </c:pt>
                <c:pt idx="161">
                  <c:v>-2</c:v>
                </c:pt>
                <c:pt idx="162">
                  <c:v>-24</c:v>
                </c:pt>
                <c:pt idx="163">
                  <c:v>-22</c:v>
                </c:pt>
                <c:pt idx="164">
                  <c:v>-52</c:v>
                </c:pt>
                <c:pt idx="165">
                  <c:v>-6</c:v>
                </c:pt>
                <c:pt idx="166">
                  <c:v>-13</c:v>
                </c:pt>
                <c:pt idx="167">
                  <c:v>-5</c:v>
                </c:pt>
                <c:pt idx="168">
                  <c:v>-15</c:v>
                </c:pt>
                <c:pt idx="169">
                  <c:v>-12</c:v>
                </c:pt>
                <c:pt idx="170">
                  <c:v>-6</c:v>
                </c:pt>
                <c:pt idx="171">
                  <c:v>-10</c:v>
                </c:pt>
                <c:pt idx="172">
                  <c:v>-5</c:v>
                </c:pt>
                <c:pt idx="173">
                  <c:v>-28</c:v>
                </c:pt>
                <c:pt idx="174">
                  <c:v>-43</c:v>
                </c:pt>
                <c:pt idx="175">
                  <c:v>-15</c:v>
                </c:pt>
                <c:pt idx="176">
                  <c:v>-26</c:v>
                </c:pt>
                <c:pt idx="177">
                  <c:v>-39</c:v>
                </c:pt>
                <c:pt idx="178">
                  <c:v>-9</c:v>
                </c:pt>
                <c:pt idx="179">
                  <c:v>-7</c:v>
                </c:pt>
                <c:pt idx="180">
                  <c:v>-8</c:v>
                </c:pt>
                <c:pt idx="181">
                  <c:v>-12</c:v>
                </c:pt>
                <c:pt idx="182">
                  <c:v>-27</c:v>
                </c:pt>
                <c:pt idx="183">
                  <c:v>-34</c:v>
                </c:pt>
                <c:pt idx="184">
                  <c:v>-39</c:v>
                </c:pt>
                <c:pt idx="185">
                  <c:v>-96</c:v>
                </c:pt>
                <c:pt idx="186">
                  <c:v>-2</c:v>
                </c:pt>
                <c:pt idx="187">
                  <c:v>-48</c:v>
                </c:pt>
                <c:pt idx="188">
                  <c:v>-38</c:v>
                </c:pt>
                <c:pt idx="189">
                  <c:v>-5</c:v>
                </c:pt>
                <c:pt idx="190">
                  <c:v>-2</c:v>
                </c:pt>
                <c:pt idx="191">
                  <c:v>-5</c:v>
                </c:pt>
                <c:pt idx="192">
                  <c:v>-3</c:v>
                </c:pt>
                <c:pt idx="193">
                  <c:v>-13</c:v>
                </c:pt>
                <c:pt idx="194">
                  <c:v>-13</c:v>
                </c:pt>
                <c:pt idx="195">
                  <c:v>-6</c:v>
                </c:pt>
                <c:pt idx="196">
                  <c:v>-53</c:v>
                </c:pt>
                <c:pt idx="197">
                  <c:v>-45</c:v>
                </c:pt>
                <c:pt idx="198">
                  <c:v>-11</c:v>
                </c:pt>
                <c:pt idx="199">
                  <c:v>-27</c:v>
                </c:pt>
                <c:pt idx="200">
                  <c:v>-80</c:v>
                </c:pt>
                <c:pt idx="201">
                  <c:v>-256</c:v>
                </c:pt>
                <c:pt idx="202">
                  <c:v>-53</c:v>
                </c:pt>
                <c:pt idx="203">
                  <c:v>-92</c:v>
                </c:pt>
                <c:pt idx="204">
                  <c:v>-13</c:v>
                </c:pt>
                <c:pt idx="205">
                  <c:v>-35</c:v>
                </c:pt>
                <c:pt idx="206">
                  <c:v>-57</c:v>
                </c:pt>
                <c:pt idx="207">
                  <c:v>-47</c:v>
                </c:pt>
                <c:pt idx="208">
                  <c:v>-53</c:v>
                </c:pt>
                <c:pt idx="209">
                  <c:v>-16</c:v>
                </c:pt>
                <c:pt idx="210">
                  <c:v>-39</c:v>
                </c:pt>
                <c:pt idx="211">
                  <c:v>-25</c:v>
                </c:pt>
                <c:pt idx="212">
                  <c:v>-5</c:v>
                </c:pt>
                <c:pt idx="213">
                  <c:v>-31</c:v>
                </c:pt>
                <c:pt idx="214">
                  <c:v>-4</c:v>
                </c:pt>
                <c:pt idx="215">
                  <c:v>-16</c:v>
                </c:pt>
                <c:pt idx="216">
                  <c:v>-12</c:v>
                </c:pt>
                <c:pt idx="217">
                  <c:v>-15</c:v>
                </c:pt>
                <c:pt idx="218">
                  <c:v>-27</c:v>
                </c:pt>
                <c:pt idx="219">
                  <c:v>-90</c:v>
                </c:pt>
                <c:pt idx="220">
                  <c:v>-19</c:v>
                </c:pt>
                <c:pt idx="221">
                  <c:v>-17</c:v>
                </c:pt>
                <c:pt idx="222">
                  <c:v>-29</c:v>
                </c:pt>
                <c:pt idx="223">
                  <c:v>-15</c:v>
                </c:pt>
                <c:pt idx="224">
                  <c:v>-2</c:v>
                </c:pt>
                <c:pt idx="225">
                  <c:v>-34</c:v>
                </c:pt>
                <c:pt idx="226">
                  <c:v>-18</c:v>
                </c:pt>
                <c:pt idx="227">
                  <c:v>-3</c:v>
                </c:pt>
                <c:pt idx="228">
                  <c:v>-3</c:v>
                </c:pt>
                <c:pt idx="229">
                  <c:v>-6</c:v>
                </c:pt>
                <c:pt idx="230">
                  <c:v>-1</c:v>
                </c:pt>
                <c:pt idx="231">
                  <c:v>-30</c:v>
                </c:pt>
                <c:pt idx="232">
                  <c:v>-11</c:v>
                </c:pt>
                <c:pt idx="233">
                  <c:v>-2</c:v>
                </c:pt>
                <c:pt idx="234">
                  <c:v>-11</c:v>
                </c:pt>
                <c:pt idx="235">
                  <c:v>-6</c:v>
                </c:pt>
                <c:pt idx="236">
                  <c:v>-3</c:v>
                </c:pt>
                <c:pt idx="237">
                  <c:v>-4</c:v>
                </c:pt>
                <c:pt idx="238">
                  <c:v>-3</c:v>
                </c:pt>
                <c:pt idx="239">
                  <c:v>-16</c:v>
                </c:pt>
                <c:pt idx="240">
                  <c:v>-6</c:v>
                </c:pt>
                <c:pt idx="241">
                  <c:v>-9</c:v>
                </c:pt>
                <c:pt idx="242">
                  <c:v>-7</c:v>
                </c:pt>
                <c:pt idx="243">
                  <c:v>-6</c:v>
                </c:pt>
                <c:pt idx="244">
                  <c:v>-16</c:v>
                </c:pt>
                <c:pt idx="245">
                  <c:v>-16</c:v>
                </c:pt>
                <c:pt idx="246">
                  <c:v>-14</c:v>
                </c:pt>
                <c:pt idx="247">
                  <c:v>-33</c:v>
                </c:pt>
                <c:pt idx="248">
                  <c:v>-7</c:v>
                </c:pt>
                <c:pt idx="249">
                  <c:v>-5</c:v>
                </c:pt>
                <c:pt idx="250">
                  <c:v>-3</c:v>
                </c:pt>
                <c:pt idx="251">
                  <c:v>-3</c:v>
                </c:pt>
                <c:pt idx="252">
                  <c:v>-5</c:v>
                </c:pt>
                <c:pt idx="253">
                  <c:v>-3</c:v>
                </c:pt>
                <c:pt idx="254">
                  <c:v>-2</c:v>
                </c:pt>
                <c:pt idx="255">
                  <c:v>-5</c:v>
                </c:pt>
                <c:pt idx="256">
                  <c:v>-25</c:v>
                </c:pt>
                <c:pt idx="257">
                  <c:v>-25</c:v>
                </c:pt>
                <c:pt idx="258">
                  <c:v>-17</c:v>
                </c:pt>
                <c:pt idx="259">
                  <c:v>-40</c:v>
                </c:pt>
                <c:pt idx="260">
                  <c:v>-42</c:v>
                </c:pt>
                <c:pt idx="261">
                  <c:v>-29</c:v>
                </c:pt>
                <c:pt idx="262">
                  <c:v>-27</c:v>
                </c:pt>
                <c:pt idx="263">
                  <c:v>-16</c:v>
                </c:pt>
                <c:pt idx="264">
                  <c:v>-10</c:v>
                </c:pt>
                <c:pt idx="265">
                  <c:v>-18</c:v>
                </c:pt>
                <c:pt idx="266">
                  <c:v>-29</c:v>
                </c:pt>
                <c:pt idx="267">
                  <c:v>-51</c:v>
                </c:pt>
                <c:pt idx="268">
                  <c:v>-20</c:v>
                </c:pt>
                <c:pt idx="269">
                  <c:v>-30</c:v>
                </c:pt>
                <c:pt idx="270">
                  <c:v>-27</c:v>
                </c:pt>
                <c:pt idx="271">
                  <c:v>-14</c:v>
                </c:pt>
                <c:pt idx="272">
                  <c:v>-6</c:v>
                </c:pt>
                <c:pt idx="273">
                  <c:v>-17</c:v>
                </c:pt>
                <c:pt idx="274">
                  <c:v>-10</c:v>
                </c:pt>
                <c:pt idx="275">
                  <c:v>-17</c:v>
                </c:pt>
                <c:pt idx="276">
                  <c:v>-61</c:v>
                </c:pt>
                <c:pt idx="277">
                  <c:v>-32</c:v>
                </c:pt>
                <c:pt idx="278">
                  <c:v>-26</c:v>
                </c:pt>
                <c:pt idx="279">
                  <c:v>-62</c:v>
                </c:pt>
                <c:pt idx="280">
                  <c:v>-55</c:v>
                </c:pt>
                <c:pt idx="281">
                  <c:v>-76</c:v>
                </c:pt>
                <c:pt idx="282">
                  <c:v>-48</c:v>
                </c:pt>
                <c:pt idx="283">
                  <c:v>-97</c:v>
                </c:pt>
                <c:pt idx="284">
                  <c:v>-59</c:v>
                </c:pt>
                <c:pt idx="285">
                  <c:v>-65</c:v>
                </c:pt>
                <c:pt idx="286">
                  <c:v>-26</c:v>
                </c:pt>
                <c:pt idx="287">
                  <c:v>-4</c:v>
                </c:pt>
                <c:pt idx="288">
                  <c:v>-4</c:v>
                </c:pt>
                <c:pt idx="289">
                  <c:v>-23</c:v>
                </c:pt>
                <c:pt idx="290">
                  <c:v>-24</c:v>
                </c:pt>
                <c:pt idx="291">
                  <c:v>-23</c:v>
                </c:pt>
                <c:pt idx="292">
                  <c:v>-4</c:v>
                </c:pt>
                <c:pt idx="293">
                  <c:v>-21</c:v>
                </c:pt>
                <c:pt idx="294">
                  <c:v>-8</c:v>
                </c:pt>
                <c:pt idx="295">
                  <c:v>-2</c:v>
                </c:pt>
                <c:pt idx="296">
                  <c:v>-10</c:v>
                </c:pt>
                <c:pt idx="297">
                  <c:v>-12</c:v>
                </c:pt>
                <c:pt idx="298">
                  <c:v>-81</c:v>
                </c:pt>
                <c:pt idx="299">
                  <c:v>-16</c:v>
                </c:pt>
                <c:pt idx="300">
                  <c:v>-25</c:v>
                </c:pt>
                <c:pt idx="301">
                  <c:v>-11</c:v>
                </c:pt>
                <c:pt idx="302">
                  <c:v>-4</c:v>
                </c:pt>
                <c:pt idx="303">
                  <c:v>-3</c:v>
                </c:pt>
                <c:pt idx="304">
                  <c:v>-32</c:v>
                </c:pt>
                <c:pt idx="305">
                  <c:v>-35</c:v>
                </c:pt>
                <c:pt idx="306">
                  <c:v>-99</c:v>
                </c:pt>
                <c:pt idx="307">
                  <c:v>-121</c:v>
                </c:pt>
                <c:pt idx="308">
                  <c:v>-6</c:v>
                </c:pt>
                <c:pt idx="309">
                  <c:v>-30</c:v>
                </c:pt>
                <c:pt idx="310">
                  <c:v>-28</c:v>
                </c:pt>
                <c:pt idx="311">
                  <c:v>-141</c:v>
                </c:pt>
                <c:pt idx="312">
                  <c:v>-21</c:v>
                </c:pt>
                <c:pt idx="313">
                  <c:v>-2</c:v>
                </c:pt>
                <c:pt idx="314">
                  <c:v>-9</c:v>
                </c:pt>
                <c:pt idx="315">
                  <c:v>-2</c:v>
                </c:pt>
                <c:pt idx="316">
                  <c:v>-14</c:v>
                </c:pt>
                <c:pt idx="317">
                  <c:v>-12</c:v>
                </c:pt>
                <c:pt idx="318">
                  <c:v>-13</c:v>
                </c:pt>
                <c:pt idx="319">
                  <c:v>-18</c:v>
                </c:pt>
                <c:pt idx="320">
                  <c:v>-28</c:v>
                </c:pt>
                <c:pt idx="321">
                  <c:v>-22</c:v>
                </c:pt>
                <c:pt idx="322">
                  <c:v>-13</c:v>
                </c:pt>
                <c:pt idx="323">
                  <c:v>-15</c:v>
                </c:pt>
                <c:pt idx="324">
                  <c:v>-25</c:v>
                </c:pt>
                <c:pt idx="325">
                  <c:v>-21</c:v>
                </c:pt>
                <c:pt idx="326">
                  <c:v>-43</c:v>
                </c:pt>
                <c:pt idx="327">
                  <c:v>-27</c:v>
                </c:pt>
                <c:pt idx="328">
                  <c:v>-72</c:v>
                </c:pt>
                <c:pt idx="329">
                  <c:v>-42</c:v>
                </c:pt>
                <c:pt idx="330">
                  <c:v>-58</c:v>
                </c:pt>
                <c:pt idx="331">
                  <c:v>-28</c:v>
                </c:pt>
                <c:pt idx="332">
                  <c:v>-56</c:v>
                </c:pt>
                <c:pt idx="333">
                  <c:v>-64</c:v>
                </c:pt>
                <c:pt idx="334">
                  <c:v>-31</c:v>
                </c:pt>
                <c:pt idx="335">
                  <c:v>-27</c:v>
                </c:pt>
                <c:pt idx="336">
                  <c:v>-105</c:v>
                </c:pt>
                <c:pt idx="337">
                  <c:v>-98</c:v>
                </c:pt>
                <c:pt idx="338">
                  <c:v>-906</c:v>
                </c:pt>
                <c:pt idx="339">
                  <c:v>-319</c:v>
                </c:pt>
                <c:pt idx="340">
                  <c:v>-174</c:v>
                </c:pt>
                <c:pt idx="341">
                  <c:v>-96</c:v>
                </c:pt>
                <c:pt idx="342">
                  <c:v>-21</c:v>
                </c:pt>
                <c:pt idx="343">
                  <c:v>-14</c:v>
                </c:pt>
                <c:pt idx="344">
                  <c:v>-32</c:v>
                </c:pt>
                <c:pt idx="345">
                  <c:v>-4</c:v>
                </c:pt>
                <c:pt idx="346">
                  <c:v>-12</c:v>
                </c:pt>
                <c:pt idx="347">
                  <c:v>-9</c:v>
                </c:pt>
                <c:pt idx="348">
                  <c:v>-15</c:v>
                </c:pt>
                <c:pt idx="349">
                  <c:v>-24</c:v>
                </c:pt>
                <c:pt idx="350">
                  <c:v>-27</c:v>
                </c:pt>
                <c:pt idx="351">
                  <c:v>-45</c:v>
                </c:pt>
                <c:pt idx="352">
                  <c:v>-19</c:v>
                </c:pt>
                <c:pt idx="353">
                  <c:v>-8</c:v>
                </c:pt>
                <c:pt idx="354">
                  <c:v>-7</c:v>
                </c:pt>
                <c:pt idx="355">
                  <c:v>-10</c:v>
                </c:pt>
                <c:pt idx="356">
                  <c:v>-48</c:v>
                </c:pt>
                <c:pt idx="357">
                  <c:v>-21</c:v>
                </c:pt>
                <c:pt idx="358">
                  <c:v>-20</c:v>
                </c:pt>
                <c:pt idx="359">
                  <c:v>-12</c:v>
                </c:pt>
                <c:pt idx="360">
                  <c:v>-17</c:v>
                </c:pt>
                <c:pt idx="361">
                  <c:v>-25</c:v>
                </c:pt>
                <c:pt idx="362">
                  <c:v>-18</c:v>
                </c:pt>
                <c:pt idx="363">
                  <c:v>-24</c:v>
                </c:pt>
                <c:pt idx="364">
                  <c:v>-24</c:v>
                </c:pt>
                <c:pt idx="365">
                  <c:v>-24</c:v>
                </c:pt>
                <c:pt idx="366">
                  <c:v>-13</c:v>
                </c:pt>
                <c:pt idx="367">
                  <c:v>-21</c:v>
                </c:pt>
                <c:pt idx="368">
                  <c:v>-4</c:v>
                </c:pt>
                <c:pt idx="369">
                  <c:v>-13</c:v>
                </c:pt>
                <c:pt idx="370">
                  <c:v>-15</c:v>
                </c:pt>
                <c:pt idx="371">
                  <c:v>-16</c:v>
                </c:pt>
                <c:pt idx="372">
                  <c:v>-12</c:v>
                </c:pt>
                <c:pt idx="373">
                  <c:v>-5</c:v>
                </c:pt>
                <c:pt idx="374">
                  <c:v>-16</c:v>
                </c:pt>
                <c:pt idx="375">
                  <c:v>-14</c:v>
                </c:pt>
                <c:pt idx="376">
                  <c:v>-8</c:v>
                </c:pt>
                <c:pt idx="377">
                  <c:v>-9</c:v>
                </c:pt>
                <c:pt idx="378">
                  <c:v>-1</c:v>
                </c:pt>
                <c:pt idx="379">
                  <c:v>-8</c:v>
                </c:pt>
                <c:pt idx="380">
                  <c:v>-3</c:v>
                </c:pt>
                <c:pt idx="381">
                  <c:v>-62</c:v>
                </c:pt>
                <c:pt idx="382">
                  <c:v>-29</c:v>
                </c:pt>
                <c:pt idx="383">
                  <c:v>-39</c:v>
                </c:pt>
                <c:pt idx="384">
                  <c:v>-19</c:v>
                </c:pt>
                <c:pt idx="385">
                  <c:v>-20</c:v>
                </c:pt>
                <c:pt idx="386">
                  <c:v>-21</c:v>
                </c:pt>
                <c:pt idx="387">
                  <c:v>-10</c:v>
                </c:pt>
                <c:pt idx="388">
                  <c:v>-15</c:v>
                </c:pt>
                <c:pt idx="389">
                  <c:v>-37</c:v>
                </c:pt>
                <c:pt idx="390">
                  <c:v>-25</c:v>
                </c:pt>
                <c:pt idx="391">
                  <c:v>-14</c:v>
                </c:pt>
                <c:pt idx="392">
                  <c:v>-27</c:v>
                </c:pt>
                <c:pt idx="393">
                  <c:v>-56</c:v>
                </c:pt>
                <c:pt idx="394">
                  <c:v>-6</c:v>
                </c:pt>
                <c:pt idx="395">
                  <c:v>-11</c:v>
                </c:pt>
                <c:pt idx="396">
                  <c:v>-14</c:v>
                </c:pt>
                <c:pt idx="397">
                  <c:v>-3</c:v>
                </c:pt>
                <c:pt idx="398">
                  <c:v>-16</c:v>
                </c:pt>
                <c:pt idx="399">
                  <c:v>-30</c:v>
                </c:pt>
                <c:pt idx="400">
                  <c:v>-15</c:v>
                </c:pt>
                <c:pt idx="401">
                  <c:v>-5</c:v>
                </c:pt>
                <c:pt idx="402">
                  <c:v>-2</c:v>
                </c:pt>
                <c:pt idx="403">
                  <c:v>-15</c:v>
                </c:pt>
                <c:pt idx="404">
                  <c:v>-18</c:v>
                </c:pt>
                <c:pt idx="405">
                  <c:v>-75</c:v>
                </c:pt>
                <c:pt idx="406">
                  <c:v>-39</c:v>
                </c:pt>
                <c:pt idx="407">
                  <c:v>-23</c:v>
                </c:pt>
                <c:pt idx="408">
                  <c:v>-16</c:v>
                </c:pt>
                <c:pt idx="409">
                  <c:v>-11</c:v>
                </c:pt>
                <c:pt idx="410">
                  <c:v>-5</c:v>
                </c:pt>
                <c:pt idx="411">
                  <c:v>-4</c:v>
                </c:pt>
                <c:pt idx="412">
                  <c:v>-1</c:v>
                </c:pt>
                <c:pt idx="413">
                  <c:v>-11</c:v>
                </c:pt>
                <c:pt idx="414">
                  <c:v>-15</c:v>
                </c:pt>
                <c:pt idx="415">
                  <c:v>-3</c:v>
                </c:pt>
                <c:pt idx="416">
                  <c:v>-7</c:v>
                </c:pt>
                <c:pt idx="417">
                  <c:v>-6</c:v>
                </c:pt>
                <c:pt idx="418">
                  <c:v>-22</c:v>
                </c:pt>
                <c:pt idx="419">
                  <c:v>-13</c:v>
                </c:pt>
                <c:pt idx="420">
                  <c:v>-8</c:v>
                </c:pt>
                <c:pt idx="421">
                  <c:v>-54</c:v>
                </c:pt>
                <c:pt idx="422">
                  <c:v>-34</c:v>
                </c:pt>
                <c:pt idx="423">
                  <c:v>-35</c:v>
                </c:pt>
                <c:pt idx="424">
                  <c:v>-20</c:v>
                </c:pt>
                <c:pt idx="425">
                  <c:v>-23</c:v>
                </c:pt>
                <c:pt idx="426">
                  <c:v>-73</c:v>
                </c:pt>
                <c:pt idx="427">
                  <c:v>-30</c:v>
                </c:pt>
                <c:pt idx="428">
                  <c:v>-11</c:v>
                </c:pt>
                <c:pt idx="429">
                  <c:v>-13</c:v>
                </c:pt>
                <c:pt idx="430">
                  <c:v>-1</c:v>
                </c:pt>
                <c:pt idx="431">
                  <c:v>-10</c:v>
                </c:pt>
                <c:pt idx="432">
                  <c:v>-12</c:v>
                </c:pt>
                <c:pt idx="433">
                  <c:v>-16</c:v>
                </c:pt>
                <c:pt idx="434">
                  <c:v>-13</c:v>
                </c:pt>
                <c:pt idx="435">
                  <c:v>-12</c:v>
                </c:pt>
                <c:pt idx="436">
                  <c:v>-59</c:v>
                </c:pt>
                <c:pt idx="437">
                  <c:v>-37</c:v>
                </c:pt>
                <c:pt idx="438">
                  <c:v>-41</c:v>
                </c:pt>
                <c:pt idx="439">
                  <c:v>-3</c:v>
                </c:pt>
                <c:pt idx="440">
                  <c:v>-10</c:v>
                </c:pt>
                <c:pt idx="441">
                  <c:v>-5</c:v>
                </c:pt>
                <c:pt idx="442">
                  <c:v>-19</c:v>
                </c:pt>
                <c:pt idx="443">
                  <c:v>-20</c:v>
                </c:pt>
                <c:pt idx="444">
                  <c:v>-7</c:v>
                </c:pt>
                <c:pt idx="445">
                  <c:v>-29</c:v>
                </c:pt>
                <c:pt idx="446">
                  <c:v>-34</c:v>
                </c:pt>
                <c:pt idx="447">
                  <c:v>-33</c:v>
                </c:pt>
                <c:pt idx="448">
                  <c:v>-57</c:v>
                </c:pt>
                <c:pt idx="449">
                  <c:v>-18</c:v>
                </c:pt>
                <c:pt idx="450">
                  <c:v>-11</c:v>
                </c:pt>
                <c:pt idx="451">
                  <c:v>-7</c:v>
                </c:pt>
                <c:pt idx="452">
                  <c:v>-6</c:v>
                </c:pt>
                <c:pt idx="453">
                  <c:v>-8</c:v>
                </c:pt>
                <c:pt idx="454">
                  <c:v>-6</c:v>
                </c:pt>
                <c:pt idx="455">
                  <c:v>-7</c:v>
                </c:pt>
                <c:pt idx="456">
                  <c:v>-21</c:v>
                </c:pt>
                <c:pt idx="457">
                  <c:v>-24</c:v>
                </c:pt>
                <c:pt idx="458">
                  <c:v>-35</c:v>
                </c:pt>
                <c:pt idx="459">
                  <c:v>-48</c:v>
                </c:pt>
                <c:pt idx="460">
                  <c:v>-18</c:v>
                </c:pt>
                <c:pt idx="461">
                  <c:v>-20</c:v>
                </c:pt>
                <c:pt idx="462">
                  <c:v>-103</c:v>
                </c:pt>
                <c:pt idx="463">
                  <c:v>-56</c:v>
                </c:pt>
                <c:pt idx="464">
                  <c:v>-15</c:v>
                </c:pt>
                <c:pt idx="465">
                  <c:v>-4</c:v>
                </c:pt>
                <c:pt idx="466">
                  <c:v>-14</c:v>
                </c:pt>
                <c:pt idx="467">
                  <c:v>-5</c:v>
                </c:pt>
                <c:pt idx="468">
                  <c:v>-4</c:v>
                </c:pt>
                <c:pt idx="469">
                  <c:v>-3</c:v>
                </c:pt>
                <c:pt idx="470">
                  <c:v>-8</c:v>
                </c:pt>
                <c:pt idx="471">
                  <c:v>-5</c:v>
                </c:pt>
                <c:pt idx="472">
                  <c:v>-8</c:v>
                </c:pt>
                <c:pt idx="473">
                  <c:v>-16</c:v>
                </c:pt>
                <c:pt idx="474">
                  <c:v>-5</c:v>
                </c:pt>
                <c:pt idx="475">
                  <c:v>-12</c:v>
                </c:pt>
                <c:pt idx="476">
                  <c:v>-4</c:v>
                </c:pt>
                <c:pt idx="477">
                  <c:v>-9</c:v>
                </c:pt>
                <c:pt idx="478">
                  <c:v>-14</c:v>
                </c:pt>
                <c:pt idx="479">
                  <c:v>-27</c:v>
                </c:pt>
                <c:pt idx="480">
                  <c:v>-40</c:v>
                </c:pt>
                <c:pt idx="481">
                  <c:v>-8</c:v>
                </c:pt>
                <c:pt idx="482">
                  <c:v>-19</c:v>
                </c:pt>
                <c:pt idx="483">
                  <c:v>-18</c:v>
                </c:pt>
                <c:pt idx="484">
                  <c:v>-2</c:v>
                </c:pt>
                <c:pt idx="485">
                  <c:v>-6</c:v>
                </c:pt>
                <c:pt idx="486">
                  <c:v>-8</c:v>
                </c:pt>
                <c:pt idx="487">
                  <c:v>-17</c:v>
                </c:pt>
                <c:pt idx="488">
                  <c:v>-5</c:v>
                </c:pt>
                <c:pt idx="489">
                  <c:v>-19</c:v>
                </c:pt>
                <c:pt idx="490">
                  <c:v>-9</c:v>
                </c:pt>
                <c:pt idx="491">
                  <c:v>-14</c:v>
                </c:pt>
                <c:pt idx="492">
                  <c:v>-9</c:v>
                </c:pt>
                <c:pt idx="493">
                  <c:v>-8</c:v>
                </c:pt>
                <c:pt idx="494">
                  <c:v>-8</c:v>
                </c:pt>
                <c:pt idx="495">
                  <c:v>-20</c:v>
                </c:pt>
                <c:pt idx="496">
                  <c:v>-11</c:v>
                </c:pt>
                <c:pt idx="497">
                  <c:v>-13</c:v>
                </c:pt>
                <c:pt idx="498">
                  <c:v>-32</c:v>
                </c:pt>
                <c:pt idx="499">
                  <c:v>-43</c:v>
                </c:pt>
                <c:pt idx="500">
                  <c:v>-18</c:v>
                </c:pt>
                <c:pt idx="501">
                  <c:v>-19</c:v>
                </c:pt>
                <c:pt idx="502">
                  <c:v>-27</c:v>
                </c:pt>
                <c:pt idx="503">
                  <c:v>-11</c:v>
                </c:pt>
                <c:pt idx="504">
                  <c:v>-14</c:v>
                </c:pt>
                <c:pt idx="505">
                  <c:v>-10</c:v>
                </c:pt>
                <c:pt idx="506">
                  <c:v>-10</c:v>
                </c:pt>
                <c:pt idx="507">
                  <c:v>-7</c:v>
                </c:pt>
                <c:pt idx="508">
                  <c:v>-6</c:v>
                </c:pt>
                <c:pt idx="509">
                  <c:v>-10</c:v>
                </c:pt>
                <c:pt idx="510">
                  <c:v>-14</c:v>
                </c:pt>
                <c:pt idx="511">
                  <c:v>-15</c:v>
                </c:pt>
                <c:pt idx="512">
                  <c:v>-3</c:v>
                </c:pt>
                <c:pt idx="513">
                  <c:v>-3</c:v>
                </c:pt>
                <c:pt idx="514">
                  <c:v>-3</c:v>
                </c:pt>
                <c:pt idx="515">
                  <c:v>-9</c:v>
                </c:pt>
                <c:pt idx="516">
                  <c:v>-12</c:v>
                </c:pt>
                <c:pt idx="517">
                  <c:v>-9</c:v>
                </c:pt>
                <c:pt idx="518">
                  <c:v>-12</c:v>
                </c:pt>
                <c:pt idx="519">
                  <c:v>-7</c:v>
                </c:pt>
                <c:pt idx="520">
                  <c:v>-18</c:v>
                </c:pt>
                <c:pt idx="521">
                  <c:v>-11</c:v>
                </c:pt>
                <c:pt idx="522">
                  <c:v>-1</c:v>
                </c:pt>
                <c:pt idx="523">
                  <c:v>-14</c:v>
                </c:pt>
                <c:pt idx="524">
                  <c:v>-2</c:v>
                </c:pt>
                <c:pt idx="525">
                  <c:v>-4</c:v>
                </c:pt>
                <c:pt idx="526">
                  <c:v>-7</c:v>
                </c:pt>
                <c:pt idx="527">
                  <c:v>-8</c:v>
                </c:pt>
                <c:pt idx="528">
                  <c:v>-4</c:v>
                </c:pt>
                <c:pt idx="529">
                  <c:v>-3</c:v>
                </c:pt>
                <c:pt idx="530">
                  <c:v>-5</c:v>
                </c:pt>
                <c:pt idx="531">
                  <c:v>-6</c:v>
                </c:pt>
                <c:pt idx="532">
                  <c:v>-1</c:v>
                </c:pt>
                <c:pt idx="533">
                  <c:v>-3</c:v>
                </c:pt>
                <c:pt idx="534">
                  <c:v>0</c:v>
                </c:pt>
                <c:pt idx="535">
                  <c:v>-11</c:v>
                </c:pt>
                <c:pt idx="536">
                  <c:v>-9</c:v>
                </c:pt>
                <c:pt idx="537">
                  <c:v>-9</c:v>
                </c:pt>
                <c:pt idx="538">
                  <c:v>-4</c:v>
                </c:pt>
                <c:pt idx="539">
                  <c:v>-1</c:v>
                </c:pt>
                <c:pt idx="540">
                  <c:v>-3</c:v>
                </c:pt>
                <c:pt idx="541">
                  <c:v>-2</c:v>
                </c:pt>
                <c:pt idx="542">
                  <c:v>-2</c:v>
                </c:pt>
                <c:pt idx="543">
                  <c:v>-3</c:v>
                </c:pt>
                <c:pt idx="544">
                  <c:v>-2</c:v>
                </c:pt>
                <c:pt idx="545">
                  <c:v>-7</c:v>
                </c:pt>
                <c:pt idx="546">
                  <c:v>-4</c:v>
                </c:pt>
                <c:pt idx="547">
                  <c:v>-6</c:v>
                </c:pt>
                <c:pt idx="548">
                  <c:v>-3</c:v>
                </c:pt>
                <c:pt idx="549">
                  <c:v>-2</c:v>
                </c:pt>
                <c:pt idx="550">
                  <c:v>-2</c:v>
                </c:pt>
                <c:pt idx="551">
                  <c:v>-7</c:v>
                </c:pt>
                <c:pt idx="552">
                  <c:v>-4</c:v>
                </c:pt>
                <c:pt idx="553">
                  <c:v>-4</c:v>
                </c:pt>
                <c:pt idx="554">
                  <c:v>0</c:v>
                </c:pt>
                <c:pt idx="555">
                  <c:v>-13</c:v>
                </c:pt>
                <c:pt idx="556">
                  <c:v>-3</c:v>
                </c:pt>
                <c:pt idx="557">
                  <c:v>-12</c:v>
                </c:pt>
                <c:pt idx="558">
                  <c:v>-7</c:v>
                </c:pt>
                <c:pt idx="559">
                  <c:v>-4</c:v>
                </c:pt>
                <c:pt idx="560">
                  <c:v>-6</c:v>
                </c:pt>
                <c:pt idx="561">
                  <c:v>-10</c:v>
                </c:pt>
                <c:pt idx="562">
                  <c:v>-6</c:v>
                </c:pt>
                <c:pt idx="563">
                  <c:v>-8</c:v>
                </c:pt>
                <c:pt idx="564">
                  <c:v>-7</c:v>
                </c:pt>
                <c:pt idx="565">
                  <c:v>-5</c:v>
                </c:pt>
                <c:pt idx="566">
                  <c:v>-5</c:v>
                </c:pt>
                <c:pt idx="567">
                  <c:v>-2</c:v>
                </c:pt>
                <c:pt idx="568">
                  <c:v>-8</c:v>
                </c:pt>
                <c:pt idx="569">
                  <c:v>-10</c:v>
                </c:pt>
                <c:pt idx="570">
                  <c:v>-2</c:v>
                </c:pt>
                <c:pt idx="571">
                  <c:v>-26</c:v>
                </c:pt>
                <c:pt idx="572">
                  <c:v>-7</c:v>
                </c:pt>
                <c:pt idx="573">
                  <c:v>-4</c:v>
                </c:pt>
                <c:pt idx="574">
                  <c:v>-5</c:v>
                </c:pt>
                <c:pt idx="575">
                  <c:v>-10</c:v>
                </c:pt>
                <c:pt idx="576">
                  <c:v>-12</c:v>
                </c:pt>
                <c:pt idx="577">
                  <c:v>-10</c:v>
                </c:pt>
                <c:pt idx="578">
                  <c:v>-9</c:v>
                </c:pt>
                <c:pt idx="579">
                  <c:v>-12</c:v>
                </c:pt>
                <c:pt idx="580">
                  <c:v>-40</c:v>
                </c:pt>
                <c:pt idx="581">
                  <c:v>-40</c:v>
                </c:pt>
                <c:pt idx="582">
                  <c:v>-72</c:v>
                </c:pt>
                <c:pt idx="583">
                  <c:v>-61</c:v>
                </c:pt>
                <c:pt idx="584">
                  <c:v>-56</c:v>
                </c:pt>
                <c:pt idx="585">
                  <c:v>-27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A-430A-9FEA-5B63305228EB}"/>
            </c:ext>
          </c:extLst>
        </c:ser>
        <c:ser>
          <c:idx val="3"/>
          <c:order val="3"/>
          <c:tx>
            <c:strRef>
              <c:f>情绪数据!$F$1</c:f>
              <c:strCache>
                <c:ptCount val="1"/>
                <c:pt idx="0">
                  <c:v>盘中超跌-5%计数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情绪数据!$A$2:$A$20</c:f>
              <c:numCache>
                <c:formatCode>m/d/yyyy</c:formatCode>
                <c:ptCount val="19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</c:numCache>
            </c:numRef>
          </c:cat>
          <c:val>
            <c:numRef>
              <c:f>情绪数据!盘中超跌</c:f>
              <c:numCache>
                <c:formatCode>0_ ;[Red]\-0\ </c:formatCode>
                <c:ptCount val="586"/>
                <c:pt idx="0">
                  <c:v>-158</c:v>
                </c:pt>
                <c:pt idx="1">
                  <c:v>-64</c:v>
                </c:pt>
                <c:pt idx="2">
                  <c:v>-110</c:v>
                </c:pt>
                <c:pt idx="3">
                  <c:v>-180</c:v>
                </c:pt>
                <c:pt idx="4">
                  <c:v>-95</c:v>
                </c:pt>
                <c:pt idx="5">
                  <c:v>-116</c:v>
                </c:pt>
                <c:pt idx="6">
                  <c:v>-107</c:v>
                </c:pt>
                <c:pt idx="7">
                  <c:v>-323</c:v>
                </c:pt>
                <c:pt idx="8">
                  <c:v>-203</c:v>
                </c:pt>
                <c:pt idx="9">
                  <c:v>-639</c:v>
                </c:pt>
                <c:pt idx="10">
                  <c:v>-217</c:v>
                </c:pt>
                <c:pt idx="11">
                  <c:v>-219</c:v>
                </c:pt>
                <c:pt idx="12">
                  <c:v>-363</c:v>
                </c:pt>
                <c:pt idx="13">
                  <c:v>-261</c:v>
                </c:pt>
                <c:pt idx="14">
                  <c:v>-149</c:v>
                </c:pt>
                <c:pt idx="15">
                  <c:v>-82</c:v>
                </c:pt>
                <c:pt idx="16">
                  <c:v>-517</c:v>
                </c:pt>
                <c:pt idx="17">
                  <c:v>-200</c:v>
                </c:pt>
                <c:pt idx="18">
                  <c:v>-639</c:v>
                </c:pt>
                <c:pt idx="19">
                  <c:v>-208</c:v>
                </c:pt>
                <c:pt idx="20">
                  <c:v>-490</c:v>
                </c:pt>
                <c:pt idx="21">
                  <c:v>-488</c:v>
                </c:pt>
                <c:pt idx="22">
                  <c:v>-151</c:v>
                </c:pt>
                <c:pt idx="23">
                  <c:v>-73</c:v>
                </c:pt>
                <c:pt idx="24">
                  <c:v>-129</c:v>
                </c:pt>
                <c:pt idx="25">
                  <c:v>-312</c:v>
                </c:pt>
                <c:pt idx="26">
                  <c:v>-591</c:v>
                </c:pt>
                <c:pt idx="27">
                  <c:v>-1605</c:v>
                </c:pt>
                <c:pt idx="28">
                  <c:v>-643</c:v>
                </c:pt>
                <c:pt idx="29">
                  <c:v>-1029</c:v>
                </c:pt>
                <c:pt idx="30">
                  <c:v>-202</c:v>
                </c:pt>
                <c:pt idx="31">
                  <c:v>-784</c:v>
                </c:pt>
                <c:pt idx="32">
                  <c:v>-492</c:v>
                </c:pt>
                <c:pt idx="33">
                  <c:v>-243</c:v>
                </c:pt>
                <c:pt idx="34">
                  <c:v>-106</c:v>
                </c:pt>
                <c:pt idx="35">
                  <c:v>-226</c:v>
                </c:pt>
                <c:pt idx="36">
                  <c:v>-155</c:v>
                </c:pt>
                <c:pt idx="37">
                  <c:v>-123</c:v>
                </c:pt>
                <c:pt idx="38">
                  <c:v>-337</c:v>
                </c:pt>
                <c:pt idx="39">
                  <c:v>-657</c:v>
                </c:pt>
                <c:pt idx="40">
                  <c:v>-529</c:v>
                </c:pt>
                <c:pt idx="41">
                  <c:v>-342</c:v>
                </c:pt>
                <c:pt idx="42">
                  <c:v>-533</c:v>
                </c:pt>
                <c:pt idx="43">
                  <c:v>-932</c:v>
                </c:pt>
                <c:pt idx="44">
                  <c:v>-503</c:v>
                </c:pt>
                <c:pt idx="45">
                  <c:v>-268</c:v>
                </c:pt>
                <c:pt idx="46">
                  <c:v>-551</c:v>
                </c:pt>
                <c:pt idx="47">
                  <c:v>-1259</c:v>
                </c:pt>
                <c:pt idx="48">
                  <c:v>-617</c:v>
                </c:pt>
                <c:pt idx="49">
                  <c:v>-314</c:v>
                </c:pt>
                <c:pt idx="50">
                  <c:v>-80</c:v>
                </c:pt>
                <c:pt idx="51">
                  <c:v>-117</c:v>
                </c:pt>
                <c:pt idx="52">
                  <c:v>-125</c:v>
                </c:pt>
                <c:pt idx="53">
                  <c:v>-204</c:v>
                </c:pt>
                <c:pt idx="54">
                  <c:v>-224</c:v>
                </c:pt>
                <c:pt idx="55">
                  <c:v>-302</c:v>
                </c:pt>
                <c:pt idx="56">
                  <c:v>-360</c:v>
                </c:pt>
                <c:pt idx="57">
                  <c:v>-227</c:v>
                </c:pt>
                <c:pt idx="58">
                  <c:v>-520</c:v>
                </c:pt>
                <c:pt idx="59">
                  <c:v>-92</c:v>
                </c:pt>
                <c:pt idx="60">
                  <c:v>-266</c:v>
                </c:pt>
                <c:pt idx="61">
                  <c:v>-117</c:v>
                </c:pt>
                <c:pt idx="62">
                  <c:v>-425</c:v>
                </c:pt>
                <c:pt idx="63">
                  <c:v>-294</c:v>
                </c:pt>
                <c:pt idx="64">
                  <c:v>-420</c:v>
                </c:pt>
                <c:pt idx="65">
                  <c:v>-1699</c:v>
                </c:pt>
                <c:pt idx="66">
                  <c:v>-377</c:v>
                </c:pt>
                <c:pt idx="67">
                  <c:v>-106</c:v>
                </c:pt>
                <c:pt idx="68">
                  <c:v>-159</c:v>
                </c:pt>
                <c:pt idx="69">
                  <c:v>-349</c:v>
                </c:pt>
                <c:pt idx="70">
                  <c:v>-143</c:v>
                </c:pt>
                <c:pt idx="71">
                  <c:v>-143</c:v>
                </c:pt>
                <c:pt idx="72">
                  <c:v>-101</c:v>
                </c:pt>
                <c:pt idx="73">
                  <c:v>-239</c:v>
                </c:pt>
                <c:pt idx="74">
                  <c:v>-59</c:v>
                </c:pt>
                <c:pt idx="75">
                  <c:v>-512</c:v>
                </c:pt>
                <c:pt idx="76">
                  <c:v>-440</c:v>
                </c:pt>
                <c:pt idx="77">
                  <c:v>-337</c:v>
                </c:pt>
                <c:pt idx="78">
                  <c:v>-67</c:v>
                </c:pt>
                <c:pt idx="79">
                  <c:v>-150</c:v>
                </c:pt>
                <c:pt idx="80">
                  <c:v>-341</c:v>
                </c:pt>
                <c:pt idx="81">
                  <c:v>-230</c:v>
                </c:pt>
                <c:pt idx="82">
                  <c:v>-174</c:v>
                </c:pt>
                <c:pt idx="83">
                  <c:v>-132</c:v>
                </c:pt>
                <c:pt idx="84">
                  <c:v>-85</c:v>
                </c:pt>
                <c:pt idx="85">
                  <c:v>-123</c:v>
                </c:pt>
                <c:pt idx="86">
                  <c:v>-216</c:v>
                </c:pt>
                <c:pt idx="87">
                  <c:v>-181</c:v>
                </c:pt>
                <c:pt idx="88">
                  <c:v>-506</c:v>
                </c:pt>
                <c:pt idx="89">
                  <c:v>-376</c:v>
                </c:pt>
                <c:pt idx="90">
                  <c:v>-166</c:v>
                </c:pt>
                <c:pt idx="91">
                  <c:v>-332</c:v>
                </c:pt>
                <c:pt idx="92">
                  <c:v>-106</c:v>
                </c:pt>
                <c:pt idx="93">
                  <c:v>-100</c:v>
                </c:pt>
                <c:pt idx="94">
                  <c:v>-140</c:v>
                </c:pt>
                <c:pt idx="95">
                  <c:v>-203</c:v>
                </c:pt>
                <c:pt idx="96">
                  <c:v>-94</c:v>
                </c:pt>
                <c:pt idx="97">
                  <c:v>-287</c:v>
                </c:pt>
                <c:pt idx="98">
                  <c:v>-266</c:v>
                </c:pt>
                <c:pt idx="99">
                  <c:v>-482</c:v>
                </c:pt>
                <c:pt idx="100">
                  <c:v>-330</c:v>
                </c:pt>
                <c:pt idx="101">
                  <c:v>-323</c:v>
                </c:pt>
                <c:pt idx="102">
                  <c:v>-466</c:v>
                </c:pt>
                <c:pt idx="103">
                  <c:v>-328</c:v>
                </c:pt>
                <c:pt idx="104">
                  <c:v>-384</c:v>
                </c:pt>
                <c:pt idx="105">
                  <c:v>-270</c:v>
                </c:pt>
                <c:pt idx="106">
                  <c:v>-422</c:v>
                </c:pt>
                <c:pt idx="107">
                  <c:v>-257</c:v>
                </c:pt>
                <c:pt idx="108">
                  <c:v>-108</c:v>
                </c:pt>
                <c:pt idx="109">
                  <c:v>-437</c:v>
                </c:pt>
                <c:pt idx="110">
                  <c:v>-174</c:v>
                </c:pt>
                <c:pt idx="111">
                  <c:v>-140</c:v>
                </c:pt>
                <c:pt idx="112">
                  <c:v>-329</c:v>
                </c:pt>
                <c:pt idx="113">
                  <c:v>-143</c:v>
                </c:pt>
                <c:pt idx="114">
                  <c:v>-206</c:v>
                </c:pt>
                <c:pt idx="115">
                  <c:v>-107</c:v>
                </c:pt>
                <c:pt idx="116">
                  <c:v>-104</c:v>
                </c:pt>
                <c:pt idx="117">
                  <c:v>-87</c:v>
                </c:pt>
                <c:pt idx="118">
                  <c:v>-135</c:v>
                </c:pt>
                <c:pt idx="119">
                  <c:v>-108</c:v>
                </c:pt>
                <c:pt idx="120">
                  <c:v>-124</c:v>
                </c:pt>
                <c:pt idx="121">
                  <c:v>-292</c:v>
                </c:pt>
                <c:pt idx="122">
                  <c:v>-198</c:v>
                </c:pt>
                <c:pt idx="123">
                  <c:v>-202</c:v>
                </c:pt>
                <c:pt idx="124">
                  <c:v>-163</c:v>
                </c:pt>
                <c:pt idx="125">
                  <c:v>-244</c:v>
                </c:pt>
                <c:pt idx="126">
                  <c:v>-162</c:v>
                </c:pt>
                <c:pt idx="127">
                  <c:v>-133</c:v>
                </c:pt>
                <c:pt idx="128">
                  <c:v>-344</c:v>
                </c:pt>
                <c:pt idx="129">
                  <c:v>-430</c:v>
                </c:pt>
                <c:pt idx="130">
                  <c:v>-514</c:v>
                </c:pt>
                <c:pt idx="131">
                  <c:v>-146</c:v>
                </c:pt>
                <c:pt idx="132">
                  <c:v>-167</c:v>
                </c:pt>
                <c:pt idx="133">
                  <c:v>-103</c:v>
                </c:pt>
                <c:pt idx="134">
                  <c:v>-151</c:v>
                </c:pt>
                <c:pt idx="135">
                  <c:v>-147</c:v>
                </c:pt>
                <c:pt idx="136">
                  <c:v>-344</c:v>
                </c:pt>
                <c:pt idx="137">
                  <c:v>-215</c:v>
                </c:pt>
                <c:pt idx="138">
                  <c:v>-164</c:v>
                </c:pt>
                <c:pt idx="139">
                  <c:v>-269</c:v>
                </c:pt>
                <c:pt idx="140">
                  <c:v>-145</c:v>
                </c:pt>
                <c:pt idx="141">
                  <c:v>-556</c:v>
                </c:pt>
                <c:pt idx="142">
                  <c:v>-383</c:v>
                </c:pt>
                <c:pt idx="143">
                  <c:v>-179</c:v>
                </c:pt>
                <c:pt idx="144">
                  <c:v>-413</c:v>
                </c:pt>
                <c:pt idx="145">
                  <c:v>-172</c:v>
                </c:pt>
                <c:pt idx="146">
                  <c:v>-241</c:v>
                </c:pt>
                <c:pt idx="147">
                  <c:v>-305</c:v>
                </c:pt>
                <c:pt idx="148">
                  <c:v>-88</c:v>
                </c:pt>
                <c:pt idx="149">
                  <c:v>-262</c:v>
                </c:pt>
                <c:pt idx="150">
                  <c:v>-321</c:v>
                </c:pt>
                <c:pt idx="151">
                  <c:v>-565</c:v>
                </c:pt>
                <c:pt idx="152">
                  <c:v>-140</c:v>
                </c:pt>
                <c:pt idx="153">
                  <c:v>-324</c:v>
                </c:pt>
                <c:pt idx="154">
                  <c:v>-212</c:v>
                </c:pt>
                <c:pt idx="155">
                  <c:v>-51</c:v>
                </c:pt>
                <c:pt idx="156">
                  <c:v>-220</c:v>
                </c:pt>
                <c:pt idx="157">
                  <c:v>-521</c:v>
                </c:pt>
                <c:pt idx="158">
                  <c:v>-971</c:v>
                </c:pt>
                <c:pt idx="159">
                  <c:v>-832</c:v>
                </c:pt>
                <c:pt idx="160">
                  <c:v>-2101</c:v>
                </c:pt>
                <c:pt idx="161">
                  <c:v>-53</c:v>
                </c:pt>
                <c:pt idx="162">
                  <c:v>-380</c:v>
                </c:pt>
                <c:pt idx="163">
                  <c:v>-367</c:v>
                </c:pt>
                <c:pt idx="164">
                  <c:v>-541</c:v>
                </c:pt>
                <c:pt idx="165">
                  <c:v>-141</c:v>
                </c:pt>
                <c:pt idx="166">
                  <c:v>-647</c:v>
                </c:pt>
                <c:pt idx="167">
                  <c:v>-288</c:v>
                </c:pt>
                <c:pt idx="168">
                  <c:v>-362</c:v>
                </c:pt>
                <c:pt idx="169">
                  <c:v>-196</c:v>
                </c:pt>
                <c:pt idx="170">
                  <c:v>-175</c:v>
                </c:pt>
                <c:pt idx="171">
                  <c:v>-205</c:v>
                </c:pt>
                <c:pt idx="172">
                  <c:v>-253</c:v>
                </c:pt>
                <c:pt idx="173">
                  <c:v>-431</c:v>
                </c:pt>
                <c:pt idx="174">
                  <c:v>-935</c:v>
                </c:pt>
                <c:pt idx="175">
                  <c:v>-275</c:v>
                </c:pt>
                <c:pt idx="176">
                  <c:v>-393</c:v>
                </c:pt>
                <c:pt idx="177">
                  <c:v>-576</c:v>
                </c:pt>
                <c:pt idx="178">
                  <c:v>-40</c:v>
                </c:pt>
                <c:pt idx="179">
                  <c:v>-248</c:v>
                </c:pt>
                <c:pt idx="180">
                  <c:v>-249</c:v>
                </c:pt>
                <c:pt idx="181">
                  <c:v>-380</c:v>
                </c:pt>
                <c:pt idx="182">
                  <c:v>-430</c:v>
                </c:pt>
                <c:pt idx="183">
                  <c:v>-407</c:v>
                </c:pt>
                <c:pt idx="184">
                  <c:v>-579</c:v>
                </c:pt>
                <c:pt idx="185">
                  <c:v>-895</c:v>
                </c:pt>
                <c:pt idx="186">
                  <c:v>-195</c:v>
                </c:pt>
                <c:pt idx="187">
                  <c:v>-468</c:v>
                </c:pt>
                <c:pt idx="188">
                  <c:v>-340</c:v>
                </c:pt>
                <c:pt idx="189">
                  <c:v>-98</c:v>
                </c:pt>
                <c:pt idx="190">
                  <c:v>-197</c:v>
                </c:pt>
                <c:pt idx="191">
                  <c:v>-313</c:v>
                </c:pt>
                <c:pt idx="192">
                  <c:v>-366</c:v>
                </c:pt>
                <c:pt idx="193">
                  <c:v>-429</c:v>
                </c:pt>
                <c:pt idx="194">
                  <c:v>-526</c:v>
                </c:pt>
                <c:pt idx="195">
                  <c:v>-171</c:v>
                </c:pt>
                <c:pt idx="196">
                  <c:v>-476</c:v>
                </c:pt>
                <c:pt idx="197">
                  <c:v>-560</c:v>
                </c:pt>
                <c:pt idx="198">
                  <c:v>-297</c:v>
                </c:pt>
                <c:pt idx="199">
                  <c:v>-277</c:v>
                </c:pt>
                <c:pt idx="200">
                  <c:v>-703</c:v>
                </c:pt>
                <c:pt idx="201">
                  <c:v>-1489</c:v>
                </c:pt>
                <c:pt idx="202">
                  <c:v>-297</c:v>
                </c:pt>
                <c:pt idx="203">
                  <c:v>-950</c:v>
                </c:pt>
                <c:pt idx="204">
                  <c:v>-81</c:v>
                </c:pt>
                <c:pt idx="205">
                  <c:v>-274</c:v>
                </c:pt>
                <c:pt idx="206">
                  <c:v>-374</c:v>
                </c:pt>
                <c:pt idx="207">
                  <c:v>-892</c:v>
                </c:pt>
                <c:pt idx="208">
                  <c:v>-353</c:v>
                </c:pt>
                <c:pt idx="209">
                  <c:v>-222</c:v>
                </c:pt>
                <c:pt idx="210">
                  <c:v>-388</c:v>
                </c:pt>
                <c:pt idx="211">
                  <c:v>-212</c:v>
                </c:pt>
                <c:pt idx="212">
                  <c:v>-95</c:v>
                </c:pt>
                <c:pt idx="213">
                  <c:v>-161</c:v>
                </c:pt>
                <c:pt idx="214">
                  <c:v>-129</c:v>
                </c:pt>
                <c:pt idx="215">
                  <c:v>-281</c:v>
                </c:pt>
                <c:pt idx="216">
                  <c:v>-154</c:v>
                </c:pt>
                <c:pt idx="217">
                  <c:v>-189</c:v>
                </c:pt>
                <c:pt idx="218">
                  <c:v>-525</c:v>
                </c:pt>
                <c:pt idx="219">
                  <c:v>-780</c:v>
                </c:pt>
                <c:pt idx="220">
                  <c:v>-300</c:v>
                </c:pt>
                <c:pt idx="221">
                  <c:v>-233</c:v>
                </c:pt>
                <c:pt idx="222">
                  <c:v>-459</c:v>
                </c:pt>
                <c:pt idx="223">
                  <c:v>-182</c:v>
                </c:pt>
                <c:pt idx="224">
                  <c:v>-44</c:v>
                </c:pt>
                <c:pt idx="225">
                  <c:v>-287</c:v>
                </c:pt>
                <c:pt idx="226">
                  <c:v>-201</c:v>
                </c:pt>
                <c:pt idx="227">
                  <c:v>-54</c:v>
                </c:pt>
                <c:pt idx="228">
                  <c:v>-171</c:v>
                </c:pt>
                <c:pt idx="229">
                  <c:v>-87</c:v>
                </c:pt>
                <c:pt idx="230">
                  <c:v>-78</c:v>
                </c:pt>
                <c:pt idx="231">
                  <c:v>-266</c:v>
                </c:pt>
                <c:pt idx="232">
                  <c:v>-275</c:v>
                </c:pt>
                <c:pt idx="233">
                  <c:v>-70</c:v>
                </c:pt>
                <c:pt idx="234">
                  <c:v>-226</c:v>
                </c:pt>
                <c:pt idx="235">
                  <c:v>-94</c:v>
                </c:pt>
                <c:pt idx="236">
                  <c:v>-80</c:v>
                </c:pt>
                <c:pt idx="237">
                  <c:v>-118</c:v>
                </c:pt>
                <c:pt idx="238">
                  <c:v>-111</c:v>
                </c:pt>
                <c:pt idx="239">
                  <c:v>-154</c:v>
                </c:pt>
                <c:pt idx="240">
                  <c:v>-146</c:v>
                </c:pt>
                <c:pt idx="241">
                  <c:v>-169</c:v>
                </c:pt>
                <c:pt idx="242">
                  <c:v>-113</c:v>
                </c:pt>
                <c:pt idx="243">
                  <c:v>-170</c:v>
                </c:pt>
                <c:pt idx="244">
                  <c:v>-333</c:v>
                </c:pt>
                <c:pt idx="245">
                  <c:v>-170</c:v>
                </c:pt>
                <c:pt idx="246">
                  <c:v>-387</c:v>
                </c:pt>
                <c:pt idx="247">
                  <c:v>-526</c:v>
                </c:pt>
                <c:pt idx="248">
                  <c:v>-63</c:v>
                </c:pt>
                <c:pt idx="249">
                  <c:v>-90</c:v>
                </c:pt>
                <c:pt idx="250">
                  <c:v>-84</c:v>
                </c:pt>
                <c:pt idx="251">
                  <c:v>-117</c:v>
                </c:pt>
                <c:pt idx="252">
                  <c:v>-86</c:v>
                </c:pt>
                <c:pt idx="253">
                  <c:v>-109</c:v>
                </c:pt>
                <c:pt idx="254">
                  <c:v>-95</c:v>
                </c:pt>
                <c:pt idx="255">
                  <c:v>-230</c:v>
                </c:pt>
                <c:pt idx="256">
                  <c:v>-404</c:v>
                </c:pt>
                <c:pt idx="257">
                  <c:v>-137</c:v>
                </c:pt>
                <c:pt idx="258">
                  <c:v>-135</c:v>
                </c:pt>
                <c:pt idx="259">
                  <c:v>-164</c:v>
                </c:pt>
                <c:pt idx="260">
                  <c:v>-555</c:v>
                </c:pt>
                <c:pt idx="261">
                  <c:v>-250</c:v>
                </c:pt>
                <c:pt idx="262">
                  <c:v>-153</c:v>
                </c:pt>
                <c:pt idx="263">
                  <c:v>-160</c:v>
                </c:pt>
                <c:pt idx="264">
                  <c:v>-72</c:v>
                </c:pt>
                <c:pt idx="265">
                  <c:v>-107</c:v>
                </c:pt>
                <c:pt idx="266">
                  <c:v>-300</c:v>
                </c:pt>
                <c:pt idx="267">
                  <c:v>-700</c:v>
                </c:pt>
                <c:pt idx="268">
                  <c:v>-195</c:v>
                </c:pt>
                <c:pt idx="269">
                  <c:v>-426</c:v>
                </c:pt>
                <c:pt idx="270">
                  <c:v>-237</c:v>
                </c:pt>
                <c:pt idx="271">
                  <c:v>-233</c:v>
                </c:pt>
                <c:pt idx="272">
                  <c:v>-89</c:v>
                </c:pt>
                <c:pt idx="273">
                  <c:v>-263</c:v>
                </c:pt>
                <c:pt idx="274">
                  <c:v>-151</c:v>
                </c:pt>
                <c:pt idx="275">
                  <c:v>-133</c:v>
                </c:pt>
                <c:pt idx="276">
                  <c:v>-486</c:v>
                </c:pt>
                <c:pt idx="277">
                  <c:v>-265</c:v>
                </c:pt>
                <c:pt idx="278">
                  <c:v>-777</c:v>
                </c:pt>
                <c:pt idx="279">
                  <c:v>-448</c:v>
                </c:pt>
                <c:pt idx="280">
                  <c:v>-258</c:v>
                </c:pt>
                <c:pt idx="281">
                  <c:v>-1831</c:v>
                </c:pt>
                <c:pt idx="282">
                  <c:v>-307</c:v>
                </c:pt>
                <c:pt idx="283">
                  <c:v>-989</c:v>
                </c:pt>
                <c:pt idx="284">
                  <c:v>-318</c:v>
                </c:pt>
                <c:pt idx="285">
                  <c:v>-343</c:v>
                </c:pt>
                <c:pt idx="286">
                  <c:v>-337</c:v>
                </c:pt>
                <c:pt idx="287">
                  <c:v>-95</c:v>
                </c:pt>
                <c:pt idx="288">
                  <c:v>-262</c:v>
                </c:pt>
                <c:pt idx="289">
                  <c:v>-603</c:v>
                </c:pt>
                <c:pt idx="290">
                  <c:v>-256</c:v>
                </c:pt>
                <c:pt idx="291">
                  <c:v>-161</c:v>
                </c:pt>
                <c:pt idx="292">
                  <c:v>-88</c:v>
                </c:pt>
                <c:pt idx="293">
                  <c:v>-154</c:v>
                </c:pt>
                <c:pt idx="294">
                  <c:v>-134</c:v>
                </c:pt>
                <c:pt idx="295">
                  <c:v>-62</c:v>
                </c:pt>
                <c:pt idx="296">
                  <c:v>-343</c:v>
                </c:pt>
                <c:pt idx="297">
                  <c:v>-91</c:v>
                </c:pt>
                <c:pt idx="298">
                  <c:v>-1139</c:v>
                </c:pt>
                <c:pt idx="299">
                  <c:v>-126</c:v>
                </c:pt>
                <c:pt idx="300">
                  <c:v>-217</c:v>
                </c:pt>
                <c:pt idx="301">
                  <c:v>-110</c:v>
                </c:pt>
                <c:pt idx="302">
                  <c:v>-109</c:v>
                </c:pt>
                <c:pt idx="303">
                  <c:v>-179</c:v>
                </c:pt>
                <c:pt idx="304">
                  <c:v>-304</c:v>
                </c:pt>
                <c:pt idx="305">
                  <c:v>-569</c:v>
                </c:pt>
                <c:pt idx="306">
                  <c:v>-1321</c:v>
                </c:pt>
                <c:pt idx="307">
                  <c:v>-3150</c:v>
                </c:pt>
                <c:pt idx="308">
                  <c:v>-113</c:v>
                </c:pt>
                <c:pt idx="309">
                  <c:v>-580</c:v>
                </c:pt>
                <c:pt idx="310">
                  <c:v>-729</c:v>
                </c:pt>
                <c:pt idx="311">
                  <c:v>-3057</c:v>
                </c:pt>
                <c:pt idx="312">
                  <c:v>-468</c:v>
                </c:pt>
                <c:pt idx="313">
                  <c:v>-71</c:v>
                </c:pt>
                <c:pt idx="314">
                  <c:v>-165</c:v>
                </c:pt>
                <c:pt idx="315">
                  <c:v>-56</c:v>
                </c:pt>
                <c:pt idx="316">
                  <c:v>-275</c:v>
                </c:pt>
                <c:pt idx="317">
                  <c:v>-167</c:v>
                </c:pt>
                <c:pt idx="318">
                  <c:v>-307</c:v>
                </c:pt>
                <c:pt idx="319">
                  <c:v>-265</c:v>
                </c:pt>
                <c:pt idx="320">
                  <c:v>-370</c:v>
                </c:pt>
                <c:pt idx="321">
                  <c:v>-268</c:v>
                </c:pt>
                <c:pt idx="322">
                  <c:v>-165</c:v>
                </c:pt>
                <c:pt idx="323">
                  <c:v>-275</c:v>
                </c:pt>
                <c:pt idx="324">
                  <c:v>-271</c:v>
                </c:pt>
                <c:pt idx="325">
                  <c:v>-247</c:v>
                </c:pt>
                <c:pt idx="326">
                  <c:v>-541</c:v>
                </c:pt>
                <c:pt idx="327">
                  <c:v>-432</c:v>
                </c:pt>
                <c:pt idx="328">
                  <c:v>-1551</c:v>
                </c:pt>
                <c:pt idx="329">
                  <c:v>-324</c:v>
                </c:pt>
                <c:pt idx="330">
                  <c:v>-720</c:v>
                </c:pt>
                <c:pt idx="331">
                  <c:v>-187</c:v>
                </c:pt>
                <c:pt idx="332">
                  <c:v>-803</c:v>
                </c:pt>
                <c:pt idx="333">
                  <c:v>-393</c:v>
                </c:pt>
                <c:pt idx="334">
                  <c:v>-203</c:v>
                </c:pt>
                <c:pt idx="335">
                  <c:v>-419</c:v>
                </c:pt>
                <c:pt idx="336">
                  <c:v>-1919</c:v>
                </c:pt>
                <c:pt idx="337">
                  <c:v>-670</c:v>
                </c:pt>
                <c:pt idx="338">
                  <c:v>-3965</c:v>
                </c:pt>
                <c:pt idx="339">
                  <c:v>-2025</c:v>
                </c:pt>
                <c:pt idx="340">
                  <c:v>-1265</c:v>
                </c:pt>
                <c:pt idx="341">
                  <c:v>-1297</c:v>
                </c:pt>
                <c:pt idx="342">
                  <c:v>-191</c:v>
                </c:pt>
                <c:pt idx="343">
                  <c:v>-183</c:v>
                </c:pt>
                <c:pt idx="344">
                  <c:v>-596</c:v>
                </c:pt>
                <c:pt idx="345">
                  <c:v>-111</c:v>
                </c:pt>
                <c:pt idx="346">
                  <c:v>-162</c:v>
                </c:pt>
                <c:pt idx="347">
                  <c:v>-91</c:v>
                </c:pt>
                <c:pt idx="348">
                  <c:v>-184</c:v>
                </c:pt>
                <c:pt idx="349">
                  <c:v>-139</c:v>
                </c:pt>
                <c:pt idx="350">
                  <c:v>-167</c:v>
                </c:pt>
                <c:pt idx="351">
                  <c:v>-331</c:v>
                </c:pt>
                <c:pt idx="352">
                  <c:v>-107</c:v>
                </c:pt>
                <c:pt idx="353">
                  <c:v>-136</c:v>
                </c:pt>
                <c:pt idx="354">
                  <c:v>-74</c:v>
                </c:pt>
                <c:pt idx="355">
                  <c:v>-91</c:v>
                </c:pt>
                <c:pt idx="356">
                  <c:v>-2056</c:v>
                </c:pt>
                <c:pt idx="357">
                  <c:v>-135</c:v>
                </c:pt>
                <c:pt idx="358">
                  <c:v>-200</c:v>
                </c:pt>
                <c:pt idx="359">
                  <c:v>-131</c:v>
                </c:pt>
                <c:pt idx="360">
                  <c:v>-124</c:v>
                </c:pt>
                <c:pt idx="361">
                  <c:v>-154</c:v>
                </c:pt>
                <c:pt idx="362">
                  <c:v>-124</c:v>
                </c:pt>
                <c:pt idx="363">
                  <c:v>-157</c:v>
                </c:pt>
                <c:pt idx="364">
                  <c:v>-101</c:v>
                </c:pt>
                <c:pt idx="365">
                  <c:v>-303</c:v>
                </c:pt>
                <c:pt idx="366">
                  <c:v>-347</c:v>
                </c:pt>
                <c:pt idx="367">
                  <c:v>-528</c:v>
                </c:pt>
                <c:pt idx="368">
                  <c:v>-69</c:v>
                </c:pt>
                <c:pt idx="369">
                  <c:v>-170</c:v>
                </c:pt>
                <c:pt idx="370">
                  <c:v>-788</c:v>
                </c:pt>
                <c:pt idx="371">
                  <c:v>-140</c:v>
                </c:pt>
                <c:pt idx="372">
                  <c:v>-123</c:v>
                </c:pt>
                <c:pt idx="373">
                  <c:v>-125</c:v>
                </c:pt>
                <c:pt idx="374">
                  <c:v>-148</c:v>
                </c:pt>
                <c:pt idx="375">
                  <c:v>-309</c:v>
                </c:pt>
                <c:pt idx="376">
                  <c:v>-193</c:v>
                </c:pt>
                <c:pt idx="377">
                  <c:v>-111</c:v>
                </c:pt>
                <c:pt idx="378">
                  <c:v>-72</c:v>
                </c:pt>
                <c:pt idx="379">
                  <c:v>-105</c:v>
                </c:pt>
                <c:pt idx="380">
                  <c:v>-162</c:v>
                </c:pt>
                <c:pt idx="381">
                  <c:v>-728</c:v>
                </c:pt>
                <c:pt idx="382">
                  <c:v>-131</c:v>
                </c:pt>
                <c:pt idx="383">
                  <c:v>-249</c:v>
                </c:pt>
                <c:pt idx="384">
                  <c:v>-257</c:v>
                </c:pt>
                <c:pt idx="385">
                  <c:v>-366</c:v>
                </c:pt>
                <c:pt idx="386">
                  <c:v>-330</c:v>
                </c:pt>
                <c:pt idx="387">
                  <c:v>-153</c:v>
                </c:pt>
                <c:pt idx="388">
                  <c:v>-187</c:v>
                </c:pt>
                <c:pt idx="389">
                  <c:v>-439</c:v>
                </c:pt>
                <c:pt idx="390">
                  <c:v>-454</c:v>
                </c:pt>
                <c:pt idx="391">
                  <c:v>-127</c:v>
                </c:pt>
                <c:pt idx="392">
                  <c:v>-169</c:v>
                </c:pt>
                <c:pt idx="393">
                  <c:v>-547</c:v>
                </c:pt>
                <c:pt idx="394">
                  <c:v>-142</c:v>
                </c:pt>
                <c:pt idx="395">
                  <c:v>-107</c:v>
                </c:pt>
                <c:pt idx="396">
                  <c:v>-96</c:v>
                </c:pt>
                <c:pt idx="397">
                  <c:v>-165</c:v>
                </c:pt>
                <c:pt idx="398">
                  <c:v>-202</c:v>
                </c:pt>
                <c:pt idx="399">
                  <c:v>-338</c:v>
                </c:pt>
                <c:pt idx="400">
                  <c:v>-170</c:v>
                </c:pt>
                <c:pt idx="401">
                  <c:v>-67</c:v>
                </c:pt>
                <c:pt idx="402">
                  <c:v>-70</c:v>
                </c:pt>
                <c:pt idx="403">
                  <c:v>-183</c:v>
                </c:pt>
                <c:pt idx="404">
                  <c:v>-168</c:v>
                </c:pt>
                <c:pt idx="405">
                  <c:v>-3053</c:v>
                </c:pt>
                <c:pt idx="406">
                  <c:v>-347</c:v>
                </c:pt>
                <c:pt idx="407">
                  <c:v>-229</c:v>
                </c:pt>
                <c:pt idx="408">
                  <c:v>-215</c:v>
                </c:pt>
                <c:pt idx="409">
                  <c:v>-183</c:v>
                </c:pt>
                <c:pt idx="410">
                  <c:v>-115</c:v>
                </c:pt>
                <c:pt idx="411">
                  <c:v>-100</c:v>
                </c:pt>
                <c:pt idx="412">
                  <c:v>-118</c:v>
                </c:pt>
                <c:pt idx="413">
                  <c:v>-265</c:v>
                </c:pt>
                <c:pt idx="414">
                  <c:v>-110</c:v>
                </c:pt>
                <c:pt idx="415">
                  <c:v>-74</c:v>
                </c:pt>
                <c:pt idx="416">
                  <c:v>-137</c:v>
                </c:pt>
                <c:pt idx="417">
                  <c:v>-123</c:v>
                </c:pt>
                <c:pt idx="418">
                  <c:v>-528</c:v>
                </c:pt>
                <c:pt idx="419">
                  <c:v>-257</c:v>
                </c:pt>
                <c:pt idx="420">
                  <c:v>-118</c:v>
                </c:pt>
                <c:pt idx="421">
                  <c:v>-1301</c:v>
                </c:pt>
                <c:pt idx="422">
                  <c:v>-635</c:v>
                </c:pt>
                <c:pt idx="423">
                  <c:v>-339</c:v>
                </c:pt>
                <c:pt idx="424">
                  <c:v>-287</c:v>
                </c:pt>
                <c:pt idx="425">
                  <c:v>-305</c:v>
                </c:pt>
                <c:pt idx="426">
                  <c:v>-1212</c:v>
                </c:pt>
                <c:pt idx="427">
                  <c:v>-233</c:v>
                </c:pt>
                <c:pt idx="428">
                  <c:v>-116</c:v>
                </c:pt>
                <c:pt idx="429">
                  <c:v>-186</c:v>
                </c:pt>
                <c:pt idx="430">
                  <c:v>-68</c:v>
                </c:pt>
                <c:pt idx="431">
                  <c:v>-77</c:v>
                </c:pt>
                <c:pt idx="432">
                  <c:v>-194</c:v>
                </c:pt>
                <c:pt idx="433">
                  <c:v>-227</c:v>
                </c:pt>
                <c:pt idx="434">
                  <c:v>-134</c:v>
                </c:pt>
                <c:pt idx="435">
                  <c:v>-185</c:v>
                </c:pt>
                <c:pt idx="436">
                  <c:v>-1323</c:v>
                </c:pt>
                <c:pt idx="437">
                  <c:v>-549</c:v>
                </c:pt>
                <c:pt idx="438">
                  <c:v>-485</c:v>
                </c:pt>
                <c:pt idx="439">
                  <c:v>-53</c:v>
                </c:pt>
                <c:pt idx="440">
                  <c:v>-194</c:v>
                </c:pt>
                <c:pt idx="441">
                  <c:v>-105</c:v>
                </c:pt>
                <c:pt idx="442">
                  <c:v>-612</c:v>
                </c:pt>
                <c:pt idx="443">
                  <c:v>-533</c:v>
                </c:pt>
                <c:pt idx="444">
                  <c:v>-132</c:v>
                </c:pt>
                <c:pt idx="445">
                  <c:v>-756</c:v>
                </c:pt>
                <c:pt idx="446">
                  <c:v>-241</c:v>
                </c:pt>
                <c:pt idx="447">
                  <c:v>-475</c:v>
                </c:pt>
                <c:pt idx="448">
                  <c:v>-654</c:v>
                </c:pt>
                <c:pt idx="449">
                  <c:v>-260</c:v>
                </c:pt>
                <c:pt idx="450">
                  <c:v>-257</c:v>
                </c:pt>
                <c:pt idx="451">
                  <c:v>-90</c:v>
                </c:pt>
                <c:pt idx="452">
                  <c:v>-71</c:v>
                </c:pt>
                <c:pt idx="453">
                  <c:v>-173</c:v>
                </c:pt>
                <c:pt idx="454">
                  <c:v>-95</c:v>
                </c:pt>
                <c:pt idx="455">
                  <c:v>-184</c:v>
                </c:pt>
                <c:pt idx="456">
                  <c:v>-302</c:v>
                </c:pt>
                <c:pt idx="457">
                  <c:v>-202</c:v>
                </c:pt>
                <c:pt idx="458">
                  <c:v>-279</c:v>
                </c:pt>
                <c:pt idx="459">
                  <c:v>-515</c:v>
                </c:pt>
                <c:pt idx="460">
                  <c:v>-153</c:v>
                </c:pt>
                <c:pt idx="461">
                  <c:v>-337</c:v>
                </c:pt>
                <c:pt idx="462">
                  <c:v>-1813</c:v>
                </c:pt>
                <c:pt idx="463">
                  <c:v>-400</c:v>
                </c:pt>
                <c:pt idx="464">
                  <c:v>-157</c:v>
                </c:pt>
                <c:pt idx="465">
                  <c:v>-98</c:v>
                </c:pt>
                <c:pt idx="466">
                  <c:v>-131</c:v>
                </c:pt>
                <c:pt idx="467">
                  <c:v>-55</c:v>
                </c:pt>
                <c:pt idx="468">
                  <c:v>-132</c:v>
                </c:pt>
                <c:pt idx="469">
                  <c:v>-149</c:v>
                </c:pt>
                <c:pt idx="470">
                  <c:v>-91</c:v>
                </c:pt>
                <c:pt idx="471">
                  <c:v>-226</c:v>
                </c:pt>
                <c:pt idx="472">
                  <c:v>-170</c:v>
                </c:pt>
                <c:pt idx="473">
                  <c:v>-336</c:v>
                </c:pt>
                <c:pt idx="474">
                  <c:v>-80</c:v>
                </c:pt>
                <c:pt idx="475">
                  <c:v>-174</c:v>
                </c:pt>
                <c:pt idx="476">
                  <c:v>-195</c:v>
                </c:pt>
                <c:pt idx="477">
                  <c:v>-162</c:v>
                </c:pt>
                <c:pt idx="478">
                  <c:v>-224</c:v>
                </c:pt>
                <c:pt idx="479">
                  <c:v>-416</c:v>
                </c:pt>
                <c:pt idx="480">
                  <c:v>-581</c:v>
                </c:pt>
                <c:pt idx="481">
                  <c:v>-110</c:v>
                </c:pt>
                <c:pt idx="482">
                  <c:v>-284</c:v>
                </c:pt>
                <c:pt idx="483">
                  <c:v>-236</c:v>
                </c:pt>
                <c:pt idx="484">
                  <c:v>-73</c:v>
                </c:pt>
                <c:pt idx="485">
                  <c:v>-135</c:v>
                </c:pt>
                <c:pt idx="486">
                  <c:v>-130</c:v>
                </c:pt>
                <c:pt idx="487">
                  <c:v>-85</c:v>
                </c:pt>
                <c:pt idx="488">
                  <c:v>-176</c:v>
                </c:pt>
                <c:pt idx="489">
                  <c:v>-170</c:v>
                </c:pt>
                <c:pt idx="490">
                  <c:v>-101</c:v>
                </c:pt>
                <c:pt idx="491">
                  <c:v>-127</c:v>
                </c:pt>
                <c:pt idx="492">
                  <c:v>-141</c:v>
                </c:pt>
                <c:pt idx="493">
                  <c:v>-169</c:v>
                </c:pt>
                <c:pt idx="494">
                  <c:v>-154</c:v>
                </c:pt>
                <c:pt idx="495">
                  <c:v>-208</c:v>
                </c:pt>
                <c:pt idx="496">
                  <c:v>-107</c:v>
                </c:pt>
                <c:pt idx="497">
                  <c:v>-319</c:v>
                </c:pt>
                <c:pt idx="498">
                  <c:v>-594</c:v>
                </c:pt>
                <c:pt idx="499">
                  <c:v>-293</c:v>
                </c:pt>
                <c:pt idx="500">
                  <c:v>-221</c:v>
                </c:pt>
                <c:pt idx="501">
                  <c:v>-297</c:v>
                </c:pt>
                <c:pt idx="502">
                  <c:v>-318</c:v>
                </c:pt>
                <c:pt idx="503">
                  <c:v>-96</c:v>
                </c:pt>
                <c:pt idx="504">
                  <c:v>-214</c:v>
                </c:pt>
                <c:pt idx="505">
                  <c:v>-175</c:v>
                </c:pt>
                <c:pt idx="506">
                  <c:v>-127</c:v>
                </c:pt>
                <c:pt idx="507">
                  <c:v>-88</c:v>
                </c:pt>
                <c:pt idx="508">
                  <c:v>-91</c:v>
                </c:pt>
                <c:pt idx="509">
                  <c:v>-120</c:v>
                </c:pt>
                <c:pt idx="510">
                  <c:v>-77</c:v>
                </c:pt>
                <c:pt idx="511">
                  <c:v>-123</c:v>
                </c:pt>
                <c:pt idx="512">
                  <c:v>-65</c:v>
                </c:pt>
                <c:pt idx="513">
                  <c:v>-55</c:v>
                </c:pt>
                <c:pt idx="514">
                  <c:v>-121</c:v>
                </c:pt>
                <c:pt idx="515">
                  <c:v>-77</c:v>
                </c:pt>
                <c:pt idx="516">
                  <c:v>-82</c:v>
                </c:pt>
                <c:pt idx="517">
                  <c:v>-88</c:v>
                </c:pt>
                <c:pt idx="518">
                  <c:v>-84</c:v>
                </c:pt>
                <c:pt idx="519">
                  <c:v>-74</c:v>
                </c:pt>
                <c:pt idx="520">
                  <c:v>-78</c:v>
                </c:pt>
                <c:pt idx="521">
                  <c:v>-64</c:v>
                </c:pt>
                <c:pt idx="522">
                  <c:v>-70</c:v>
                </c:pt>
                <c:pt idx="523">
                  <c:v>-166</c:v>
                </c:pt>
                <c:pt idx="524">
                  <c:v>-57</c:v>
                </c:pt>
                <c:pt idx="525">
                  <c:v>-96</c:v>
                </c:pt>
                <c:pt idx="526">
                  <c:v>-87</c:v>
                </c:pt>
                <c:pt idx="527">
                  <c:v>-145</c:v>
                </c:pt>
                <c:pt idx="528">
                  <c:v>-101</c:v>
                </c:pt>
                <c:pt idx="529">
                  <c:v>-111</c:v>
                </c:pt>
                <c:pt idx="530">
                  <c:v>-69</c:v>
                </c:pt>
                <c:pt idx="531">
                  <c:v>-113</c:v>
                </c:pt>
                <c:pt idx="532">
                  <c:v>-56</c:v>
                </c:pt>
                <c:pt idx="533">
                  <c:v>-97</c:v>
                </c:pt>
                <c:pt idx="534">
                  <c:v>-48</c:v>
                </c:pt>
                <c:pt idx="535">
                  <c:v>-712</c:v>
                </c:pt>
                <c:pt idx="536">
                  <c:v>-232</c:v>
                </c:pt>
                <c:pt idx="537">
                  <c:v>-127</c:v>
                </c:pt>
                <c:pt idx="538">
                  <c:v>-87</c:v>
                </c:pt>
                <c:pt idx="539">
                  <c:v>-58</c:v>
                </c:pt>
                <c:pt idx="540">
                  <c:v>-94</c:v>
                </c:pt>
                <c:pt idx="541">
                  <c:v>-75</c:v>
                </c:pt>
                <c:pt idx="542">
                  <c:v>-116</c:v>
                </c:pt>
                <c:pt idx="543">
                  <c:v>-62</c:v>
                </c:pt>
                <c:pt idx="544">
                  <c:v>-38</c:v>
                </c:pt>
                <c:pt idx="545">
                  <c:v>-121</c:v>
                </c:pt>
                <c:pt idx="546">
                  <c:v>-96</c:v>
                </c:pt>
                <c:pt idx="547">
                  <c:v>-88</c:v>
                </c:pt>
                <c:pt idx="548">
                  <c:v>-216</c:v>
                </c:pt>
                <c:pt idx="549">
                  <c:v>-56</c:v>
                </c:pt>
                <c:pt idx="550">
                  <c:v>-61</c:v>
                </c:pt>
                <c:pt idx="551">
                  <c:v>-171</c:v>
                </c:pt>
                <c:pt idx="552">
                  <c:v>-301</c:v>
                </c:pt>
                <c:pt idx="553">
                  <c:v>-272</c:v>
                </c:pt>
                <c:pt idx="554">
                  <c:v>-74</c:v>
                </c:pt>
                <c:pt idx="555">
                  <c:v>-214</c:v>
                </c:pt>
                <c:pt idx="556">
                  <c:v>-58</c:v>
                </c:pt>
                <c:pt idx="557">
                  <c:v>-263</c:v>
                </c:pt>
                <c:pt idx="558">
                  <c:v>-79</c:v>
                </c:pt>
                <c:pt idx="559">
                  <c:v>-89</c:v>
                </c:pt>
                <c:pt idx="560">
                  <c:v>-106</c:v>
                </c:pt>
                <c:pt idx="561">
                  <c:v>-125</c:v>
                </c:pt>
                <c:pt idx="562">
                  <c:v>-166</c:v>
                </c:pt>
                <c:pt idx="563">
                  <c:v>-259</c:v>
                </c:pt>
                <c:pt idx="564">
                  <c:v>-160</c:v>
                </c:pt>
                <c:pt idx="565">
                  <c:v>-202</c:v>
                </c:pt>
                <c:pt idx="566">
                  <c:v>-99</c:v>
                </c:pt>
                <c:pt idx="567">
                  <c:v>-119</c:v>
                </c:pt>
                <c:pt idx="568">
                  <c:v>-281</c:v>
                </c:pt>
                <c:pt idx="569">
                  <c:v>-226</c:v>
                </c:pt>
                <c:pt idx="570">
                  <c:v>-98</c:v>
                </c:pt>
                <c:pt idx="571">
                  <c:v>-454</c:v>
                </c:pt>
                <c:pt idx="572">
                  <c:v>-138</c:v>
                </c:pt>
                <c:pt idx="573">
                  <c:v>-101</c:v>
                </c:pt>
                <c:pt idx="574">
                  <c:v>-225</c:v>
                </c:pt>
                <c:pt idx="575">
                  <c:v>-235</c:v>
                </c:pt>
                <c:pt idx="576">
                  <c:v>-294</c:v>
                </c:pt>
                <c:pt idx="577">
                  <c:v>-226</c:v>
                </c:pt>
                <c:pt idx="578">
                  <c:v>-107</c:v>
                </c:pt>
                <c:pt idx="579">
                  <c:v>-241</c:v>
                </c:pt>
                <c:pt idx="580">
                  <c:v>-1037</c:v>
                </c:pt>
                <c:pt idx="581">
                  <c:v>-472</c:v>
                </c:pt>
                <c:pt idx="582">
                  <c:v>-1327</c:v>
                </c:pt>
                <c:pt idx="583">
                  <c:v>-532</c:v>
                </c:pt>
                <c:pt idx="584">
                  <c:v>-407</c:v>
                </c:pt>
                <c:pt idx="585">
                  <c:v>-287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A-430A-9FEA-5B633052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61424"/>
        <c:axId val="485561032"/>
      </c:areaChart>
      <c:lineChart>
        <c:grouping val="standard"/>
        <c:varyColors val="0"/>
        <c:ser>
          <c:idx val="4"/>
          <c:order val="4"/>
          <c:tx>
            <c:strRef>
              <c:f>情绪数据!$AE$1</c:f>
              <c:strCache>
                <c:ptCount val="1"/>
                <c:pt idx="0">
                  <c:v>ma3涨停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情绪数据!日期</c:f>
              <c:numCache>
                <c:formatCode>m/d/yyyy</c:formatCode>
                <c:ptCount val="586"/>
                <c:pt idx="0">
                  <c:v>44165</c:v>
                </c:pt>
                <c:pt idx="1">
                  <c:v>44166</c:v>
                </c:pt>
                <c:pt idx="2">
                  <c:v>44167</c:v>
                </c:pt>
                <c:pt idx="3">
                  <c:v>44168</c:v>
                </c:pt>
                <c:pt idx="4">
                  <c:v>44169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44179</c:v>
                </c:pt>
                <c:pt idx="11">
                  <c:v>44180</c:v>
                </c:pt>
                <c:pt idx="12">
                  <c:v>44181</c:v>
                </c:pt>
                <c:pt idx="13">
                  <c:v>44182</c:v>
                </c:pt>
                <c:pt idx="14">
                  <c:v>44183</c:v>
                </c:pt>
                <c:pt idx="15">
                  <c:v>44186</c:v>
                </c:pt>
                <c:pt idx="16">
                  <c:v>44187</c:v>
                </c:pt>
                <c:pt idx="17">
                  <c:v>44188</c:v>
                </c:pt>
                <c:pt idx="18">
                  <c:v>44189</c:v>
                </c:pt>
                <c:pt idx="19">
                  <c:v>44190</c:v>
                </c:pt>
                <c:pt idx="20">
                  <c:v>44193</c:v>
                </c:pt>
                <c:pt idx="21">
                  <c:v>44194</c:v>
                </c:pt>
                <c:pt idx="22">
                  <c:v>44195</c:v>
                </c:pt>
                <c:pt idx="23">
                  <c:v>44196</c:v>
                </c:pt>
                <c:pt idx="24">
                  <c:v>44200</c:v>
                </c:pt>
                <c:pt idx="25">
                  <c:v>44201</c:v>
                </c:pt>
                <c:pt idx="26">
                  <c:v>44202</c:v>
                </c:pt>
                <c:pt idx="27">
                  <c:v>44203</c:v>
                </c:pt>
                <c:pt idx="28">
                  <c:v>44204</c:v>
                </c:pt>
                <c:pt idx="29">
                  <c:v>44207</c:v>
                </c:pt>
                <c:pt idx="30">
                  <c:v>44208</c:v>
                </c:pt>
                <c:pt idx="31">
                  <c:v>44209</c:v>
                </c:pt>
                <c:pt idx="32">
                  <c:v>44210</c:v>
                </c:pt>
                <c:pt idx="33">
                  <c:v>44211</c:v>
                </c:pt>
                <c:pt idx="34">
                  <c:v>44214</c:v>
                </c:pt>
                <c:pt idx="35">
                  <c:v>44215</c:v>
                </c:pt>
                <c:pt idx="36">
                  <c:v>44216</c:v>
                </c:pt>
                <c:pt idx="37">
                  <c:v>44217</c:v>
                </c:pt>
                <c:pt idx="38">
                  <c:v>44218</c:v>
                </c:pt>
                <c:pt idx="39">
                  <c:v>44221</c:v>
                </c:pt>
                <c:pt idx="40">
                  <c:v>44222</c:v>
                </c:pt>
                <c:pt idx="41">
                  <c:v>44223</c:v>
                </c:pt>
                <c:pt idx="42">
                  <c:v>44224</c:v>
                </c:pt>
                <c:pt idx="43">
                  <c:v>44225</c:v>
                </c:pt>
                <c:pt idx="44">
                  <c:v>44228</c:v>
                </c:pt>
                <c:pt idx="45">
                  <c:v>44229</c:v>
                </c:pt>
                <c:pt idx="46">
                  <c:v>44230</c:v>
                </c:pt>
                <c:pt idx="47">
                  <c:v>44231</c:v>
                </c:pt>
                <c:pt idx="48">
                  <c:v>44232</c:v>
                </c:pt>
                <c:pt idx="49">
                  <c:v>44235</c:v>
                </c:pt>
                <c:pt idx="50">
                  <c:v>44236</c:v>
                </c:pt>
                <c:pt idx="51">
                  <c:v>44237</c:v>
                </c:pt>
                <c:pt idx="52">
                  <c:v>44245</c:v>
                </c:pt>
                <c:pt idx="53">
                  <c:v>44246</c:v>
                </c:pt>
                <c:pt idx="54">
                  <c:v>44249</c:v>
                </c:pt>
                <c:pt idx="55">
                  <c:v>44250</c:v>
                </c:pt>
                <c:pt idx="56">
                  <c:v>44251</c:v>
                </c:pt>
                <c:pt idx="57">
                  <c:v>44252</c:v>
                </c:pt>
                <c:pt idx="58">
                  <c:v>44253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44263</c:v>
                </c:pt>
                <c:pt idx="65">
                  <c:v>44264</c:v>
                </c:pt>
                <c:pt idx="66">
                  <c:v>44265</c:v>
                </c:pt>
                <c:pt idx="67">
                  <c:v>44266</c:v>
                </c:pt>
                <c:pt idx="68">
                  <c:v>44267</c:v>
                </c:pt>
                <c:pt idx="69">
                  <c:v>44270</c:v>
                </c:pt>
                <c:pt idx="70">
                  <c:v>44271</c:v>
                </c:pt>
                <c:pt idx="71">
                  <c:v>44272</c:v>
                </c:pt>
                <c:pt idx="72">
                  <c:v>44273</c:v>
                </c:pt>
                <c:pt idx="73">
                  <c:v>44274</c:v>
                </c:pt>
                <c:pt idx="74">
                  <c:v>44277</c:v>
                </c:pt>
                <c:pt idx="75">
                  <c:v>44278</c:v>
                </c:pt>
                <c:pt idx="76">
                  <c:v>44279</c:v>
                </c:pt>
                <c:pt idx="77">
                  <c:v>44280</c:v>
                </c:pt>
                <c:pt idx="78">
                  <c:v>44281</c:v>
                </c:pt>
                <c:pt idx="79">
                  <c:v>44284</c:v>
                </c:pt>
                <c:pt idx="80">
                  <c:v>44285</c:v>
                </c:pt>
                <c:pt idx="81">
                  <c:v>44286</c:v>
                </c:pt>
                <c:pt idx="82">
                  <c:v>44287</c:v>
                </c:pt>
                <c:pt idx="83">
                  <c:v>44288</c:v>
                </c:pt>
                <c:pt idx="84">
                  <c:v>44292</c:v>
                </c:pt>
                <c:pt idx="85">
                  <c:v>44293</c:v>
                </c:pt>
                <c:pt idx="86">
                  <c:v>44294</c:v>
                </c:pt>
                <c:pt idx="87">
                  <c:v>44295</c:v>
                </c:pt>
                <c:pt idx="88">
                  <c:v>44298</c:v>
                </c:pt>
                <c:pt idx="89">
                  <c:v>44299</c:v>
                </c:pt>
                <c:pt idx="90">
                  <c:v>44300</c:v>
                </c:pt>
                <c:pt idx="91">
                  <c:v>44301</c:v>
                </c:pt>
                <c:pt idx="92">
                  <c:v>44302</c:v>
                </c:pt>
                <c:pt idx="93">
                  <c:v>44305</c:v>
                </c:pt>
                <c:pt idx="94">
                  <c:v>44306</c:v>
                </c:pt>
                <c:pt idx="95">
                  <c:v>44307</c:v>
                </c:pt>
                <c:pt idx="96">
                  <c:v>44308</c:v>
                </c:pt>
                <c:pt idx="97">
                  <c:v>44309</c:v>
                </c:pt>
                <c:pt idx="98">
                  <c:v>44312</c:v>
                </c:pt>
                <c:pt idx="99">
                  <c:v>44313</c:v>
                </c:pt>
                <c:pt idx="100">
                  <c:v>44314</c:v>
                </c:pt>
                <c:pt idx="101">
                  <c:v>44315</c:v>
                </c:pt>
                <c:pt idx="102">
                  <c:v>44316</c:v>
                </c:pt>
                <c:pt idx="103">
                  <c:v>44322</c:v>
                </c:pt>
                <c:pt idx="104">
                  <c:v>44323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44333</c:v>
                </c:pt>
                <c:pt idx="110">
                  <c:v>44334</c:v>
                </c:pt>
                <c:pt idx="111">
                  <c:v>44335</c:v>
                </c:pt>
                <c:pt idx="112">
                  <c:v>44336</c:v>
                </c:pt>
                <c:pt idx="113">
                  <c:v>44337</c:v>
                </c:pt>
                <c:pt idx="114">
                  <c:v>44340</c:v>
                </c:pt>
                <c:pt idx="115">
                  <c:v>44341</c:v>
                </c:pt>
                <c:pt idx="116">
                  <c:v>44342</c:v>
                </c:pt>
                <c:pt idx="117">
                  <c:v>44343</c:v>
                </c:pt>
                <c:pt idx="118">
                  <c:v>44344</c:v>
                </c:pt>
                <c:pt idx="119">
                  <c:v>44347</c:v>
                </c:pt>
                <c:pt idx="120">
                  <c:v>44348</c:v>
                </c:pt>
                <c:pt idx="121">
                  <c:v>44349</c:v>
                </c:pt>
                <c:pt idx="122">
                  <c:v>44350</c:v>
                </c:pt>
                <c:pt idx="123">
                  <c:v>44351</c:v>
                </c:pt>
                <c:pt idx="124">
                  <c:v>44354</c:v>
                </c:pt>
                <c:pt idx="125">
                  <c:v>44355</c:v>
                </c:pt>
                <c:pt idx="126">
                  <c:v>44356</c:v>
                </c:pt>
                <c:pt idx="127">
                  <c:v>44357</c:v>
                </c:pt>
                <c:pt idx="128">
                  <c:v>44358</c:v>
                </c:pt>
                <c:pt idx="129">
                  <c:v>44362</c:v>
                </c:pt>
                <c:pt idx="130">
                  <c:v>44363</c:v>
                </c:pt>
                <c:pt idx="131">
                  <c:v>44364</c:v>
                </c:pt>
                <c:pt idx="132">
                  <c:v>44365</c:v>
                </c:pt>
                <c:pt idx="133">
                  <c:v>44368</c:v>
                </c:pt>
                <c:pt idx="134">
                  <c:v>44369</c:v>
                </c:pt>
                <c:pt idx="135">
                  <c:v>44370</c:v>
                </c:pt>
                <c:pt idx="136">
                  <c:v>44371</c:v>
                </c:pt>
                <c:pt idx="137">
                  <c:v>44372</c:v>
                </c:pt>
                <c:pt idx="138">
                  <c:v>44375</c:v>
                </c:pt>
                <c:pt idx="139">
                  <c:v>44376</c:v>
                </c:pt>
                <c:pt idx="140">
                  <c:v>44377</c:v>
                </c:pt>
                <c:pt idx="141">
                  <c:v>44378</c:v>
                </c:pt>
                <c:pt idx="142">
                  <c:v>44379</c:v>
                </c:pt>
                <c:pt idx="143">
                  <c:v>44382</c:v>
                </c:pt>
                <c:pt idx="144">
                  <c:v>44383</c:v>
                </c:pt>
                <c:pt idx="145">
                  <c:v>44384</c:v>
                </c:pt>
                <c:pt idx="146">
                  <c:v>44385</c:v>
                </c:pt>
                <c:pt idx="147">
                  <c:v>44386</c:v>
                </c:pt>
                <c:pt idx="148">
                  <c:v>44389</c:v>
                </c:pt>
                <c:pt idx="149">
                  <c:v>44390</c:v>
                </c:pt>
                <c:pt idx="150">
                  <c:v>44391</c:v>
                </c:pt>
                <c:pt idx="151">
                  <c:v>44392</c:v>
                </c:pt>
                <c:pt idx="152">
                  <c:v>44393</c:v>
                </c:pt>
                <c:pt idx="153">
                  <c:v>44396</c:v>
                </c:pt>
                <c:pt idx="154">
                  <c:v>44397</c:v>
                </c:pt>
                <c:pt idx="155">
                  <c:v>44398</c:v>
                </c:pt>
                <c:pt idx="156">
                  <c:v>44399</c:v>
                </c:pt>
                <c:pt idx="157">
                  <c:v>44400</c:v>
                </c:pt>
                <c:pt idx="158">
                  <c:v>44403</c:v>
                </c:pt>
                <c:pt idx="159">
                  <c:v>44404</c:v>
                </c:pt>
                <c:pt idx="160">
                  <c:v>44405</c:v>
                </c:pt>
                <c:pt idx="161">
                  <c:v>44406</c:v>
                </c:pt>
                <c:pt idx="162">
                  <c:v>44407</c:v>
                </c:pt>
                <c:pt idx="163">
                  <c:v>44410</c:v>
                </c:pt>
                <c:pt idx="164">
                  <c:v>44411</c:v>
                </c:pt>
                <c:pt idx="165">
                  <c:v>44412</c:v>
                </c:pt>
                <c:pt idx="166">
                  <c:v>44413</c:v>
                </c:pt>
                <c:pt idx="167">
                  <c:v>44414</c:v>
                </c:pt>
                <c:pt idx="168">
                  <c:v>44417</c:v>
                </c:pt>
                <c:pt idx="169">
                  <c:v>44418</c:v>
                </c:pt>
                <c:pt idx="170">
                  <c:v>44419</c:v>
                </c:pt>
                <c:pt idx="171">
                  <c:v>44420</c:v>
                </c:pt>
                <c:pt idx="172">
                  <c:v>44423</c:v>
                </c:pt>
                <c:pt idx="173">
                  <c:v>44424</c:v>
                </c:pt>
                <c:pt idx="174">
                  <c:v>44425</c:v>
                </c:pt>
                <c:pt idx="175">
                  <c:v>44426</c:v>
                </c:pt>
                <c:pt idx="176">
                  <c:v>44427</c:v>
                </c:pt>
                <c:pt idx="177">
                  <c:v>44428</c:v>
                </c:pt>
                <c:pt idx="178">
                  <c:v>44431</c:v>
                </c:pt>
                <c:pt idx="179">
                  <c:v>44432</c:v>
                </c:pt>
                <c:pt idx="180">
                  <c:v>44433</c:v>
                </c:pt>
                <c:pt idx="181">
                  <c:v>44434</c:v>
                </c:pt>
                <c:pt idx="182">
                  <c:v>44435</c:v>
                </c:pt>
                <c:pt idx="183">
                  <c:v>44438</c:v>
                </c:pt>
                <c:pt idx="184">
                  <c:v>44439</c:v>
                </c:pt>
                <c:pt idx="185">
                  <c:v>44440</c:v>
                </c:pt>
                <c:pt idx="186">
                  <c:v>44441</c:v>
                </c:pt>
                <c:pt idx="187">
                  <c:v>44442</c:v>
                </c:pt>
                <c:pt idx="188">
                  <c:v>44445</c:v>
                </c:pt>
                <c:pt idx="189">
                  <c:v>44446</c:v>
                </c:pt>
                <c:pt idx="190">
                  <c:v>44447</c:v>
                </c:pt>
                <c:pt idx="191">
                  <c:v>44448</c:v>
                </c:pt>
                <c:pt idx="192">
                  <c:v>44449</c:v>
                </c:pt>
                <c:pt idx="193">
                  <c:v>44452</c:v>
                </c:pt>
                <c:pt idx="194">
                  <c:v>44453</c:v>
                </c:pt>
                <c:pt idx="195">
                  <c:v>44454</c:v>
                </c:pt>
                <c:pt idx="196">
                  <c:v>44455</c:v>
                </c:pt>
                <c:pt idx="197">
                  <c:v>44456</c:v>
                </c:pt>
                <c:pt idx="198">
                  <c:v>44461</c:v>
                </c:pt>
                <c:pt idx="199">
                  <c:v>44462</c:v>
                </c:pt>
                <c:pt idx="200">
                  <c:v>44463</c:v>
                </c:pt>
                <c:pt idx="201">
                  <c:v>44466</c:v>
                </c:pt>
                <c:pt idx="202">
                  <c:v>44467</c:v>
                </c:pt>
                <c:pt idx="203">
                  <c:v>44468</c:v>
                </c:pt>
                <c:pt idx="204">
                  <c:v>44469</c:v>
                </c:pt>
                <c:pt idx="205">
                  <c:v>44477</c:v>
                </c:pt>
                <c:pt idx="206">
                  <c:v>44480</c:v>
                </c:pt>
                <c:pt idx="207">
                  <c:v>44481</c:v>
                </c:pt>
                <c:pt idx="208">
                  <c:v>44482</c:v>
                </c:pt>
                <c:pt idx="209">
                  <c:v>44483</c:v>
                </c:pt>
                <c:pt idx="210">
                  <c:v>44484</c:v>
                </c:pt>
                <c:pt idx="211">
                  <c:v>44487</c:v>
                </c:pt>
                <c:pt idx="212">
                  <c:v>44488</c:v>
                </c:pt>
                <c:pt idx="213">
                  <c:v>44489</c:v>
                </c:pt>
                <c:pt idx="214">
                  <c:v>44490</c:v>
                </c:pt>
                <c:pt idx="215">
                  <c:v>44491</c:v>
                </c:pt>
                <c:pt idx="216">
                  <c:v>44494</c:v>
                </c:pt>
                <c:pt idx="217">
                  <c:v>44495</c:v>
                </c:pt>
                <c:pt idx="218">
                  <c:v>44496</c:v>
                </c:pt>
                <c:pt idx="219">
                  <c:v>44497</c:v>
                </c:pt>
                <c:pt idx="220">
                  <c:v>44498</c:v>
                </c:pt>
                <c:pt idx="221">
                  <c:v>44501</c:v>
                </c:pt>
                <c:pt idx="222">
                  <c:v>44502</c:v>
                </c:pt>
                <c:pt idx="223">
                  <c:v>44503</c:v>
                </c:pt>
                <c:pt idx="224">
                  <c:v>44504</c:v>
                </c:pt>
                <c:pt idx="225">
                  <c:v>44505</c:v>
                </c:pt>
                <c:pt idx="226">
                  <c:v>44508</c:v>
                </c:pt>
                <c:pt idx="227">
                  <c:v>44509</c:v>
                </c:pt>
                <c:pt idx="228">
                  <c:v>44510</c:v>
                </c:pt>
                <c:pt idx="229">
                  <c:v>44511</c:v>
                </c:pt>
                <c:pt idx="230">
                  <c:v>44512</c:v>
                </c:pt>
                <c:pt idx="231">
                  <c:v>44515</c:v>
                </c:pt>
                <c:pt idx="232">
                  <c:v>44516</c:v>
                </c:pt>
                <c:pt idx="233">
                  <c:v>44517</c:v>
                </c:pt>
                <c:pt idx="234">
                  <c:v>44518</c:v>
                </c:pt>
                <c:pt idx="235">
                  <c:v>44519</c:v>
                </c:pt>
                <c:pt idx="236">
                  <c:v>44522</c:v>
                </c:pt>
                <c:pt idx="237">
                  <c:v>44523</c:v>
                </c:pt>
                <c:pt idx="238">
                  <c:v>44524</c:v>
                </c:pt>
                <c:pt idx="239">
                  <c:v>44525</c:v>
                </c:pt>
                <c:pt idx="240">
                  <c:v>44526</c:v>
                </c:pt>
                <c:pt idx="241">
                  <c:v>44529</c:v>
                </c:pt>
                <c:pt idx="242">
                  <c:v>44530</c:v>
                </c:pt>
                <c:pt idx="243">
                  <c:v>44531</c:v>
                </c:pt>
                <c:pt idx="244">
                  <c:v>44532</c:v>
                </c:pt>
                <c:pt idx="245">
                  <c:v>44533</c:v>
                </c:pt>
                <c:pt idx="246">
                  <c:v>44536</c:v>
                </c:pt>
                <c:pt idx="247">
                  <c:v>44537</c:v>
                </c:pt>
                <c:pt idx="248">
                  <c:v>44538</c:v>
                </c:pt>
                <c:pt idx="249">
                  <c:v>44539</c:v>
                </c:pt>
                <c:pt idx="250">
                  <c:v>44540</c:v>
                </c:pt>
                <c:pt idx="251">
                  <c:v>44543</c:v>
                </c:pt>
                <c:pt idx="252">
                  <c:v>44544</c:v>
                </c:pt>
                <c:pt idx="253">
                  <c:v>44545</c:v>
                </c:pt>
                <c:pt idx="254">
                  <c:v>44546</c:v>
                </c:pt>
                <c:pt idx="255">
                  <c:v>44547</c:v>
                </c:pt>
                <c:pt idx="256">
                  <c:v>44550</c:v>
                </c:pt>
                <c:pt idx="257">
                  <c:v>44551</c:v>
                </c:pt>
                <c:pt idx="258">
                  <c:v>44552</c:v>
                </c:pt>
                <c:pt idx="259">
                  <c:v>44553</c:v>
                </c:pt>
                <c:pt idx="260">
                  <c:v>44554</c:v>
                </c:pt>
                <c:pt idx="261">
                  <c:v>44557</c:v>
                </c:pt>
                <c:pt idx="262">
                  <c:v>44558</c:v>
                </c:pt>
                <c:pt idx="263">
                  <c:v>44559</c:v>
                </c:pt>
                <c:pt idx="264">
                  <c:v>44560</c:v>
                </c:pt>
                <c:pt idx="265">
                  <c:v>44561</c:v>
                </c:pt>
                <c:pt idx="266">
                  <c:v>44565</c:v>
                </c:pt>
                <c:pt idx="267">
                  <c:v>44566</c:v>
                </c:pt>
                <c:pt idx="268">
                  <c:v>44567</c:v>
                </c:pt>
                <c:pt idx="269">
                  <c:v>44568</c:v>
                </c:pt>
                <c:pt idx="270">
                  <c:v>44571</c:v>
                </c:pt>
                <c:pt idx="271">
                  <c:v>44572</c:v>
                </c:pt>
                <c:pt idx="272">
                  <c:v>44573</c:v>
                </c:pt>
                <c:pt idx="273">
                  <c:v>44574</c:v>
                </c:pt>
                <c:pt idx="274">
                  <c:v>44575</c:v>
                </c:pt>
                <c:pt idx="275">
                  <c:v>44578</c:v>
                </c:pt>
                <c:pt idx="276">
                  <c:v>44579</c:v>
                </c:pt>
                <c:pt idx="277">
                  <c:v>44580</c:v>
                </c:pt>
                <c:pt idx="278">
                  <c:v>44581</c:v>
                </c:pt>
                <c:pt idx="279">
                  <c:v>44582</c:v>
                </c:pt>
                <c:pt idx="280">
                  <c:v>44585</c:v>
                </c:pt>
                <c:pt idx="281">
                  <c:v>44586</c:v>
                </c:pt>
                <c:pt idx="282">
                  <c:v>44587</c:v>
                </c:pt>
                <c:pt idx="283">
                  <c:v>44588</c:v>
                </c:pt>
                <c:pt idx="284">
                  <c:v>44589</c:v>
                </c:pt>
                <c:pt idx="285">
                  <c:v>44599</c:v>
                </c:pt>
                <c:pt idx="286">
                  <c:v>44600</c:v>
                </c:pt>
                <c:pt idx="287">
                  <c:v>44601</c:v>
                </c:pt>
                <c:pt idx="288">
                  <c:v>44602</c:v>
                </c:pt>
                <c:pt idx="289">
                  <c:v>44603</c:v>
                </c:pt>
                <c:pt idx="290">
                  <c:v>44606</c:v>
                </c:pt>
                <c:pt idx="291">
                  <c:v>44607</c:v>
                </c:pt>
                <c:pt idx="292">
                  <c:v>44608</c:v>
                </c:pt>
                <c:pt idx="293">
                  <c:v>44609</c:v>
                </c:pt>
                <c:pt idx="294">
                  <c:v>44610</c:v>
                </c:pt>
                <c:pt idx="295">
                  <c:v>44613</c:v>
                </c:pt>
                <c:pt idx="296">
                  <c:v>44614</c:v>
                </c:pt>
                <c:pt idx="297">
                  <c:v>44615</c:v>
                </c:pt>
                <c:pt idx="298">
                  <c:v>44616</c:v>
                </c:pt>
                <c:pt idx="299">
                  <c:v>44617</c:v>
                </c:pt>
                <c:pt idx="300">
                  <c:v>44620</c:v>
                </c:pt>
                <c:pt idx="301">
                  <c:v>44621</c:v>
                </c:pt>
                <c:pt idx="302">
                  <c:v>44622</c:v>
                </c:pt>
                <c:pt idx="303">
                  <c:v>44623</c:v>
                </c:pt>
                <c:pt idx="304">
                  <c:v>44624</c:v>
                </c:pt>
                <c:pt idx="305">
                  <c:v>44627</c:v>
                </c:pt>
                <c:pt idx="306">
                  <c:v>44628</c:v>
                </c:pt>
                <c:pt idx="307">
                  <c:v>44629</c:v>
                </c:pt>
                <c:pt idx="308">
                  <c:v>44630</c:v>
                </c:pt>
                <c:pt idx="309">
                  <c:v>44631</c:v>
                </c:pt>
                <c:pt idx="310">
                  <c:v>44634</c:v>
                </c:pt>
                <c:pt idx="311">
                  <c:v>44635</c:v>
                </c:pt>
                <c:pt idx="312">
                  <c:v>44636</c:v>
                </c:pt>
                <c:pt idx="313">
                  <c:v>44637</c:v>
                </c:pt>
                <c:pt idx="314">
                  <c:v>44638</c:v>
                </c:pt>
                <c:pt idx="315">
                  <c:v>44641</c:v>
                </c:pt>
                <c:pt idx="316">
                  <c:v>44642</c:v>
                </c:pt>
                <c:pt idx="317">
                  <c:v>44643</c:v>
                </c:pt>
                <c:pt idx="318">
                  <c:v>44644</c:v>
                </c:pt>
                <c:pt idx="319">
                  <c:v>44645</c:v>
                </c:pt>
                <c:pt idx="320">
                  <c:v>44648</c:v>
                </c:pt>
                <c:pt idx="321">
                  <c:v>44649</c:v>
                </c:pt>
                <c:pt idx="322">
                  <c:v>44650</c:v>
                </c:pt>
                <c:pt idx="323">
                  <c:v>44651</c:v>
                </c:pt>
                <c:pt idx="324">
                  <c:v>44652</c:v>
                </c:pt>
                <c:pt idx="325">
                  <c:v>44657</c:v>
                </c:pt>
                <c:pt idx="326">
                  <c:v>44658</c:v>
                </c:pt>
                <c:pt idx="327">
                  <c:v>44659</c:v>
                </c:pt>
                <c:pt idx="328">
                  <c:v>44662</c:v>
                </c:pt>
                <c:pt idx="329">
                  <c:v>44663</c:v>
                </c:pt>
                <c:pt idx="330">
                  <c:v>44664</c:v>
                </c:pt>
                <c:pt idx="331">
                  <c:v>44665</c:v>
                </c:pt>
                <c:pt idx="332">
                  <c:v>44666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44686</c:v>
                </c:pt>
                <c:pt idx="344">
                  <c:v>44687</c:v>
                </c:pt>
                <c:pt idx="345">
                  <c:v>44690</c:v>
                </c:pt>
                <c:pt idx="346">
                  <c:v>44691</c:v>
                </c:pt>
                <c:pt idx="347">
                  <c:v>44692</c:v>
                </c:pt>
                <c:pt idx="348">
                  <c:v>44693</c:v>
                </c:pt>
                <c:pt idx="349">
                  <c:v>44694</c:v>
                </c:pt>
                <c:pt idx="350">
                  <c:v>44697</c:v>
                </c:pt>
                <c:pt idx="351">
                  <c:v>44698</c:v>
                </c:pt>
                <c:pt idx="352">
                  <c:v>44699</c:v>
                </c:pt>
                <c:pt idx="353">
                  <c:v>44700</c:v>
                </c:pt>
                <c:pt idx="354">
                  <c:v>44701</c:v>
                </c:pt>
                <c:pt idx="355">
                  <c:v>44704</c:v>
                </c:pt>
                <c:pt idx="356">
                  <c:v>44705</c:v>
                </c:pt>
                <c:pt idx="357">
                  <c:v>44706</c:v>
                </c:pt>
                <c:pt idx="358">
                  <c:v>44707</c:v>
                </c:pt>
                <c:pt idx="359">
                  <c:v>44708</c:v>
                </c:pt>
                <c:pt idx="360">
                  <c:v>44711</c:v>
                </c:pt>
                <c:pt idx="361">
                  <c:v>44712</c:v>
                </c:pt>
                <c:pt idx="362">
                  <c:v>44713</c:v>
                </c:pt>
                <c:pt idx="363">
                  <c:v>44714</c:v>
                </c:pt>
                <c:pt idx="364">
                  <c:v>44718</c:v>
                </c:pt>
                <c:pt idx="365">
                  <c:v>44719</c:v>
                </c:pt>
                <c:pt idx="366">
                  <c:v>44720</c:v>
                </c:pt>
                <c:pt idx="367">
                  <c:v>44721</c:v>
                </c:pt>
                <c:pt idx="368">
                  <c:v>44722</c:v>
                </c:pt>
                <c:pt idx="369">
                  <c:v>44725</c:v>
                </c:pt>
                <c:pt idx="370">
                  <c:v>44726</c:v>
                </c:pt>
                <c:pt idx="371">
                  <c:v>44727</c:v>
                </c:pt>
                <c:pt idx="372">
                  <c:v>44728</c:v>
                </c:pt>
                <c:pt idx="373">
                  <c:v>44729</c:v>
                </c:pt>
                <c:pt idx="374">
                  <c:v>44732</c:v>
                </c:pt>
                <c:pt idx="375">
                  <c:v>44733</c:v>
                </c:pt>
                <c:pt idx="376">
                  <c:v>44734</c:v>
                </c:pt>
                <c:pt idx="377">
                  <c:v>44735</c:v>
                </c:pt>
                <c:pt idx="378">
                  <c:v>44736</c:v>
                </c:pt>
                <c:pt idx="379">
                  <c:v>44739</c:v>
                </c:pt>
                <c:pt idx="380">
                  <c:v>44740</c:v>
                </c:pt>
                <c:pt idx="381">
                  <c:v>44741</c:v>
                </c:pt>
                <c:pt idx="382">
                  <c:v>44742</c:v>
                </c:pt>
                <c:pt idx="383">
                  <c:v>44743</c:v>
                </c:pt>
                <c:pt idx="384">
                  <c:v>44746</c:v>
                </c:pt>
                <c:pt idx="385">
                  <c:v>44747</c:v>
                </c:pt>
                <c:pt idx="386">
                  <c:v>44748</c:v>
                </c:pt>
                <c:pt idx="387">
                  <c:v>44749</c:v>
                </c:pt>
                <c:pt idx="388">
                  <c:v>44750</c:v>
                </c:pt>
                <c:pt idx="389">
                  <c:v>44753</c:v>
                </c:pt>
                <c:pt idx="390">
                  <c:v>44754</c:v>
                </c:pt>
                <c:pt idx="391">
                  <c:v>44755</c:v>
                </c:pt>
                <c:pt idx="392">
                  <c:v>44756</c:v>
                </c:pt>
                <c:pt idx="393">
                  <c:v>44757</c:v>
                </c:pt>
                <c:pt idx="394">
                  <c:v>44760</c:v>
                </c:pt>
                <c:pt idx="395">
                  <c:v>44761</c:v>
                </c:pt>
                <c:pt idx="396">
                  <c:v>44762</c:v>
                </c:pt>
                <c:pt idx="397">
                  <c:v>44763</c:v>
                </c:pt>
                <c:pt idx="398">
                  <c:v>44764</c:v>
                </c:pt>
                <c:pt idx="399">
                  <c:v>44767</c:v>
                </c:pt>
                <c:pt idx="400">
                  <c:v>44768</c:v>
                </c:pt>
                <c:pt idx="401">
                  <c:v>44769</c:v>
                </c:pt>
                <c:pt idx="402">
                  <c:v>44770</c:v>
                </c:pt>
                <c:pt idx="403">
                  <c:v>44771</c:v>
                </c:pt>
                <c:pt idx="404">
                  <c:v>44774</c:v>
                </c:pt>
                <c:pt idx="405">
                  <c:v>44775</c:v>
                </c:pt>
                <c:pt idx="406">
                  <c:v>44776</c:v>
                </c:pt>
                <c:pt idx="407">
                  <c:v>44777</c:v>
                </c:pt>
                <c:pt idx="408">
                  <c:v>44778</c:v>
                </c:pt>
                <c:pt idx="409">
                  <c:v>44781</c:v>
                </c:pt>
                <c:pt idx="410">
                  <c:v>44782</c:v>
                </c:pt>
                <c:pt idx="411">
                  <c:v>44783</c:v>
                </c:pt>
                <c:pt idx="412">
                  <c:v>44784</c:v>
                </c:pt>
                <c:pt idx="413">
                  <c:v>44785</c:v>
                </c:pt>
                <c:pt idx="414">
                  <c:v>44788</c:v>
                </c:pt>
                <c:pt idx="415">
                  <c:v>44789</c:v>
                </c:pt>
                <c:pt idx="416">
                  <c:v>44790</c:v>
                </c:pt>
                <c:pt idx="417">
                  <c:v>44791</c:v>
                </c:pt>
                <c:pt idx="418">
                  <c:v>44792</c:v>
                </c:pt>
                <c:pt idx="419">
                  <c:v>44795</c:v>
                </c:pt>
                <c:pt idx="420">
                  <c:v>44796</c:v>
                </c:pt>
                <c:pt idx="421">
                  <c:v>44797</c:v>
                </c:pt>
                <c:pt idx="422">
                  <c:v>44798</c:v>
                </c:pt>
                <c:pt idx="423">
                  <c:v>44799</c:v>
                </c:pt>
                <c:pt idx="424">
                  <c:v>44802</c:v>
                </c:pt>
                <c:pt idx="425">
                  <c:v>44803</c:v>
                </c:pt>
                <c:pt idx="426">
                  <c:v>44804</c:v>
                </c:pt>
                <c:pt idx="427">
                  <c:v>44805</c:v>
                </c:pt>
                <c:pt idx="428">
                  <c:v>44806</c:v>
                </c:pt>
                <c:pt idx="429">
                  <c:v>44809</c:v>
                </c:pt>
                <c:pt idx="430">
                  <c:v>44810</c:v>
                </c:pt>
                <c:pt idx="431">
                  <c:v>44811</c:v>
                </c:pt>
                <c:pt idx="432">
                  <c:v>44812</c:v>
                </c:pt>
                <c:pt idx="433">
                  <c:v>44813</c:v>
                </c:pt>
                <c:pt idx="434">
                  <c:v>44817</c:v>
                </c:pt>
                <c:pt idx="435">
                  <c:v>44818</c:v>
                </c:pt>
                <c:pt idx="436">
                  <c:v>44819</c:v>
                </c:pt>
                <c:pt idx="437">
                  <c:v>44820</c:v>
                </c:pt>
                <c:pt idx="438">
                  <c:v>44823</c:v>
                </c:pt>
                <c:pt idx="439">
                  <c:v>44824</c:v>
                </c:pt>
                <c:pt idx="440">
                  <c:v>44825</c:v>
                </c:pt>
                <c:pt idx="441">
                  <c:v>44826</c:v>
                </c:pt>
                <c:pt idx="442">
                  <c:v>44827</c:v>
                </c:pt>
                <c:pt idx="443">
                  <c:v>44830</c:v>
                </c:pt>
                <c:pt idx="444">
                  <c:v>44831</c:v>
                </c:pt>
                <c:pt idx="445">
                  <c:v>44832</c:v>
                </c:pt>
                <c:pt idx="446">
                  <c:v>44833</c:v>
                </c:pt>
                <c:pt idx="447">
                  <c:v>44834</c:v>
                </c:pt>
                <c:pt idx="448">
                  <c:v>44844</c:v>
                </c:pt>
                <c:pt idx="449">
                  <c:v>44845</c:v>
                </c:pt>
                <c:pt idx="450">
                  <c:v>44846</c:v>
                </c:pt>
                <c:pt idx="451">
                  <c:v>44847</c:v>
                </c:pt>
                <c:pt idx="452">
                  <c:v>44848</c:v>
                </c:pt>
                <c:pt idx="453">
                  <c:v>44851</c:v>
                </c:pt>
                <c:pt idx="454">
                  <c:v>44852</c:v>
                </c:pt>
                <c:pt idx="455">
                  <c:v>44853</c:v>
                </c:pt>
                <c:pt idx="456">
                  <c:v>44854</c:v>
                </c:pt>
                <c:pt idx="457">
                  <c:v>44855</c:v>
                </c:pt>
                <c:pt idx="458">
                  <c:v>44858</c:v>
                </c:pt>
                <c:pt idx="459">
                  <c:v>44859</c:v>
                </c:pt>
                <c:pt idx="460">
                  <c:v>44860</c:v>
                </c:pt>
                <c:pt idx="461">
                  <c:v>44861</c:v>
                </c:pt>
                <c:pt idx="462">
                  <c:v>44862</c:v>
                </c:pt>
                <c:pt idx="463">
                  <c:v>44865</c:v>
                </c:pt>
                <c:pt idx="464">
                  <c:v>44866</c:v>
                </c:pt>
                <c:pt idx="465">
                  <c:v>44867</c:v>
                </c:pt>
                <c:pt idx="466">
                  <c:v>44868</c:v>
                </c:pt>
                <c:pt idx="467">
                  <c:v>44869</c:v>
                </c:pt>
                <c:pt idx="468">
                  <c:v>44872</c:v>
                </c:pt>
                <c:pt idx="469">
                  <c:v>44873</c:v>
                </c:pt>
                <c:pt idx="470">
                  <c:v>44874</c:v>
                </c:pt>
                <c:pt idx="471">
                  <c:v>44875</c:v>
                </c:pt>
                <c:pt idx="472">
                  <c:v>44876</c:v>
                </c:pt>
                <c:pt idx="473">
                  <c:v>44879</c:v>
                </c:pt>
                <c:pt idx="474">
                  <c:v>44880</c:v>
                </c:pt>
                <c:pt idx="475">
                  <c:v>44881</c:v>
                </c:pt>
                <c:pt idx="476">
                  <c:v>44882</c:v>
                </c:pt>
                <c:pt idx="477">
                  <c:v>44883</c:v>
                </c:pt>
                <c:pt idx="478">
                  <c:v>44886</c:v>
                </c:pt>
                <c:pt idx="479">
                  <c:v>44887</c:v>
                </c:pt>
                <c:pt idx="480">
                  <c:v>44888</c:v>
                </c:pt>
                <c:pt idx="481">
                  <c:v>44889</c:v>
                </c:pt>
                <c:pt idx="482">
                  <c:v>44890</c:v>
                </c:pt>
                <c:pt idx="483">
                  <c:v>44893</c:v>
                </c:pt>
                <c:pt idx="484">
                  <c:v>44894</c:v>
                </c:pt>
                <c:pt idx="485">
                  <c:v>44895</c:v>
                </c:pt>
                <c:pt idx="486">
                  <c:v>44896</c:v>
                </c:pt>
                <c:pt idx="487">
                  <c:v>44897</c:v>
                </c:pt>
                <c:pt idx="488">
                  <c:v>44900</c:v>
                </c:pt>
                <c:pt idx="489">
                  <c:v>44901</c:v>
                </c:pt>
                <c:pt idx="490">
                  <c:v>44902</c:v>
                </c:pt>
                <c:pt idx="491">
                  <c:v>44903</c:v>
                </c:pt>
                <c:pt idx="492">
                  <c:v>44904</c:v>
                </c:pt>
                <c:pt idx="493">
                  <c:v>44907</c:v>
                </c:pt>
                <c:pt idx="494">
                  <c:v>44908</c:v>
                </c:pt>
                <c:pt idx="495">
                  <c:v>44909</c:v>
                </c:pt>
                <c:pt idx="496">
                  <c:v>44910</c:v>
                </c:pt>
                <c:pt idx="497">
                  <c:v>44911</c:v>
                </c:pt>
                <c:pt idx="498">
                  <c:v>44914</c:v>
                </c:pt>
                <c:pt idx="499">
                  <c:v>44915</c:v>
                </c:pt>
                <c:pt idx="500">
                  <c:v>44916</c:v>
                </c:pt>
                <c:pt idx="501">
                  <c:v>44917</c:v>
                </c:pt>
                <c:pt idx="502">
                  <c:v>44918</c:v>
                </c:pt>
                <c:pt idx="503">
                  <c:v>44921</c:v>
                </c:pt>
                <c:pt idx="504">
                  <c:v>44922</c:v>
                </c:pt>
                <c:pt idx="505">
                  <c:v>44923</c:v>
                </c:pt>
                <c:pt idx="506">
                  <c:v>44924</c:v>
                </c:pt>
                <c:pt idx="507">
                  <c:v>44925</c:v>
                </c:pt>
                <c:pt idx="508">
                  <c:v>44929</c:v>
                </c:pt>
                <c:pt idx="509">
                  <c:v>44930</c:v>
                </c:pt>
                <c:pt idx="510">
                  <c:v>44931</c:v>
                </c:pt>
                <c:pt idx="511">
                  <c:v>44932</c:v>
                </c:pt>
                <c:pt idx="512">
                  <c:v>44935</c:v>
                </c:pt>
                <c:pt idx="513">
                  <c:v>44936</c:v>
                </c:pt>
                <c:pt idx="514">
                  <c:v>44937</c:v>
                </c:pt>
                <c:pt idx="515">
                  <c:v>44938</c:v>
                </c:pt>
                <c:pt idx="516">
                  <c:v>44939</c:v>
                </c:pt>
                <c:pt idx="517">
                  <c:v>44942</c:v>
                </c:pt>
                <c:pt idx="518">
                  <c:v>44943</c:v>
                </c:pt>
                <c:pt idx="519">
                  <c:v>44944</c:v>
                </c:pt>
                <c:pt idx="520">
                  <c:v>44945</c:v>
                </c:pt>
                <c:pt idx="521">
                  <c:v>44946</c:v>
                </c:pt>
                <c:pt idx="522">
                  <c:v>44956</c:v>
                </c:pt>
                <c:pt idx="523">
                  <c:v>44957</c:v>
                </c:pt>
                <c:pt idx="524">
                  <c:v>44958</c:v>
                </c:pt>
                <c:pt idx="525">
                  <c:v>44959</c:v>
                </c:pt>
                <c:pt idx="526">
                  <c:v>44960</c:v>
                </c:pt>
                <c:pt idx="527">
                  <c:v>44963</c:v>
                </c:pt>
                <c:pt idx="528">
                  <c:v>44964</c:v>
                </c:pt>
                <c:pt idx="529">
                  <c:v>44965</c:v>
                </c:pt>
                <c:pt idx="530">
                  <c:v>44966</c:v>
                </c:pt>
                <c:pt idx="531">
                  <c:v>44967</c:v>
                </c:pt>
                <c:pt idx="532">
                  <c:v>44970</c:v>
                </c:pt>
                <c:pt idx="533">
                  <c:v>44971</c:v>
                </c:pt>
                <c:pt idx="534">
                  <c:v>44972</c:v>
                </c:pt>
                <c:pt idx="535">
                  <c:v>44973</c:v>
                </c:pt>
                <c:pt idx="536">
                  <c:v>44974</c:v>
                </c:pt>
                <c:pt idx="537">
                  <c:v>44977</c:v>
                </c:pt>
                <c:pt idx="538">
                  <c:v>44978</c:v>
                </c:pt>
                <c:pt idx="539">
                  <c:v>44979</c:v>
                </c:pt>
                <c:pt idx="540">
                  <c:v>44980</c:v>
                </c:pt>
                <c:pt idx="541">
                  <c:v>44981</c:v>
                </c:pt>
                <c:pt idx="542">
                  <c:v>44984</c:v>
                </c:pt>
                <c:pt idx="543">
                  <c:v>44985</c:v>
                </c:pt>
                <c:pt idx="544">
                  <c:v>44986</c:v>
                </c:pt>
                <c:pt idx="545">
                  <c:v>44987</c:v>
                </c:pt>
                <c:pt idx="546">
                  <c:v>44988</c:v>
                </c:pt>
                <c:pt idx="547">
                  <c:v>44991</c:v>
                </c:pt>
                <c:pt idx="548">
                  <c:v>44992</c:v>
                </c:pt>
                <c:pt idx="549">
                  <c:v>44993</c:v>
                </c:pt>
                <c:pt idx="550">
                  <c:v>44994</c:v>
                </c:pt>
                <c:pt idx="551">
                  <c:v>44995</c:v>
                </c:pt>
                <c:pt idx="552">
                  <c:v>44998</c:v>
                </c:pt>
                <c:pt idx="553">
                  <c:v>44999</c:v>
                </c:pt>
                <c:pt idx="554">
                  <c:v>45000</c:v>
                </c:pt>
                <c:pt idx="555">
                  <c:v>45001</c:v>
                </c:pt>
                <c:pt idx="556">
                  <c:v>45002</c:v>
                </c:pt>
                <c:pt idx="557">
                  <c:v>45005</c:v>
                </c:pt>
                <c:pt idx="558">
                  <c:v>45006</c:v>
                </c:pt>
                <c:pt idx="559">
                  <c:v>45007</c:v>
                </c:pt>
                <c:pt idx="560">
                  <c:v>45008</c:v>
                </c:pt>
                <c:pt idx="561">
                  <c:v>45009</c:v>
                </c:pt>
                <c:pt idx="562">
                  <c:v>45012</c:v>
                </c:pt>
                <c:pt idx="563">
                  <c:v>45013</c:v>
                </c:pt>
                <c:pt idx="564">
                  <c:v>45014</c:v>
                </c:pt>
                <c:pt idx="565">
                  <c:v>45015</c:v>
                </c:pt>
                <c:pt idx="566">
                  <c:v>45016</c:v>
                </c:pt>
                <c:pt idx="567">
                  <c:v>45019</c:v>
                </c:pt>
                <c:pt idx="568">
                  <c:v>45020</c:v>
                </c:pt>
                <c:pt idx="569">
                  <c:v>45022</c:v>
                </c:pt>
                <c:pt idx="570">
                  <c:v>45023</c:v>
                </c:pt>
                <c:pt idx="571">
                  <c:v>45026</c:v>
                </c:pt>
                <c:pt idx="572">
                  <c:v>45027</c:v>
                </c:pt>
                <c:pt idx="573">
                  <c:v>45028</c:v>
                </c:pt>
                <c:pt idx="574">
                  <c:v>45029</c:v>
                </c:pt>
                <c:pt idx="575">
                  <c:v>45030</c:v>
                </c:pt>
                <c:pt idx="576">
                  <c:v>45033</c:v>
                </c:pt>
                <c:pt idx="577">
                  <c:v>45034</c:v>
                </c:pt>
                <c:pt idx="578">
                  <c:v>45035</c:v>
                </c:pt>
                <c:pt idx="579">
                  <c:v>45036</c:v>
                </c:pt>
                <c:pt idx="580">
                  <c:v>45037</c:v>
                </c:pt>
                <c:pt idx="581">
                  <c:v>45040</c:v>
                </c:pt>
                <c:pt idx="582">
                  <c:v>45041</c:v>
                </c:pt>
                <c:pt idx="583">
                  <c:v>45042</c:v>
                </c:pt>
                <c:pt idx="584">
                  <c:v>45043</c:v>
                </c:pt>
                <c:pt idx="585">
                  <c:v>45044</c:v>
                </c:pt>
              </c:numCache>
            </c:numRef>
          </c:cat>
          <c:val>
            <c:numRef>
              <c:f>情绪数据!ma3涨停</c:f>
              <c:numCache>
                <c:formatCode>0.00_ 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38.333333333333336</c:v>
                </c:pt>
                <c:pt idx="4">
                  <c:v>43.666666666666664</c:v>
                </c:pt>
                <c:pt idx="5">
                  <c:v>40.666666666666664</c:v>
                </c:pt>
                <c:pt idx="6">
                  <c:v>35.666666666666664</c:v>
                </c:pt>
                <c:pt idx="7">
                  <c:v>31.666666666666668</c:v>
                </c:pt>
                <c:pt idx="8">
                  <c:v>30.666666666666668</c:v>
                </c:pt>
                <c:pt idx="9">
                  <c:v>29.333333333333332</c:v>
                </c:pt>
                <c:pt idx="10">
                  <c:v>25.666666666666668</c:v>
                </c:pt>
                <c:pt idx="11">
                  <c:v>30.333333333333332</c:v>
                </c:pt>
                <c:pt idx="12">
                  <c:v>30.666666666666668</c:v>
                </c:pt>
                <c:pt idx="13">
                  <c:v>31.666666666666668</c:v>
                </c:pt>
                <c:pt idx="14">
                  <c:v>32</c:v>
                </c:pt>
                <c:pt idx="15">
                  <c:v>34.666666666666664</c:v>
                </c:pt>
                <c:pt idx="16">
                  <c:v>44</c:v>
                </c:pt>
                <c:pt idx="17">
                  <c:v>40</c:v>
                </c:pt>
                <c:pt idx="18">
                  <c:v>44.666666666666664</c:v>
                </c:pt>
                <c:pt idx="19">
                  <c:v>40</c:v>
                </c:pt>
                <c:pt idx="20">
                  <c:v>52</c:v>
                </c:pt>
                <c:pt idx="21">
                  <c:v>55</c:v>
                </c:pt>
                <c:pt idx="22">
                  <c:v>62</c:v>
                </c:pt>
                <c:pt idx="23">
                  <c:v>60.333333333333336</c:v>
                </c:pt>
                <c:pt idx="24">
                  <c:v>59.333333333333336</c:v>
                </c:pt>
                <c:pt idx="25">
                  <c:v>76</c:v>
                </c:pt>
                <c:pt idx="26">
                  <c:v>80.333333333333329</c:v>
                </c:pt>
                <c:pt idx="27">
                  <c:v>76.666666666666671</c:v>
                </c:pt>
                <c:pt idx="28">
                  <c:v>51.666666666666664</c:v>
                </c:pt>
                <c:pt idx="29">
                  <c:v>42.333333333333336</c:v>
                </c:pt>
                <c:pt idx="30">
                  <c:v>40.333333333333336</c:v>
                </c:pt>
                <c:pt idx="31">
                  <c:v>53</c:v>
                </c:pt>
                <c:pt idx="32">
                  <c:v>49.666666666666664</c:v>
                </c:pt>
                <c:pt idx="33">
                  <c:v>59.333333333333336</c:v>
                </c:pt>
                <c:pt idx="34">
                  <c:v>62</c:v>
                </c:pt>
                <c:pt idx="35">
                  <c:v>78.666666666666671</c:v>
                </c:pt>
                <c:pt idx="36">
                  <c:v>80</c:v>
                </c:pt>
                <c:pt idx="37">
                  <c:v>79</c:v>
                </c:pt>
                <c:pt idx="38">
                  <c:v>75.333333333333329</c:v>
                </c:pt>
                <c:pt idx="39">
                  <c:v>67.333333333333329</c:v>
                </c:pt>
                <c:pt idx="40">
                  <c:v>57.666666666666664</c:v>
                </c:pt>
                <c:pt idx="41">
                  <c:v>48.666666666666664</c:v>
                </c:pt>
                <c:pt idx="42">
                  <c:v>53</c:v>
                </c:pt>
                <c:pt idx="43">
                  <c:v>51.666666666666664</c:v>
                </c:pt>
                <c:pt idx="44">
                  <c:v>45.333333333333336</c:v>
                </c:pt>
                <c:pt idx="45">
                  <c:v>52</c:v>
                </c:pt>
                <c:pt idx="46">
                  <c:v>60.666666666666664</c:v>
                </c:pt>
                <c:pt idx="47">
                  <c:v>63</c:v>
                </c:pt>
                <c:pt idx="48">
                  <c:v>50.666666666666664</c:v>
                </c:pt>
                <c:pt idx="49">
                  <c:v>43</c:v>
                </c:pt>
                <c:pt idx="50">
                  <c:v>48.333333333333336</c:v>
                </c:pt>
                <c:pt idx="51">
                  <c:v>55</c:v>
                </c:pt>
                <c:pt idx="52">
                  <c:v>53</c:v>
                </c:pt>
                <c:pt idx="53">
                  <c:v>68</c:v>
                </c:pt>
                <c:pt idx="54">
                  <c:v>79.666666666666671</c:v>
                </c:pt>
                <c:pt idx="55">
                  <c:v>93.333333333333329</c:v>
                </c:pt>
                <c:pt idx="56">
                  <c:v>77.666666666666671</c:v>
                </c:pt>
                <c:pt idx="57">
                  <c:v>58.333333333333336</c:v>
                </c:pt>
                <c:pt idx="58">
                  <c:v>45.333333333333336</c:v>
                </c:pt>
                <c:pt idx="59">
                  <c:v>40.666666666666664</c:v>
                </c:pt>
                <c:pt idx="60">
                  <c:v>54.666666666666664</c:v>
                </c:pt>
                <c:pt idx="61">
                  <c:v>53.333333333333336</c:v>
                </c:pt>
                <c:pt idx="62">
                  <c:v>67.333333333333329</c:v>
                </c:pt>
                <c:pt idx="63">
                  <c:v>53.333333333333336</c:v>
                </c:pt>
                <c:pt idx="64">
                  <c:v>61.333333333333336</c:v>
                </c:pt>
                <c:pt idx="65">
                  <c:v>52</c:v>
                </c:pt>
                <c:pt idx="66">
                  <c:v>49.333333333333336</c:v>
                </c:pt>
                <c:pt idx="67">
                  <c:v>40</c:v>
                </c:pt>
                <c:pt idx="68">
                  <c:v>45.333333333333336</c:v>
                </c:pt>
                <c:pt idx="69">
                  <c:v>49.666666666666664</c:v>
                </c:pt>
                <c:pt idx="70">
                  <c:v>54</c:v>
                </c:pt>
                <c:pt idx="71">
                  <c:v>52.333333333333336</c:v>
                </c:pt>
                <c:pt idx="72">
                  <c:v>55.333333333333336</c:v>
                </c:pt>
                <c:pt idx="73">
                  <c:v>59.666666666666664</c:v>
                </c:pt>
                <c:pt idx="74">
                  <c:v>56.333333333333336</c:v>
                </c:pt>
                <c:pt idx="75">
                  <c:v>64.333333333333329</c:v>
                </c:pt>
                <c:pt idx="76">
                  <c:v>60.333333333333336</c:v>
                </c:pt>
                <c:pt idx="77">
                  <c:v>61</c:v>
                </c:pt>
                <c:pt idx="78">
                  <c:v>48.666666666666664</c:v>
                </c:pt>
                <c:pt idx="79">
                  <c:v>57</c:v>
                </c:pt>
                <c:pt idx="80">
                  <c:v>59.666666666666664</c:v>
                </c:pt>
                <c:pt idx="81">
                  <c:v>64.666666666666671</c:v>
                </c:pt>
                <c:pt idx="82">
                  <c:v>65</c:v>
                </c:pt>
                <c:pt idx="83">
                  <c:v>67.666666666666671</c:v>
                </c:pt>
                <c:pt idx="84">
                  <c:v>71</c:v>
                </c:pt>
                <c:pt idx="85">
                  <c:v>72</c:v>
                </c:pt>
                <c:pt idx="86">
                  <c:v>78</c:v>
                </c:pt>
                <c:pt idx="87">
                  <c:v>67.666666666666671</c:v>
                </c:pt>
                <c:pt idx="88">
                  <c:v>60.666666666666664</c:v>
                </c:pt>
                <c:pt idx="89">
                  <c:v>52</c:v>
                </c:pt>
                <c:pt idx="90">
                  <c:v>56.666666666666664</c:v>
                </c:pt>
                <c:pt idx="91">
                  <c:v>59.666666666666664</c:v>
                </c:pt>
                <c:pt idx="92">
                  <c:v>52.666666666666664</c:v>
                </c:pt>
                <c:pt idx="93">
                  <c:v>60.333333333333336</c:v>
                </c:pt>
                <c:pt idx="94">
                  <c:v>64.666666666666671</c:v>
                </c:pt>
                <c:pt idx="95">
                  <c:v>64</c:v>
                </c:pt>
                <c:pt idx="96">
                  <c:v>50.666666666666664</c:v>
                </c:pt>
                <c:pt idx="97">
                  <c:v>38.333333333333336</c:v>
                </c:pt>
                <c:pt idx="98">
                  <c:v>36.333333333333336</c:v>
                </c:pt>
                <c:pt idx="99">
                  <c:v>40.333333333333336</c:v>
                </c:pt>
                <c:pt idx="100">
                  <c:v>39.666666666666664</c:v>
                </c:pt>
                <c:pt idx="101">
                  <c:v>48</c:v>
                </c:pt>
                <c:pt idx="102">
                  <c:v>47.333333333333336</c:v>
                </c:pt>
                <c:pt idx="103">
                  <c:v>48</c:v>
                </c:pt>
                <c:pt idx="104">
                  <c:v>47.333333333333336</c:v>
                </c:pt>
                <c:pt idx="105">
                  <c:v>47</c:v>
                </c:pt>
                <c:pt idx="106">
                  <c:v>61</c:v>
                </c:pt>
                <c:pt idx="107">
                  <c:v>59.666666666666664</c:v>
                </c:pt>
                <c:pt idx="108">
                  <c:v>59.333333333333336</c:v>
                </c:pt>
                <c:pt idx="109">
                  <c:v>57.666666666666664</c:v>
                </c:pt>
                <c:pt idx="110">
                  <c:v>50.333333333333336</c:v>
                </c:pt>
                <c:pt idx="111">
                  <c:v>59.333333333333336</c:v>
                </c:pt>
                <c:pt idx="112">
                  <c:v>51.333333333333336</c:v>
                </c:pt>
                <c:pt idx="113">
                  <c:v>56</c:v>
                </c:pt>
                <c:pt idx="114">
                  <c:v>53.666666666666664</c:v>
                </c:pt>
                <c:pt idx="115">
                  <c:v>54.666666666666664</c:v>
                </c:pt>
                <c:pt idx="116">
                  <c:v>55.333333333333336</c:v>
                </c:pt>
                <c:pt idx="117">
                  <c:v>54.333333333333336</c:v>
                </c:pt>
                <c:pt idx="118">
                  <c:v>57.333333333333336</c:v>
                </c:pt>
                <c:pt idx="119">
                  <c:v>57.333333333333336</c:v>
                </c:pt>
                <c:pt idx="120">
                  <c:v>66</c:v>
                </c:pt>
                <c:pt idx="121">
                  <c:v>66.666666666666671</c:v>
                </c:pt>
                <c:pt idx="122">
                  <c:v>68.666666666666671</c:v>
                </c:pt>
                <c:pt idx="123">
                  <c:v>61.333333333333336</c:v>
                </c:pt>
                <c:pt idx="124">
                  <c:v>55.333333333333336</c:v>
                </c:pt>
                <c:pt idx="125">
                  <c:v>57.333333333333336</c:v>
                </c:pt>
                <c:pt idx="126">
                  <c:v>54</c:v>
                </c:pt>
                <c:pt idx="127">
                  <c:v>54.666666666666664</c:v>
                </c:pt>
                <c:pt idx="128">
                  <c:v>55.666666666666664</c:v>
                </c:pt>
                <c:pt idx="129">
                  <c:v>58</c:v>
                </c:pt>
                <c:pt idx="130">
                  <c:v>53.666666666666664</c:v>
                </c:pt>
                <c:pt idx="131">
                  <c:v>44.333333333333336</c:v>
                </c:pt>
                <c:pt idx="132">
                  <c:v>40.666666666666664</c:v>
                </c:pt>
                <c:pt idx="133">
                  <c:v>47.333333333333336</c:v>
                </c:pt>
                <c:pt idx="134">
                  <c:v>58.666666666666664</c:v>
                </c:pt>
                <c:pt idx="135">
                  <c:v>64.333333333333329</c:v>
                </c:pt>
                <c:pt idx="136">
                  <c:v>62</c:v>
                </c:pt>
                <c:pt idx="137">
                  <c:v>57.333333333333336</c:v>
                </c:pt>
                <c:pt idx="138">
                  <c:v>54</c:v>
                </c:pt>
                <c:pt idx="139">
                  <c:v>57.666666666666664</c:v>
                </c:pt>
                <c:pt idx="140">
                  <c:v>53.666666666666664</c:v>
                </c:pt>
                <c:pt idx="141">
                  <c:v>52</c:v>
                </c:pt>
                <c:pt idx="142">
                  <c:v>48.666666666666664</c:v>
                </c:pt>
                <c:pt idx="143">
                  <c:v>46.333333333333336</c:v>
                </c:pt>
                <c:pt idx="144">
                  <c:v>52.666666666666664</c:v>
                </c:pt>
                <c:pt idx="145">
                  <c:v>48</c:v>
                </c:pt>
                <c:pt idx="146">
                  <c:v>57</c:v>
                </c:pt>
                <c:pt idx="147">
                  <c:v>49</c:v>
                </c:pt>
                <c:pt idx="148">
                  <c:v>57.666666666666664</c:v>
                </c:pt>
                <c:pt idx="149">
                  <c:v>64.333333333333329</c:v>
                </c:pt>
                <c:pt idx="150">
                  <c:v>70</c:v>
                </c:pt>
                <c:pt idx="151">
                  <c:v>66</c:v>
                </c:pt>
                <c:pt idx="152">
                  <c:v>53.333333333333336</c:v>
                </c:pt>
                <c:pt idx="153">
                  <c:v>44</c:v>
                </c:pt>
                <c:pt idx="154">
                  <c:v>44</c:v>
                </c:pt>
                <c:pt idx="155">
                  <c:v>44.333333333333336</c:v>
                </c:pt>
                <c:pt idx="156">
                  <c:v>60.666666666666664</c:v>
                </c:pt>
                <c:pt idx="157">
                  <c:v>62</c:v>
                </c:pt>
                <c:pt idx="158">
                  <c:v>62.333333333333336</c:v>
                </c:pt>
                <c:pt idx="159">
                  <c:v>46.666666666666664</c:v>
                </c:pt>
                <c:pt idx="160">
                  <c:v>36.666666666666664</c:v>
                </c:pt>
                <c:pt idx="161">
                  <c:v>33.333333333333336</c:v>
                </c:pt>
                <c:pt idx="162">
                  <c:v>59.333333333333336</c:v>
                </c:pt>
                <c:pt idx="163">
                  <c:v>77.666666666666671</c:v>
                </c:pt>
                <c:pt idx="164">
                  <c:v>97.333333333333329</c:v>
                </c:pt>
                <c:pt idx="165">
                  <c:v>76.666666666666671</c:v>
                </c:pt>
                <c:pt idx="166">
                  <c:v>78.666666666666671</c:v>
                </c:pt>
                <c:pt idx="167">
                  <c:v>63.333333333333336</c:v>
                </c:pt>
                <c:pt idx="168">
                  <c:v>65.333333333333329</c:v>
                </c:pt>
                <c:pt idx="169">
                  <c:v>62.666666666666664</c:v>
                </c:pt>
                <c:pt idx="170">
                  <c:v>69.333333333333329</c:v>
                </c:pt>
                <c:pt idx="171">
                  <c:v>79.666666666666671</c:v>
                </c:pt>
                <c:pt idx="172">
                  <c:v>75.333333333333329</c:v>
                </c:pt>
                <c:pt idx="173">
                  <c:v>73.666666666666671</c:v>
                </c:pt>
                <c:pt idx="174">
                  <c:v>67.333333333333329</c:v>
                </c:pt>
                <c:pt idx="175">
                  <c:v>54.333333333333336</c:v>
                </c:pt>
                <c:pt idx="176">
                  <c:v>55.666666666666664</c:v>
                </c:pt>
                <c:pt idx="177">
                  <c:v>47.333333333333336</c:v>
                </c:pt>
                <c:pt idx="178">
                  <c:v>53.666666666666664</c:v>
                </c:pt>
                <c:pt idx="179">
                  <c:v>71.333333333333329</c:v>
                </c:pt>
                <c:pt idx="180">
                  <c:v>78</c:v>
                </c:pt>
                <c:pt idx="181">
                  <c:v>89.666666666666671</c:v>
                </c:pt>
                <c:pt idx="182">
                  <c:v>67</c:v>
                </c:pt>
                <c:pt idx="183">
                  <c:v>69.333333333333329</c:v>
                </c:pt>
                <c:pt idx="184">
                  <c:v>68</c:v>
                </c:pt>
                <c:pt idx="185">
                  <c:v>76.333333333333329</c:v>
                </c:pt>
                <c:pt idx="186">
                  <c:v>73.666666666666671</c:v>
                </c:pt>
                <c:pt idx="187">
                  <c:v>84.333333333333329</c:v>
                </c:pt>
                <c:pt idx="188">
                  <c:v>75.333333333333329</c:v>
                </c:pt>
                <c:pt idx="189">
                  <c:v>80</c:v>
                </c:pt>
                <c:pt idx="190">
                  <c:v>75.333333333333329</c:v>
                </c:pt>
                <c:pt idx="191">
                  <c:v>87.666666666666671</c:v>
                </c:pt>
                <c:pt idx="192">
                  <c:v>85</c:v>
                </c:pt>
                <c:pt idx="193">
                  <c:v>71</c:v>
                </c:pt>
                <c:pt idx="194">
                  <c:v>69.666666666666671</c:v>
                </c:pt>
                <c:pt idx="195">
                  <c:v>67</c:v>
                </c:pt>
                <c:pt idx="196">
                  <c:v>79.333333333333329</c:v>
                </c:pt>
                <c:pt idx="197">
                  <c:v>66.333333333333329</c:v>
                </c:pt>
                <c:pt idx="198">
                  <c:v>61</c:v>
                </c:pt>
                <c:pt idx="199">
                  <c:v>63</c:v>
                </c:pt>
                <c:pt idx="200">
                  <c:v>70.666666666666671</c:v>
                </c:pt>
                <c:pt idx="201">
                  <c:v>68.666666666666671</c:v>
                </c:pt>
                <c:pt idx="202">
                  <c:v>50</c:v>
                </c:pt>
                <c:pt idx="203">
                  <c:v>50.666666666666664</c:v>
                </c:pt>
                <c:pt idx="204">
                  <c:v>43</c:v>
                </c:pt>
                <c:pt idx="205">
                  <c:v>54</c:v>
                </c:pt>
                <c:pt idx="206">
                  <c:v>51.666666666666664</c:v>
                </c:pt>
                <c:pt idx="207">
                  <c:v>61</c:v>
                </c:pt>
                <c:pt idx="208">
                  <c:v>48.333333333333336</c:v>
                </c:pt>
                <c:pt idx="209">
                  <c:v>46</c:v>
                </c:pt>
                <c:pt idx="210">
                  <c:v>55.333333333333336</c:v>
                </c:pt>
                <c:pt idx="211">
                  <c:v>53.333333333333336</c:v>
                </c:pt>
                <c:pt idx="212">
                  <c:v>59.333333333333336</c:v>
                </c:pt>
                <c:pt idx="213">
                  <c:v>56.666666666666664</c:v>
                </c:pt>
                <c:pt idx="214">
                  <c:v>63</c:v>
                </c:pt>
                <c:pt idx="215">
                  <c:v>51.333333333333336</c:v>
                </c:pt>
                <c:pt idx="216">
                  <c:v>42.333333333333336</c:v>
                </c:pt>
                <c:pt idx="217">
                  <c:v>47.666666666666664</c:v>
                </c:pt>
                <c:pt idx="218">
                  <c:v>44.666666666666664</c:v>
                </c:pt>
                <c:pt idx="219">
                  <c:v>45.333333333333336</c:v>
                </c:pt>
                <c:pt idx="220">
                  <c:v>37</c:v>
                </c:pt>
                <c:pt idx="221">
                  <c:v>49.333333333333336</c:v>
                </c:pt>
                <c:pt idx="222">
                  <c:v>66</c:v>
                </c:pt>
                <c:pt idx="223">
                  <c:v>67.666666666666671</c:v>
                </c:pt>
                <c:pt idx="224">
                  <c:v>60.666666666666664</c:v>
                </c:pt>
                <c:pt idx="225">
                  <c:v>62.666666666666664</c:v>
                </c:pt>
                <c:pt idx="226">
                  <c:v>64.666666666666671</c:v>
                </c:pt>
                <c:pt idx="227">
                  <c:v>68</c:v>
                </c:pt>
                <c:pt idx="228">
                  <c:v>55.666666666666664</c:v>
                </c:pt>
                <c:pt idx="229">
                  <c:v>54.666666666666664</c:v>
                </c:pt>
                <c:pt idx="230">
                  <c:v>59.333333333333336</c:v>
                </c:pt>
                <c:pt idx="231">
                  <c:v>67.333333333333329</c:v>
                </c:pt>
                <c:pt idx="232">
                  <c:v>77.333333333333329</c:v>
                </c:pt>
                <c:pt idx="233">
                  <c:v>73.666666666666671</c:v>
                </c:pt>
                <c:pt idx="234">
                  <c:v>77</c:v>
                </c:pt>
                <c:pt idx="235">
                  <c:v>68.333333333333329</c:v>
                </c:pt>
                <c:pt idx="236">
                  <c:v>71.333333333333329</c:v>
                </c:pt>
                <c:pt idx="237">
                  <c:v>69</c:v>
                </c:pt>
                <c:pt idx="238">
                  <c:v>71.666666666666671</c:v>
                </c:pt>
                <c:pt idx="239">
                  <c:v>74.666666666666671</c:v>
                </c:pt>
                <c:pt idx="240">
                  <c:v>65</c:v>
                </c:pt>
                <c:pt idx="241">
                  <c:v>62.333333333333336</c:v>
                </c:pt>
                <c:pt idx="242">
                  <c:v>59.666666666666664</c:v>
                </c:pt>
                <c:pt idx="243">
                  <c:v>63.666666666666664</c:v>
                </c:pt>
                <c:pt idx="244">
                  <c:v>75</c:v>
                </c:pt>
                <c:pt idx="245">
                  <c:v>69</c:v>
                </c:pt>
                <c:pt idx="246">
                  <c:v>64</c:v>
                </c:pt>
                <c:pt idx="247">
                  <c:v>48.666666666666664</c:v>
                </c:pt>
                <c:pt idx="248">
                  <c:v>48.333333333333336</c:v>
                </c:pt>
                <c:pt idx="249">
                  <c:v>57.333333333333336</c:v>
                </c:pt>
                <c:pt idx="250">
                  <c:v>67</c:v>
                </c:pt>
                <c:pt idx="251">
                  <c:v>72.666666666666671</c:v>
                </c:pt>
                <c:pt idx="252">
                  <c:v>71.666666666666671</c:v>
                </c:pt>
                <c:pt idx="253">
                  <c:v>80</c:v>
                </c:pt>
                <c:pt idx="254">
                  <c:v>83.666666666666671</c:v>
                </c:pt>
                <c:pt idx="255">
                  <c:v>86.666666666666671</c:v>
                </c:pt>
                <c:pt idx="256">
                  <c:v>84</c:v>
                </c:pt>
                <c:pt idx="257">
                  <c:v>90.666666666666671</c:v>
                </c:pt>
                <c:pt idx="258">
                  <c:v>106.66666666666667</c:v>
                </c:pt>
                <c:pt idx="259">
                  <c:v>104</c:v>
                </c:pt>
                <c:pt idx="260">
                  <c:v>94.333333333333329</c:v>
                </c:pt>
                <c:pt idx="261">
                  <c:v>66</c:v>
                </c:pt>
                <c:pt idx="262">
                  <c:v>61</c:v>
                </c:pt>
                <c:pt idx="263">
                  <c:v>57.333333333333336</c:v>
                </c:pt>
                <c:pt idx="264">
                  <c:v>61.333333333333336</c:v>
                </c:pt>
                <c:pt idx="265">
                  <c:v>69.333333333333329</c:v>
                </c:pt>
                <c:pt idx="266">
                  <c:v>69</c:v>
                </c:pt>
                <c:pt idx="267">
                  <c:v>79</c:v>
                </c:pt>
                <c:pt idx="268">
                  <c:v>66.333333333333329</c:v>
                </c:pt>
                <c:pt idx="269">
                  <c:v>74.666666666666671</c:v>
                </c:pt>
                <c:pt idx="270">
                  <c:v>58</c:v>
                </c:pt>
                <c:pt idx="271">
                  <c:v>65.333333333333329</c:v>
                </c:pt>
                <c:pt idx="272">
                  <c:v>56.333333333333336</c:v>
                </c:pt>
                <c:pt idx="273">
                  <c:v>72.666666666666671</c:v>
                </c:pt>
                <c:pt idx="274">
                  <c:v>68</c:v>
                </c:pt>
                <c:pt idx="275">
                  <c:v>74</c:v>
                </c:pt>
                <c:pt idx="276">
                  <c:v>79.666666666666671</c:v>
                </c:pt>
                <c:pt idx="277">
                  <c:v>74.666666666666671</c:v>
                </c:pt>
                <c:pt idx="278">
                  <c:v>68.666666666666671</c:v>
                </c:pt>
                <c:pt idx="279">
                  <c:v>46.333333333333336</c:v>
                </c:pt>
                <c:pt idx="280">
                  <c:v>48.666666666666664</c:v>
                </c:pt>
                <c:pt idx="281">
                  <c:v>48</c:v>
                </c:pt>
                <c:pt idx="282">
                  <c:v>42.333333333333336</c:v>
                </c:pt>
                <c:pt idx="283">
                  <c:v>43.333333333333336</c:v>
                </c:pt>
                <c:pt idx="284">
                  <c:v>29.666666666666668</c:v>
                </c:pt>
                <c:pt idx="285">
                  <c:v>40</c:v>
                </c:pt>
                <c:pt idx="286">
                  <c:v>51.666666666666664</c:v>
                </c:pt>
                <c:pt idx="287">
                  <c:v>72</c:v>
                </c:pt>
                <c:pt idx="288">
                  <c:v>85.333333333333329</c:v>
                </c:pt>
                <c:pt idx="289">
                  <c:v>75</c:v>
                </c:pt>
                <c:pt idx="290">
                  <c:v>67.333333333333329</c:v>
                </c:pt>
                <c:pt idx="291">
                  <c:v>63.333333333333336</c:v>
                </c:pt>
                <c:pt idx="292">
                  <c:v>63.666666666666664</c:v>
                </c:pt>
                <c:pt idx="293">
                  <c:v>70</c:v>
                </c:pt>
                <c:pt idx="294">
                  <c:v>56.333333333333336</c:v>
                </c:pt>
                <c:pt idx="295">
                  <c:v>54</c:v>
                </c:pt>
                <c:pt idx="296">
                  <c:v>63.333333333333336</c:v>
                </c:pt>
                <c:pt idx="297">
                  <c:v>64.333333333333329</c:v>
                </c:pt>
                <c:pt idx="298">
                  <c:v>76.333333333333329</c:v>
                </c:pt>
                <c:pt idx="299">
                  <c:v>55.333333333333336</c:v>
                </c:pt>
                <c:pt idx="300">
                  <c:v>59</c:v>
                </c:pt>
                <c:pt idx="301">
                  <c:v>45</c:v>
                </c:pt>
                <c:pt idx="302">
                  <c:v>50.333333333333336</c:v>
                </c:pt>
                <c:pt idx="303">
                  <c:v>52</c:v>
                </c:pt>
                <c:pt idx="304">
                  <c:v>62.666666666666664</c:v>
                </c:pt>
                <c:pt idx="305">
                  <c:v>60.333333333333336</c:v>
                </c:pt>
                <c:pt idx="306">
                  <c:v>57</c:v>
                </c:pt>
                <c:pt idx="307">
                  <c:v>39</c:v>
                </c:pt>
                <c:pt idx="308">
                  <c:v>39.666666666666664</c:v>
                </c:pt>
                <c:pt idx="309">
                  <c:v>50</c:v>
                </c:pt>
                <c:pt idx="310">
                  <c:v>65.666666666666671</c:v>
                </c:pt>
                <c:pt idx="311">
                  <c:v>64</c:v>
                </c:pt>
                <c:pt idx="312">
                  <c:v>45.333333333333336</c:v>
                </c:pt>
                <c:pt idx="313">
                  <c:v>65</c:v>
                </c:pt>
                <c:pt idx="314">
                  <c:v>83.333333333333329</c:v>
                </c:pt>
                <c:pt idx="315">
                  <c:v>108.66666666666667</c:v>
                </c:pt>
                <c:pt idx="316">
                  <c:v>104.33333333333333</c:v>
                </c:pt>
                <c:pt idx="317">
                  <c:v>98</c:v>
                </c:pt>
                <c:pt idx="318">
                  <c:v>86.333333333333329</c:v>
                </c:pt>
                <c:pt idx="319">
                  <c:v>68.666666666666671</c:v>
                </c:pt>
                <c:pt idx="320">
                  <c:v>67</c:v>
                </c:pt>
                <c:pt idx="321">
                  <c:v>64.333333333333329</c:v>
                </c:pt>
                <c:pt idx="322">
                  <c:v>62</c:v>
                </c:pt>
                <c:pt idx="323">
                  <c:v>64.333333333333329</c:v>
                </c:pt>
                <c:pt idx="324">
                  <c:v>62.333333333333336</c:v>
                </c:pt>
                <c:pt idx="325">
                  <c:v>67.666666666666671</c:v>
                </c:pt>
                <c:pt idx="326">
                  <c:v>68.666666666666671</c:v>
                </c:pt>
                <c:pt idx="327">
                  <c:v>61.333333333333336</c:v>
                </c:pt>
                <c:pt idx="328">
                  <c:v>59.333333333333336</c:v>
                </c:pt>
                <c:pt idx="329">
                  <c:v>49.666666666666664</c:v>
                </c:pt>
                <c:pt idx="330">
                  <c:v>71</c:v>
                </c:pt>
                <c:pt idx="331">
                  <c:v>67.333333333333329</c:v>
                </c:pt>
                <c:pt idx="332">
                  <c:v>75.333333333333329</c:v>
                </c:pt>
                <c:pt idx="333">
                  <c:v>56</c:v>
                </c:pt>
                <c:pt idx="334">
                  <c:v>63.666666666666664</c:v>
                </c:pt>
                <c:pt idx="335">
                  <c:v>56.666666666666664</c:v>
                </c:pt>
                <c:pt idx="336">
                  <c:v>61.666666666666664</c:v>
                </c:pt>
                <c:pt idx="337">
                  <c:v>47</c:v>
                </c:pt>
                <c:pt idx="338">
                  <c:v>53.333333333333336</c:v>
                </c:pt>
                <c:pt idx="339">
                  <c:v>44</c:v>
                </c:pt>
                <c:pt idx="340">
                  <c:v>47.333333333333336</c:v>
                </c:pt>
                <c:pt idx="341">
                  <c:v>68</c:v>
                </c:pt>
                <c:pt idx="342">
                  <c:v>82</c:v>
                </c:pt>
                <c:pt idx="343">
                  <c:v>139</c:v>
                </c:pt>
                <c:pt idx="344">
                  <c:v>142.66666666666666</c:v>
                </c:pt>
                <c:pt idx="345">
                  <c:v>148</c:v>
                </c:pt>
                <c:pt idx="346">
                  <c:v>122.66666666666667</c:v>
                </c:pt>
                <c:pt idx="347">
                  <c:v>110</c:v>
                </c:pt>
                <c:pt idx="348">
                  <c:v>114</c:v>
                </c:pt>
                <c:pt idx="349">
                  <c:v>93.666666666666671</c:v>
                </c:pt>
                <c:pt idx="350">
                  <c:v>91</c:v>
                </c:pt>
                <c:pt idx="351">
                  <c:v>90.666666666666671</c:v>
                </c:pt>
                <c:pt idx="352">
                  <c:v>87.333333333333329</c:v>
                </c:pt>
                <c:pt idx="353">
                  <c:v>85</c:v>
                </c:pt>
                <c:pt idx="354">
                  <c:v>77.666666666666671</c:v>
                </c:pt>
                <c:pt idx="355">
                  <c:v>81.666666666666671</c:v>
                </c:pt>
                <c:pt idx="356">
                  <c:v>80.666666666666671</c:v>
                </c:pt>
                <c:pt idx="357">
                  <c:v>70</c:v>
                </c:pt>
                <c:pt idx="358">
                  <c:v>77</c:v>
                </c:pt>
                <c:pt idx="359">
                  <c:v>68</c:v>
                </c:pt>
                <c:pt idx="360">
                  <c:v>83.333333333333329</c:v>
                </c:pt>
                <c:pt idx="361">
                  <c:v>82.333333333333329</c:v>
                </c:pt>
                <c:pt idx="362">
                  <c:v>91</c:v>
                </c:pt>
                <c:pt idx="363">
                  <c:v>89.333333333333329</c:v>
                </c:pt>
                <c:pt idx="364">
                  <c:v>86.333333333333329</c:v>
                </c:pt>
                <c:pt idx="365">
                  <c:v>85</c:v>
                </c:pt>
                <c:pt idx="366">
                  <c:v>79</c:v>
                </c:pt>
                <c:pt idx="367">
                  <c:v>70</c:v>
                </c:pt>
                <c:pt idx="368">
                  <c:v>55</c:v>
                </c:pt>
                <c:pt idx="369">
                  <c:v>65.666666666666671</c:v>
                </c:pt>
                <c:pt idx="370">
                  <c:v>70.333333333333329</c:v>
                </c:pt>
                <c:pt idx="371">
                  <c:v>77.666666666666671</c:v>
                </c:pt>
                <c:pt idx="372">
                  <c:v>65.666666666666671</c:v>
                </c:pt>
                <c:pt idx="373">
                  <c:v>63</c:v>
                </c:pt>
                <c:pt idx="374">
                  <c:v>63.666666666666664</c:v>
                </c:pt>
                <c:pt idx="375">
                  <c:v>75</c:v>
                </c:pt>
                <c:pt idx="376">
                  <c:v>71</c:v>
                </c:pt>
                <c:pt idx="377">
                  <c:v>72.666666666666671</c:v>
                </c:pt>
                <c:pt idx="378">
                  <c:v>77.333333333333329</c:v>
                </c:pt>
                <c:pt idx="379">
                  <c:v>93.333333333333329</c:v>
                </c:pt>
                <c:pt idx="380">
                  <c:v>103.66666666666667</c:v>
                </c:pt>
                <c:pt idx="381">
                  <c:v>110.33333333333333</c:v>
                </c:pt>
                <c:pt idx="382">
                  <c:v>94.666666666666671</c:v>
                </c:pt>
                <c:pt idx="383">
                  <c:v>88</c:v>
                </c:pt>
                <c:pt idx="384">
                  <c:v>66</c:v>
                </c:pt>
                <c:pt idx="385">
                  <c:v>73.333333333333329</c:v>
                </c:pt>
                <c:pt idx="386">
                  <c:v>58.666666666666664</c:v>
                </c:pt>
                <c:pt idx="387">
                  <c:v>55.333333333333336</c:v>
                </c:pt>
                <c:pt idx="388">
                  <c:v>55.666666666666664</c:v>
                </c:pt>
                <c:pt idx="389">
                  <c:v>65</c:v>
                </c:pt>
                <c:pt idx="390">
                  <c:v>67</c:v>
                </c:pt>
                <c:pt idx="391">
                  <c:v>55.666666666666664</c:v>
                </c:pt>
                <c:pt idx="392">
                  <c:v>63.333333333333336</c:v>
                </c:pt>
                <c:pt idx="393">
                  <c:v>67</c:v>
                </c:pt>
                <c:pt idx="394">
                  <c:v>71</c:v>
                </c:pt>
                <c:pt idx="395">
                  <c:v>81.333333333333329</c:v>
                </c:pt>
                <c:pt idx="396">
                  <c:v>85.666666666666671</c:v>
                </c:pt>
                <c:pt idx="397">
                  <c:v>95</c:v>
                </c:pt>
                <c:pt idx="398">
                  <c:v>76.333333333333329</c:v>
                </c:pt>
                <c:pt idx="399">
                  <c:v>66.666666666666671</c:v>
                </c:pt>
                <c:pt idx="400">
                  <c:v>52</c:v>
                </c:pt>
                <c:pt idx="401">
                  <c:v>49.333333333333336</c:v>
                </c:pt>
                <c:pt idx="402">
                  <c:v>59.333333333333336</c:v>
                </c:pt>
                <c:pt idx="403">
                  <c:v>72.666666666666671</c:v>
                </c:pt>
                <c:pt idx="404">
                  <c:v>73.666666666666671</c:v>
                </c:pt>
                <c:pt idx="405">
                  <c:v>73.333333333333329</c:v>
                </c:pt>
                <c:pt idx="406">
                  <c:v>61.666666666666664</c:v>
                </c:pt>
                <c:pt idx="407">
                  <c:v>54.333333333333336</c:v>
                </c:pt>
                <c:pt idx="408">
                  <c:v>48</c:v>
                </c:pt>
                <c:pt idx="409">
                  <c:v>52.333333333333336</c:v>
                </c:pt>
                <c:pt idx="410">
                  <c:v>72.333333333333329</c:v>
                </c:pt>
                <c:pt idx="411">
                  <c:v>74</c:v>
                </c:pt>
                <c:pt idx="412">
                  <c:v>79</c:v>
                </c:pt>
                <c:pt idx="413">
                  <c:v>69.333333333333329</c:v>
                </c:pt>
                <c:pt idx="414">
                  <c:v>64.666666666666671</c:v>
                </c:pt>
                <c:pt idx="415">
                  <c:v>64.333333333333329</c:v>
                </c:pt>
                <c:pt idx="416">
                  <c:v>66.666666666666671</c:v>
                </c:pt>
                <c:pt idx="417">
                  <c:v>70.333333333333329</c:v>
                </c:pt>
                <c:pt idx="418">
                  <c:v>72.333333333333329</c:v>
                </c:pt>
                <c:pt idx="419">
                  <c:v>63.333333333333336</c:v>
                </c:pt>
                <c:pt idx="420">
                  <c:v>62.666666666666664</c:v>
                </c:pt>
                <c:pt idx="421">
                  <c:v>58.333333333333336</c:v>
                </c:pt>
                <c:pt idx="422">
                  <c:v>52.333333333333336</c:v>
                </c:pt>
                <c:pt idx="423">
                  <c:v>50</c:v>
                </c:pt>
                <c:pt idx="424">
                  <c:v>40.666666666666664</c:v>
                </c:pt>
                <c:pt idx="425">
                  <c:v>50</c:v>
                </c:pt>
                <c:pt idx="426">
                  <c:v>43</c:v>
                </c:pt>
                <c:pt idx="427">
                  <c:v>40.666666666666664</c:v>
                </c:pt>
                <c:pt idx="428">
                  <c:v>35</c:v>
                </c:pt>
                <c:pt idx="429">
                  <c:v>44</c:v>
                </c:pt>
                <c:pt idx="430">
                  <c:v>51.666666666666664</c:v>
                </c:pt>
                <c:pt idx="431">
                  <c:v>58.333333333333336</c:v>
                </c:pt>
                <c:pt idx="432">
                  <c:v>57.333333333333336</c:v>
                </c:pt>
                <c:pt idx="433">
                  <c:v>53.333333333333336</c:v>
                </c:pt>
                <c:pt idx="434">
                  <c:v>44.333333333333336</c:v>
                </c:pt>
                <c:pt idx="435">
                  <c:v>40</c:v>
                </c:pt>
                <c:pt idx="436">
                  <c:v>37.333333333333336</c:v>
                </c:pt>
                <c:pt idx="437">
                  <c:v>34.666666666666664</c:v>
                </c:pt>
                <c:pt idx="438">
                  <c:v>27.666666666666668</c:v>
                </c:pt>
                <c:pt idx="439">
                  <c:v>27.666666666666668</c:v>
                </c:pt>
                <c:pt idx="440">
                  <c:v>38.333333333333336</c:v>
                </c:pt>
                <c:pt idx="441">
                  <c:v>44.333333333333336</c:v>
                </c:pt>
                <c:pt idx="442">
                  <c:v>45.666666666666664</c:v>
                </c:pt>
                <c:pt idx="443">
                  <c:v>33.333333333333336</c:v>
                </c:pt>
                <c:pt idx="444">
                  <c:v>31.333333333333332</c:v>
                </c:pt>
                <c:pt idx="445">
                  <c:v>41.666666666666664</c:v>
                </c:pt>
                <c:pt idx="446">
                  <c:v>45.666666666666664</c:v>
                </c:pt>
                <c:pt idx="447">
                  <c:v>40.666666666666664</c:v>
                </c:pt>
                <c:pt idx="448">
                  <c:v>29</c:v>
                </c:pt>
                <c:pt idx="449">
                  <c:v>27.666666666666668</c:v>
                </c:pt>
                <c:pt idx="450">
                  <c:v>36.666666666666664</c:v>
                </c:pt>
                <c:pt idx="451">
                  <c:v>51.333333333333336</c:v>
                </c:pt>
                <c:pt idx="452">
                  <c:v>64.333333333333329</c:v>
                </c:pt>
                <c:pt idx="453">
                  <c:v>80</c:v>
                </c:pt>
                <c:pt idx="454">
                  <c:v>82.666666666666671</c:v>
                </c:pt>
                <c:pt idx="455">
                  <c:v>82</c:v>
                </c:pt>
                <c:pt idx="456">
                  <c:v>66.666666666666671</c:v>
                </c:pt>
                <c:pt idx="457">
                  <c:v>54.666666666666664</c:v>
                </c:pt>
                <c:pt idx="458">
                  <c:v>49.666666666666664</c:v>
                </c:pt>
                <c:pt idx="459">
                  <c:v>45</c:v>
                </c:pt>
                <c:pt idx="460">
                  <c:v>46</c:v>
                </c:pt>
                <c:pt idx="461">
                  <c:v>55</c:v>
                </c:pt>
                <c:pt idx="462">
                  <c:v>58.666666666666664</c:v>
                </c:pt>
                <c:pt idx="463">
                  <c:v>49.333333333333336</c:v>
                </c:pt>
                <c:pt idx="464">
                  <c:v>48</c:v>
                </c:pt>
                <c:pt idx="465">
                  <c:v>59.666666666666664</c:v>
                </c:pt>
                <c:pt idx="466">
                  <c:v>79</c:v>
                </c:pt>
                <c:pt idx="467">
                  <c:v>68</c:v>
                </c:pt>
                <c:pt idx="468">
                  <c:v>64.666666666666671</c:v>
                </c:pt>
                <c:pt idx="469">
                  <c:v>58</c:v>
                </c:pt>
                <c:pt idx="470">
                  <c:v>57.333333333333336</c:v>
                </c:pt>
                <c:pt idx="471">
                  <c:v>48.333333333333336</c:v>
                </c:pt>
                <c:pt idx="472">
                  <c:v>47.333333333333336</c:v>
                </c:pt>
                <c:pt idx="473">
                  <c:v>54.333333333333336</c:v>
                </c:pt>
                <c:pt idx="474">
                  <c:v>61</c:v>
                </c:pt>
                <c:pt idx="475">
                  <c:v>69</c:v>
                </c:pt>
                <c:pt idx="476">
                  <c:v>62</c:v>
                </c:pt>
                <c:pt idx="477">
                  <c:v>60.333333333333336</c:v>
                </c:pt>
                <c:pt idx="478">
                  <c:v>47.666666666666664</c:v>
                </c:pt>
                <c:pt idx="479">
                  <c:v>52</c:v>
                </c:pt>
                <c:pt idx="480">
                  <c:v>46</c:v>
                </c:pt>
                <c:pt idx="481">
                  <c:v>45.666666666666664</c:v>
                </c:pt>
                <c:pt idx="482">
                  <c:v>43.333333333333336</c:v>
                </c:pt>
                <c:pt idx="483">
                  <c:v>41</c:v>
                </c:pt>
                <c:pt idx="484">
                  <c:v>39.666666666666664</c:v>
                </c:pt>
                <c:pt idx="485">
                  <c:v>56.666666666666664</c:v>
                </c:pt>
                <c:pt idx="486">
                  <c:v>62</c:v>
                </c:pt>
                <c:pt idx="487">
                  <c:v>68</c:v>
                </c:pt>
                <c:pt idx="488">
                  <c:v>55.333333333333336</c:v>
                </c:pt>
                <c:pt idx="489">
                  <c:v>56</c:v>
                </c:pt>
                <c:pt idx="490">
                  <c:v>47</c:v>
                </c:pt>
                <c:pt idx="491">
                  <c:v>43.666666666666664</c:v>
                </c:pt>
                <c:pt idx="492">
                  <c:v>41.666666666666664</c:v>
                </c:pt>
                <c:pt idx="493">
                  <c:v>44.333333333333336</c:v>
                </c:pt>
                <c:pt idx="494">
                  <c:v>43</c:v>
                </c:pt>
                <c:pt idx="495">
                  <c:v>46.666666666666664</c:v>
                </c:pt>
                <c:pt idx="496">
                  <c:v>49.666666666666664</c:v>
                </c:pt>
                <c:pt idx="497">
                  <c:v>46</c:v>
                </c:pt>
                <c:pt idx="498">
                  <c:v>39.666666666666664</c:v>
                </c:pt>
                <c:pt idx="499">
                  <c:v>32</c:v>
                </c:pt>
                <c:pt idx="500">
                  <c:v>29.666666666666668</c:v>
                </c:pt>
                <c:pt idx="501">
                  <c:v>26</c:v>
                </c:pt>
                <c:pt idx="502">
                  <c:v>29</c:v>
                </c:pt>
                <c:pt idx="503">
                  <c:v>32.333333333333336</c:v>
                </c:pt>
                <c:pt idx="504">
                  <c:v>43.333333333333336</c:v>
                </c:pt>
                <c:pt idx="505">
                  <c:v>47.333333333333336</c:v>
                </c:pt>
                <c:pt idx="506">
                  <c:v>46.666666666666664</c:v>
                </c:pt>
                <c:pt idx="507">
                  <c:v>39</c:v>
                </c:pt>
                <c:pt idx="508">
                  <c:v>38.333333333333336</c:v>
                </c:pt>
                <c:pt idx="509">
                  <c:v>58.666666666666664</c:v>
                </c:pt>
                <c:pt idx="510">
                  <c:v>61.666666666666664</c:v>
                </c:pt>
                <c:pt idx="511">
                  <c:v>60.666666666666664</c:v>
                </c:pt>
                <c:pt idx="512">
                  <c:v>39</c:v>
                </c:pt>
                <c:pt idx="513">
                  <c:v>37</c:v>
                </c:pt>
                <c:pt idx="514">
                  <c:v>35.333333333333336</c:v>
                </c:pt>
                <c:pt idx="515">
                  <c:v>34.666666666666664</c:v>
                </c:pt>
                <c:pt idx="516">
                  <c:v>32</c:v>
                </c:pt>
                <c:pt idx="517">
                  <c:v>31</c:v>
                </c:pt>
                <c:pt idx="518">
                  <c:v>35.333333333333336</c:v>
                </c:pt>
                <c:pt idx="519">
                  <c:v>35.666666666666664</c:v>
                </c:pt>
                <c:pt idx="520">
                  <c:v>36.333333333333336</c:v>
                </c:pt>
                <c:pt idx="521">
                  <c:v>32.333333333333336</c:v>
                </c:pt>
                <c:pt idx="522">
                  <c:v>29.666666666666668</c:v>
                </c:pt>
                <c:pt idx="523">
                  <c:v>45</c:v>
                </c:pt>
                <c:pt idx="524">
                  <c:v>48.333333333333336</c:v>
                </c:pt>
                <c:pt idx="525">
                  <c:v>62.666666666666664</c:v>
                </c:pt>
                <c:pt idx="526">
                  <c:v>51.333333333333336</c:v>
                </c:pt>
                <c:pt idx="527">
                  <c:v>51</c:v>
                </c:pt>
                <c:pt idx="528">
                  <c:v>40.333333333333336</c:v>
                </c:pt>
                <c:pt idx="529">
                  <c:v>38</c:v>
                </c:pt>
                <c:pt idx="530">
                  <c:v>35.333333333333336</c:v>
                </c:pt>
                <c:pt idx="531">
                  <c:v>34</c:v>
                </c:pt>
                <c:pt idx="532">
                  <c:v>27.666666666666668</c:v>
                </c:pt>
                <c:pt idx="533">
                  <c:v>31.333333333333332</c:v>
                </c:pt>
                <c:pt idx="534">
                  <c:v>28</c:v>
                </c:pt>
                <c:pt idx="535">
                  <c:v>32.333333333333336</c:v>
                </c:pt>
                <c:pt idx="536">
                  <c:v>24</c:v>
                </c:pt>
                <c:pt idx="537">
                  <c:v>24.666666666666668</c:v>
                </c:pt>
                <c:pt idx="538">
                  <c:v>25.333333333333332</c:v>
                </c:pt>
                <c:pt idx="539">
                  <c:v>24.666666666666668</c:v>
                </c:pt>
                <c:pt idx="540">
                  <c:v>24</c:v>
                </c:pt>
                <c:pt idx="541">
                  <c:v>19</c:v>
                </c:pt>
                <c:pt idx="542">
                  <c:v>19</c:v>
                </c:pt>
                <c:pt idx="543">
                  <c:v>17</c:v>
                </c:pt>
                <c:pt idx="544">
                  <c:v>17.333333333333332</c:v>
                </c:pt>
                <c:pt idx="545">
                  <c:v>22</c:v>
                </c:pt>
                <c:pt idx="546">
                  <c:v>24.666666666666668</c:v>
                </c:pt>
                <c:pt idx="547">
                  <c:v>23</c:v>
                </c:pt>
                <c:pt idx="548">
                  <c:v>19.333333333333332</c:v>
                </c:pt>
                <c:pt idx="549">
                  <c:v>16.666666666666668</c:v>
                </c:pt>
                <c:pt idx="550">
                  <c:v>17.333333333333332</c:v>
                </c:pt>
                <c:pt idx="551">
                  <c:v>19.333333333333332</c:v>
                </c:pt>
                <c:pt idx="552">
                  <c:v>19.333333333333332</c:v>
                </c:pt>
                <c:pt idx="553">
                  <c:v>22.333333333333332</c:v>
                </c:pt>
                <c:pt idx="554">
                  <c:v>19.666666666666668</c:v>
                </c:pt>
                <c:pt idx="555">
                  <c:v>23</c:v>
                </c:pt>
                <c:pt idx="556">
                  <c:v>19.333333333333332</c:v>
                </c:pt>
                <c:pt idx="557">
                  <c:v>24</c:v>
                </c:pt>
                <c:pt idx="558">
                  <c:v>21.333333333333332</c:v>
                </c:pt>
                <c:pt idx="559">
                  <c:v>27</c:v>
                </c:pt>
                <c:pt idx="560">
                  <c:v>26.666666666666668</c:v>
                </c:pt>
                <c:pt idx="561">
                  <c:v>27</c:v>
                </c:pt>
                <c:pt idx="562">
                  <c:v>22.333333333333332</c:v>
                </c:pt>
                <c:pt idx="563">
                  <c:v>24.666666666666668</c:v>
                </c:pt>
                <c:pt idx="564">
                  <c:v>26.333333333333332</c:v>
                </c:pt>
                <c:pt idx="565">
                  <c:v>25</c:v>
                </c:pt>
                <c:pt idx="566">
                  <c:v>19.333333333333332</c:v>
                </c:pt>
                <c:pt idx="567">
                  <c:v>21</c:v>
                </c:pt>
                <c:pt idx="568">
                  <c:v>28.666666666666668</c:v>
                </c:pt>
                <c:pt idx="569">
                  <c:v>30.333333333333332</c:v>
                </c:pt>
                <c:pt idx="570">
                  <c:v>30</c:v>
                </c:pt>
                <c:pt idx="571">
                  <c:v>32.333333333333336</c:v>
                </c:pt>
                <c:pt idx="572">
                  <c:v>30.666666666666668</c:v>
                </c:pt>
                <c:pt idx="573">
                  <c:v>31.333333333333332</c:v>
                </c:pt>
                <c:pt idx="574">
                  <c:v>33.666666666666664</c:v>
                </c:pt>
                <c:pt idx="575">
                  <c:v>38</c:v>
                </c:pt>
                <c:pt idx="576">
                  <c:v>38.333333333333336</c:v>
                </c:pt>
                <c:pt idx="577">
                  <c:v>31.666666666666668</c:v>
                </c:pt>
                <c:pt idx="578">
                  <c:v>27</c:v>
                </c:pt>
                <c:pt idx="579">
                  <c:v>25.666666666666668</c:v>
                </c:pt>
                <c:pt idx="580">
                  <c:v>25.666666666666668</c:v>
                </c:pt>
                <c:pt idx="581">
                  <c:v>23.666666666666668</c:v>
                </c:pt>
                <c:pt idx="582">
                  <c:v>26.333333333333332</c:v>
                </c:pt>
                <c:pt idx="583">
                  <c:v>25</c:v>
                </c:pt>
                <c:pt idx="584">
                  <c:v>38.333333333333336</c:v>
                </c:pt>
                <c:pt idx="58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0A-430A-9FEA-5B633052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560248"/>
        <c:axId val="485559856"/>
      </c:lineChart>
      <c:catAx>
        <c:axId val="48556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eaVert" wrap="square" anchor="ctr" anchorCtr="1"/>
          <a:lstStyle/>
          <a:p>
            <a:pPr>
              <a:defRPr lang="zh-CN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59856"/>
        <c:crosses val="autoZero"/>
        <c:auto val="0"/>
        <c:lblAlgn val="ctr"/>
        <c:lblOffset val="100"/>
        <c:noMultiLvlLbl val="0"/>
      </c:catAx>
      <c:valAx>
        <c:axId val="485559856"/>
        <c:scaling>
          <c:orientation val="minMax"/>
          <c:max val="35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60248"/>
        <c:crosses val="max"/>
        <c:crossBetween val="midCat"/>
      </c:valAx>
      <c:catAx>
        <c:axId val="4855614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85561032"/>
        <c:crosses val="autoZero"/>
        <c:auto val="0"/>
        <c:lblAlgn val="ctr"/>
        <c:lblOffset val="100"/>
        <c:noMultiLvlLbl val="1"/>
      </c:catAx>
      <c:valAx>
        <c:axId val="485561032"/>
        <c:scaling>
          <c:orientation val="minMax"/>
          <c:max val="0"/>
          <c:min val="-3000"/>
        </c:scaling>
        <c:delete val="0"/>
        <c:axPos val="r"/>
        <c:numFmt formatCode="0_ ;[Red]\-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56142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68</xdr:col>
      <xdr:colOff>396240</xdr:colOff>
      <xdr:row>56</xdr:row>
      <xdr:rowOff>83820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56013BC-5AE2-09A6-14FC-DFC3210824EB}"/>
            </a:ext>
          </a:extLst>
        </xdr:cNvPr>
        <xdr:cNvGrpSpPr/>
      </xdr:nvGrpSpPr>
      <xdr:grpSpPr>
        <a:xfrm>
          <a:off x="0" y="7620"/>
          <a:ext cx="46866144" cy="10284581"/>
          <a:chOff x="0" y="7620"/>
          <a:chExt cx="42367200" cy="9936480"/>
        </a:xfrm>
      </xdr:grpSpPr>
      <xdr:graphicFrame macro="">
        <xdr:nvGraphicFramePr>
          <xdr:cNvPr id="6" name="图表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aphicFramePr/>
        </xdr:nvGraphicFramePr>
        <xdr:xfrm>
          <a:off x="0" y="4040505"/>
          <a:ext cx="41820270" cy="59035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图表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aphicFramePr/>
        </xdr:nvGraphicFramePr>
        <xdr:xfrm>
          <a:off x="124460" y="7620"/>
          <a:ext cx="42242740" cy="51009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T37:CZ70"/>
  <sheetViews>
    <sheetView topLeftCell="AZ19" zoomScale="90" zoomScaleNormal="90" workbookViewId="0">
      <selection activeCell="BS49" sqref="BS49"/>
    </sheetView>
  </sheetViews>
  <sheetFormatPr defaultColWidth="9" defaultRowHeight="14.15" x14ac:dyDescent="0.35"/>
  <sheetData>
    <row r="37" spans="104:104" ht="18" x14ac:dyDescent="0.35">
      <c r="CZ37" s="101"/>
    </row>
    <row r="53" spans="98:103" x14ac:dyDescent="0.35">
      <c r="CT53" s="102"/>
    </row>
    <row r="60" spans="98:103" x14ac:dyDescent="0.35">
      <c r="CY60" s="103"/>
    </row>
    <row r="70" spans="20:20" x14ac:dyDescent="0.35">
      <c r="T70" t="s">
        <v>0</v>
      </c>
    </row>
  </sheetData>
  <phoneticPr fontId="24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87"/>
  <sheetViews>
    <sheetView tabSelected="1" topLeftCell="B1" zoomScaleNormal="100" workbookViewId="0">
      <pane ySplit="1" topLeftCell="A2" activePane="bottomLeft" state="frozen"/>
      <selection pane="bottomLeft" activeCell="AJ9" sqref="AJ9"/>
    </sheetView>
  </sheetViews>
  <sheetFormatPr defaultColWidth="8" defaultRowHeight="15.45" x14ac:dyDescent="0.4"/>
  <cols>
    <col min="1" max="1" width="13.640625" style="16" customWidth="1"/>
    <col min="2" max="7" width="8" style="17" customWidth="1"/>
    <col min="8" max="10" width="8" style="18" customWidth="1"/>
    <col min="11" max="18" width="8" style="18" hidden="1" customWidth="1"/>
    <col min="19" max="19" width="8" style="19"/>
    <col min="20" max="20" width="8" style="20" customWidth="1"/>
    <col min="21" max="21" width="8" style="21" hidden="1" customWidth="1"/>
    <col min="22" max="22" width="8" style="20" hidden="1" customWidth="1"/>
    <col min="23" max="23" width="8" style="21" hidden="1" customWidth="1"/>
    <col min="24" max="28" width="8" style="20" hidden="1" customWidth="1"/>
    <col min="29" max="30" width="8" style="22" hidden="1" customWidth="1"/>
    <col min="31" max="31" width="8" style="23" customWidth="1"/>
    <col min="32" max="32" width="8.85546875" style="24" customWidth="1"/>
    <col min="33" max="33" width="10" style="20" customWidth="1"/>
    <col min="34" max="16384" width="8" style="20"/>
  </cols>
  <sheetData>
    <row r="1" spans="1:32" s="15" customFormat="1" ht="105.75" customHeight="1" x14ac:dyDescent="0.35">
      <c r="A1" s="25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7" t="s">
        <v>8</v>
      </c>
      <c r="I1" s="34" t="s">
        <v>9</v>
      </c>
      <c r="J1" s="27" t="s">
        <v>10</v>
      </c>
      <c r="K1" s="27" t="s">
        <v>11</v>
      </c>
      <c r="L1" s="27" t="s">
        <v>12</v>
      </c>
      <c r="M1" s="27" t="s">
        <v>13</v>
      </c>
      <c r="N1" s="27" t="s">
        <v>14</v>
      </c>
      <c r="O1" s="27" t="s">
        <v>15</v>
      </c>
      <c r="P1" s="27" t="s">
        <v>16</v>
      </c>
      <c r="Q1" s="27" t="s">
        <v>17</v>
      </c>
      <c r="R1" s="27" t="s">
        <v>18</v>
      </c>
      <c r="S1" s="35" t="s">
        <v>19</v>
      </c>
      <c r="T1" s="15" t="s">
        <v>20</v>
      </c>
      <c r="U1" s="36" t="s">
        <v>21</v>
      </c>
      <c r="V1" s="15" t="s">
        <v>22</v>
      </c>
      <c r="W1" s="36" t="s">
        <v>23</v>
      </c>
      <c r="X1" s="15" t="s">
        <v>24</v>
      </c>
      <c r="Y1" s="15" t="s">
        <v>25</v>
      </c>
      <c r="Z1" s="15" t="s">
        <v>26</v>
      </c>
      <c r="AC1" s="47"/>
      <c r="AD1" s="47"/>
      <c r="AE1" s="48" t="s">
        <v>27</v>
      </c>
      <c r="AF1" s="49" t="s">
        <v>28</v>
      </c>
    </row>
    <row r="2" spans="1:32" ht="15.9" x14ac:dyDescent="0.45">
      <c r="A2" s="16">
        <v>44165</v>
      </c>
      <c r="B2" s="17">
        <v>26</v>
      </c>
      <c r="C2" s="17">
        <v>30</v>
      </c>
      <c r="D2" s="17">
        <v>-17</v>
      </c>
      <c r="E2" s="17">
        <v>-7</v>
      </c>
      <c r="F2" s="17">
        <v>-158</v>
      </c>
      <c r="G2" s="17">
        <v>-61</v>
      </c>
      <c r="H2" s="18">
        <f t="shared" ref="H2:H24" si="0">B2/(B2+C2)*100</f>
        <v>46.428571428571431</v>
      </c>
      <c r="I2" s="18">
        <v>1.8</v>
      </c>
      <c r="J2" s="18">
        <v>-0.54</v>
      </c>
      <c r="S2" s="37">
        <v>4</v>
      </c>
      <c r="T2" s="38">
        <v>3</v>
      </c>
      <c r="AE2" s="23" t="e">
        <f>(#REF!+#REF!+B1)/3</f>
        <v>#REF!</v>
      </c>
      <c r="AF2" s="24" t="e">
        <f t="shared" ref="AF2:AF33" si="1">(B2-AE2)/AE2</f>
        <v>#REF!</v>
      </c>
    </row>
    <row r="3" spans="1:32" ht="15.9" x14ac:dyDescent="0.45">
      <c r="A3" s="16">
        <v>44166</v>
      </c>
      <c r="B3" s="17">
        <v>42</v>
      </c>
      <c r="C3" s="17">
        <v>16</v>
      </c>
      <c r="D3" s="17">
        <v>-10</v>
      </c>
      <c r="E3" s="17">
        <v>-5</v>
      </c>
      <c r="F3" s="17">
        <v>-64</v>
      </c>
      <c r="G3" s="17">
        <v>-16</v>
      </c>
      <c r="H3" s="18">
        <f t="shared" si="0"/>
        <v>72.41379310344827</v>
      </c>
      <c r="I3" s="18">
        <v>4.37</v>
      </c>
      <c r="J3" s="18">
        <v>0.15</v>
      </c>
      <c r="S3" s="37">
        <v>5</v>
      </c>
      <c r="T3" s="38">
        <v>4</v>
      </c>
      <c r="AE3" s="23" t="e">
        <f>(#REF!+B1+B2)/3</f>
        <v>#REF!</v>
      </c>
      <c r="AF3" s="24" t="e">
        <f t="shared" si="1"/>
        <v>#REF!</v>
      </c>
    </row>
    <row r="4" spans="1:32" ht="15.9" x14ac:dyDescent="0.45">
      <c r="A4" s="16">
        <v>44167</v>
      </c>
      <c r="B4" s="17">
        <v>47</v>
      </c>
      <c r="C4" s="17">
        <v>14</v>
      </c>
      <c r="D4" s="17">
        <v>-10</v>
      </c>
      <c r="E4" s="17">
        <v>-5</v>
      </c>
      <c r="F4" s="17">
        <v>-110</v>
      </c>
      <c r="G4" s="17">
        <v>-53</v>
      </c>
      <c r="H4" s="18">
        <f t="shared" si="0"/>
        <v>77.049180327868854</v>
      </c>
      <c r="I4" s="18">
        <v>4.8</v>
      </c>
      <c r="J4" s="18">
        <v>2.21</v>
      </c>
      <c r="S4" s="37">
        <v>6</v>
      </c>
      <c r="T4" s="38">
        <v>5</v>
      </c>
      <c r="AE4" s="23" t="e">
        <f>(#REF!+B2+B3)/3</f>
        <v>#REF!</v>
      </c>
      <c r="AF4" s="24" t="e">
        <f t="shared" si="1"/>
        <v>#REF!</v>
      </c>
    </row>
    <row r="5" spans="1:32" ht="15.9" x14ac:dyDescent="0.45">
      <c r="A5" s="16">
        <v>44168</v>
      </c>
      <c r="B5" s="17">
        <v>42</v>
      </c>
      <c r="C5" s="17">
        <v>14</v>
      </c>
      <c r="D5" s="17">
        <v>-13</v>
      </c>
      <c r="E5" s="17">
        <v>-9</v>
      </c>
      <c r="F5" s="17">
        <v>-180</v>
      </c>
      <c r="G5" s="17">
        <v>-90</v>
      </c>
      <c r="H5" s="18">
        <f t="shared" si="0"/>
        <v>75</v>
      </c>
      <c r="I5" s="18">
        <v>2.29</v>
      </c>
      <c r="J5" s="18">
        <v>0.42</v>
      </c>
      <c r="S5" s="37">
        <v>7</v>
      </c>
      <c r="T5" s="38">
        <v>5</v>
      </c>
      <c r="AE5" s="23">
        <f t="shared" ref="AE5:AE36" si="2">(B2+B3+B4)/3</f>
        <v>38.333333333333336</v>
      </c>
      <c r="AF5" s="24">
        <f t="shared" si="1"/>
        <v>9.5652173913043412E-2</v>
      </c>
    </row>
    <row r="6" spans="1:32" ht="15.9" x14ac:dyDescent="0.45">
      <c r="A6" s="16">
        <v>44169</v>
      </c>
      <c r="B6" s="17">
        <v>33</v>
      </c>
      <c r="C6" s="17">
        <v>21</v>
      </c>
      <c r="D6" s="17">
        <v>-18</v>
      </c>
      <c r="E6" s="17">
        <v>-14</v>
      </c>
      <c r="F6" s="17">
        <v>-95</v>
      </c>
      <c r="G6" s="17">
        <v>-47</v>
      </c>
      <c r="H6" s="18">
        <f t="shared" si="0"/>
        <v>61.111111111111114</v>
      </c>
      <c r="I6" s="18">
        <v>0</v>
      </c>
      <c r="J6" s="18">
        <v>-1.57</v>
      </c>
      <c r="S6" s="37">
        <v>3</v>
      </c>
      <c r="T6" s="38">
        <v>2</v>
      </c>
      <c r="AE6" s="23">
        <f t="shared" si="2"/>
        <v>43.666666666666664</v>
      </c>
      <c r="AF6" s="24">
        <f t="shared" si="1"/>
        <v>-0.24427480916030531</v>
      </c>
    </row>
    <row r="7" spans="1:32" ht="15.9" x14ac:dyDescent="0.45">
      <c r="A7" s="16">
        <v>44172</v>
      </c>
      <c r="B7" s="17">
        <v>32</v>
      </c>
      <c r="C7" s="17">
        <v>16</v>
      </c>
      <c r="D7" s="17">
        <v>-19</v>
      </c>
      <c r="E7" s="17">
        <v>-9</v>
      </c>
      <c r="F7" s="17">
        <v>-116</v>
      </c>
      <c r="G7" s="17">
        <v>-57</v>
      </c>
      <c r="H7" s="18">
        <f t="shared" si="0"/>
        <v>66.666666666666657</v>
      </c>
      <c r="I7" s="18">
        <v>1.62</v>
      </c>
      <c r="J7" s="18">
        <v>-0.7</v>
      </c>
      <c r="S7" s="37">
        <v>3</v>
      </c>
      <c r="T7" s="38">
        <v>2</v>
      </c>
      <c r="AE7" s="23">
        <f t="shared" si="2"/>
        <v>40.666666666666664</v>
      </c>
      <c r="AF7" s="24">
        <f t="shared" si="1"/>
        <v>-0.21311475409836061</v>
      </c>
    </row>
    <row r="8" spans="1:32" ht="15.9" x14ac:dyDescent="0.45">
      <c r="A8" s="16">
        <v>44173</v>
      </c>
      <c r="B8" s="17">
        <v>30</v>
      </c>
      <c r="C8" s="17">
        <v>16</v>
      </c>
      <c r="D8" s="17">
        <v>-22</v>
      </c>
      <c r="E8" s="17">
        <v>-14</v>
      </c>
      <c r="F8" s="17">
        <v>-107</v>
      </c>
      <c r="G8" s="17">
        <v>-50</v>
      </c>
      <c r="H8" s="18">
        <f t="shared" si="0"/>
        <v>65.217391304347828</v>
      </c>
      <c r="I8" s="18">
        <v>-0.79</v>
      </c>
      <c r="J8" s="18">
        <v>-3.18</v>
      </c>
      <c r="S8" s="37">
        <v>4</v>
      </c>
      <c r="T8" s="38">
        <v>2</v>
      </c>
      <c r="AE8" s="23">
        <f t="shared" si="2"/>
        <v>35.666666666666664</v>
      </c>
      <c r="AF8" s="24">
        <f t="shared" si="1"/>
        <v>-0.15887850467289713</v>
      </c>
    </row>
    <row r="9" spans="1:32" ht="15.9" x14ac:dyDescent="0.45">
      <c r="A9" s="16">
        <v>44174</v>
      </c>
      <c r="B9" s="17">
        <v>30</v>
      </c>
      <c r="C9" s="17">
        <v>16</v>
      </c>
      <c r="D9" s="17">
        <v>-18</v>
      </c>
      <c r="E9" s="17">
        <v>-13</v>
      </c>
      <c r="F9" s="17">
        <v>-323</v>
      </c>
      <c r="G9" s="17">
        <v>-213</v>
      </c>
      <c r="H9" s="18">
        <f t="shared" si="0"/>
        <v>65.217391304347828</v>
      </c>
      <c r="I9" s="18">
        <v>0.97</v>
      </c>
      <c r="J9" s="18">
        <v>-2.08</v>
      </c>
      <c r="S9" s="37">
        <v>3</v>
      </c>
      <c r="T9" s="38">
        <v>2</v>
      </c>
      <c r="AE9" s="23">
        <f t="shared" si="2"/>
        <v>31.666666666666668</v>
      </c>
      <c r="AF9" s="24">
        <f t="shared" si="1"/>
        <v>-5.263157894736846E-2</v>
      </c>
    </row>
    <row r="10" spans="1:32" ht="15.9" x14ac:dyDescent="0.45">
      <c r="A10" s="16">
        <v>44175</v>
      </c>
      <c r="B10" s="17">
        <v>28</v>
      </c>
      <c r="C10" s="17">
        <v>26</v>
      </c>
      <c r="D10" s="17">
        <v>-23</v>
      </c>
      <c r="E10" s="17">
        <v>-17</v>
      </c>
      <c r="F10" s="17">
        <v>-203</v>
      </c>
      <c r="G10" s="17">
        <v>-93</v>
      </c>
      <c r="H10" s="18">
        <f t="shared" si="0"/>
        <v>51.851851851851848</v>
      </c>
      <c r="I10" s="18">
        <v>1.41</v>
      </c>
      <c r="J10" s="18">
        <v>-1.85</v>
      </c>
      <c r="S10" s="37">
        <v>4</v>
      </c>
      <c r="T10" s="38">
        <v>3</v>
      </c>
      <c r="AE10" s="23">
        <f t="shared" si="2"/>
        <v>30.666666666666668</v>
      </c>
      <c r="AF10" s="24">
        <f t="shared" si="1"/>
        <v>-8.6956521739130474E-2</v>
      </c>
    </row>
    <row r="11" spans="1:32" ht="15.9" x14ac:dyDescent="0.45">
      <c r="A11" s="16">
        <v>44176</v>
      </c>
      <c r="B11" s="17">
        <v>19</v>
      </c>
      <c r="C11" s="17">
        <v>12</v>
      </c>
      <c r="D11" s="17">
        <v>-40</v>
      </c>
      <c r="E11" s="17">
        <v>-20</v>
      </c>
      <c r="F11" s="17">
        <v>-639</v>
      </c>
      <c r="G11" s="17">
        <v>-228</v>
      </c>
      <c r="H11" s="18">
        <f t="shared" si="0"/>
        <v>61.29032258064516</v>
      </c>
      <c r="I11" s="18">
        <v>2.88</v>
      </c>
      <c r="J11" s="18">
        <v>-0.78</v>
      </c>
      <c r="S11" s="37">
        <v>5</v>
      </c>
      <c r="T11" s="38">
        <v>3</v>
      </c>
      <c r="AE11" s="23">
        <f t="shared" si="2"/>
        <v>29.333333333333332</v>
      </c>
      <c r="AF11" s="24">
        <f t="shared" si="1"/>
        <v>-0.35227272727272724</v>
      </c>
    </row>
    <row r="12" spans="1:32" ht="15.9" x14ac:dyDescent="0.45">
      <c r="A12" s="16">
        <v>44179</v>
      </c>
      <c r="B12" s="17">
        <v>44</v>
      </c>
      <c r="C12" s="17">
        <v>15</v>
      </c>
      <c r="D12" s="17">
        <v>-46</v>
      </c>
      <c r="E12" s="17">
        <v>-18</v>
      </c>
      <c r="F12" s="17">
        <v>-217</v>
      </c>
      <c r="G12" s="17">
        <v>-87</v>
      </c>
      <c r="H12" s="18">
        <f t="shared" si="0"/>
        <v>74.576271186440678</v>
      </c>
      <c r="I12" s="18">
        <v>3.3</v>
      </c>
      <c r="J12" s="18">
        <v>-1.68</v>
      </c>
      <c r="S12" s="37">
        <v>6</v>
      </c>
      <c r="T12" s="38">
        <v>3</v>
      </c>
      <c r="AE12" s="23">
        <f t="shared" si="2"/>
        <v>25.666666666666668</v>
      </c>
      <c r="AF12" s="24">
        <f t="shared" si="1"/>
        <v>0.71428571428571419</v>
      </c>
    </row>
    <row r="13" spans="1:32" ht="15.9" x14ac:dyDescent="0.45">
      <c r="A13" s="16">
        <v>44180</v>
      </c>
      <c r="B13" s="17">
        <v>29</v>
      </c>
      <c r="C13" s="17">
        <v>14</v>
      </c>
      <c r="D13" s="17">
        <v>-23</v>
      </c>
      <c r="E13" s="17">
        <v>-14</v>
      </c>
      <c r="F13" s="17">
        <v>-219</v>
      </c>
      <c r="G13" s="17">
        <v>-98</v>
      </c>
      <c r="H13" s="18">
        <f t="shared" si="0"/>
        <v>67.441860465116278</v>
      </c>
      <c r="I13" s="18">
        <v>1.69</v>
      </c>
      <c r="J13" s="18">
        <v>0</v>
      </c>
      <c r="S13" s="37">
        <v>3</v>
      </c>
      <c r="T13" s="38">
        <v>2</v>
      </c>
      <c r="AE13" s="23">
        <f t="shared" si="2"/>
        <v>30.333333333333332</v>
      </c>
      <c r="AF13" s="24">
        <f t="shared" si="1"/>
        <v>-4.3956043956043918E-2</v>
      </c>
    </row>
    <row r="14" spans="1:32" ht="15.9" x14ac:dyDescent="0.45">
      <c r="A14" s="16">
        <v>44181</v>
      </c>
      <c r="B14" s="17">
        <v>22</v>
      </c>
      <c r="C14" s="17">
        <v>23</v>
      </c>
      <c r="D14" s="17">
        <v>-31</v>
      </c>
      <c r="E14" s="17">
        <v>-21</v>
      </c>
      <c r="F14" s="17">
        <v>-363</v>
      </c>
      <c r="G14" s="17">
        <v>-224</v>
      </c>
      <c r="H14" s="18">
        <f t="shared" si="0"/>
        <v>48.888888888888886</v>
      </c>
      <c r="I14" s="18">
        <v>0.56000000000000005</v>
      </c>
      <c r="J14" s="18">
        <v>-1.1299999999999999</v>
      </c>
      <c r="S14" s="37">
        <v>3</v>
      </c>
      <c r="T14" s="38">
        <v>2</v>
      </c>
      <c r="AE14" s="23">
        <f t="shared" si="2"/>
        <v>30.666666666666668</v>
      </c>
      <c r="AF14" s="24">
        <f t="shared" si="1"/>
        <v>-0.28260869565217395</v>
      </c>
    </row>
    <row r="15" spans="1:32" ht="15.9" x14ac:dyDescent="0.45">
      <c r="A15" s="16">
        <v>44182</v>
      </c>
      <c r="B15" s="17">
        <v>45</v>
      </c>
      <c r="C15" s="17">
        <v>11</v>
      </c>
      <c r="D15" s="17">
        <v>-25</v>
      </c>
      <c r="E15" s="17">
        <v>-8</v>
      </c>
      <c r="F15" s="17">
        <v>-261</v>
      </c>
      <c r="G15" s="17">
        <v>-48</v>
      </c>
      <c r="H15" s="18">
        <f t="shared" si="0"/>
        <v>80.357142857142861</v>
      </c>
      <c r="I15" s="18">
        <v>1.7</v>
      </c>
      <c r="J15" s="18">
        <v>-1.1100000000000001</v>
      </c>
      <c r="S15" s="37">
        <v>4</v>
      </c>
      <c r="T15" s="38">
        <v>2</v>
      </c>
      <c r="AE15" s="23">
        <f t="shared" si="2"/>
        <v>31.666666666666668</v>
      </c>
      <c r="AF15" s="24">
        <f t="shared" si="1"/>
        <v>0.42105263157894729</v>
      </c>
    </row>
    <row r="16" spans="1:32" ht="15.9" x14ac:dyDescent="0.45">
      <c r="A16" s="16">
        <v>44183</v>
      </c>
      <c r="B16" s="17">
        <v>37</v>
      </c>
      <c r="C16" s="17">
        <v>20</v>
      </c>
      <c r="D16" s="17">
        <v>-13</v>
      </c>
      <c r="E16" s="17">
        <v>-8</v>
      </c>
      <c r="F16" s="17">
        <v>-149</v>
      </c>
      <c r="G16" s="17">
        <v>-70</v>
      </c>
      <c r="H16" s="18">
        <f t="shared" si="0"/>
        <v>64.912280701754383</v>
      </c>
      <c r="I16" s="18">
        <v>1.8</v>
      </c>
      <c r="J16" s="18">
        <v>1.1499999999999999</v>
      </c>
      <c r="S16" s="37">
        <v>3</v>
      </c>
      <c r="T16" s="38">
        <v>2</v>
      </c>
      <c r="AE16" s="23">
        <f t="shared" si="2"/>
        <v>32</v>
      </c>
      <c r="AF16" s="24">
        <f t="shared" si="1"/>
        <v>0.15625</v>
      </c>
    </row>
    <row r="17" spans="1:32" ht="15.9" x14ac:dyDescent="0.45">
      <c r="A17" s="16">
        <v>44186</v>
      </c>
      <c r="B17" s="17">
        <v>50</v>
      </c>
      <c r="C17" s="17">
        <v>25</v>
      </c>
      <c r="D17" s="17">
        <v>-12</v>
      </c>
      <c r="E17" s="17">
        <v>-9</v>
      </c>
      <c r="F17" s="17">
        <v>-82</v>
      </c>
      <c r="G17" s="17">
        <v>-29</v>
      </c>
      <c r="H17" s="18">
        <f t="shared" si="0"/>
        <v>66.666666666666657</v>
      </c>
      <c r="I17" s="18">
        <v>4.18</v>
      </c>
      <c r="J17" s="18">
        <v>1.44</v>
      </c>
      <c r="S17" s="37">
        <v>3</v>
      </c>
      <c r="T17" s="38">
        <v>2</v>
      </c>
      <c r="AE17" s="23">
        <f t="shared" si="2"/>
        <v>34.666666666666664</v>
      </c>
      <c r="AF17" s="24">
        <f t="shared" si="1"/>
        <v>0.4423076923076924</v>
      </c>
    </row>
    <row r="18" spans="1:32" ht="15.9" x14ac:dyDescent="0.45">
      <c r="A18" s="16">
        <v>44187</v>
      </c>
      <c r="B18" s="17">
        <v>33</v>
      </c>
      <c r="C18" s="17">
        <v>23</v>
      </c>
      <c r="D18" s="17">
        <v>-19</v>
      </c>
      <c r="E18" s="17">
        <v>-12</v>
      </c>
      <c r="F18" s="17">
        <v>-517</v>
      </c>
      <c r="G18" s="17">
        <v>-366</v>
      </c>
      <c r="H18" s="18">
        <f t="shared" si="0"/>
        <v>58.928571428571431</v>
      </c>
      <c r="I18" s="18">
        <v>1.21</v>
      </c>
      <c r="J18" s="18">
        <v>-0.67</v>
      </c>
      <c r="S18" s="37">
        <v>3</v>
      </c>
      <c r="T18" s="38">
        <v>2</v>
      </c>
      <c r="AE18" s="23">
        <f t="shared" si="2"/>
        <v>44</v>
      </c>
      <c r="AF18" s="24">
        <f t="shared" si="1"/>
        <v>-0.25</v>
      </c>
    </row>
    <row r="19" spans="1:32" ht="15.9" x14ac:dyDescent="0.45">
      <c r="A19" s="16">
        <v>44188</v>
      </c>
      <c r="B19" s="17">
        <v>51</v>
      </c>
      <c r="C19" s="17">
        <v>25</v>
      </c>
      <c r="D19" s="17">
        <v>-20</v>
      </c>
      <c r="E19" s="17">
        <v>-7</v>
      </c>
      <c r="F19" s="17">
        <v>-200</v>
      </c>
      <c r="G19" s="17">
        <v>-62</v>
      </c>
      <c r="H19" s="18">
        <f t="shared" si="0"/>
        <v>67.10526315789474</v>
      </c>
      <c r="I19" s="18">
        <v>4.32</v>
      </c>
      <c r="J19" s="18">
        <v>1.41</v>
      </c>
      <c r="S19" s="37">
        <v>4</v>
      </c>
      <c r="T19" s="38">
        <v>3</v>
      </c>
      <c r="AE19" s="23">
        <f t="shared" si="2"/>
        <v>40</v>
      </c>
      <c r="AF19" s="24">
        <f t="shared" si="1"/>
        <v>0.27500000000000002</v>
      </c>
    </row>
    <row r="20" spans="1:32" ht="15.9" x14ac:dyDescent="0.45">
      <c r="A20" s="16">
        <v>44189</v>
      </c>
      <c r="B20" s="17">
        <v>36</v>
      </c>
      <c r="C20" s="17">
        <v>26</v>
      </c>
      <c r="D20" s="17">
        <v>-52</v>
      </c>
      <c r="E20" s="17">
        <v>-31</v>
      </c>
      <c r="F20" s="17">
        <v>-639</v>
      </c>
      <c r="G20" s="17">
        <v>-365</v>
      </c>
      <c r="H20" s="18">
        <f t="shared" si="0"/>
        <v>58.064516129032263</v>
      </c>
      <c r="I20" s="18">
        <v>1.72</v>
      </c>
      <c r="J20" s="18">
        <v>-1.45</v>
      </c>
      <c r="S20" s="37">
        <v>5</v>
      </c>
      <c r="T20" s="38">
        <v>4</v>
      </c>
      <c r="AE20" s="23">
        <f t="shared" si="2"/>
        <v>44.666666666666664</v>
      </c>
      <c r="AF20" s="24">
        <f t="shared" si="1"/>
        <v>-0.19402985074626861</v>
      </c>
    </row>
    <row r="21" spans="1:32" ht="15.9" x14ac:dyDescent="0.45">
      <c r="A21" s="16">
        <v>44190</v>
      </c>
      <c r="B21" s="17">
        <v>69</v>
      </c>
      <c r="C21" s="17">
        <v>25</v>
      </c>
      <c r="D21" s="17">
        <v>-31</v>
      </c>
      <c r="E21" s="17">
        <v>-14</v>
      </c>
      <c r="F21" s="17">
        <v>-208</v>
      </c>
      <c r="G21" s="17">
        <v>-69</v>
      </c>
      <c r="H21" s="18">
        <f t="shared" si="0"/>
        <v>73.40425531914893</v>
      </c>
      <c r="I21" s="18">
        <v>4.88</v>
      </c>
      <c r="J21" s="18">
        <v>1.57</v>
      </c>
      <c r="S21" s="37">
        <v>6</v>
      </c>
      <c r="T21" s="38">
        <v>5</v>
      </c>
      <c r="AE21" s="23">
        <f t="shared" si="2"/>
        <v>40</v>
      </c>
      <c r="AF21" s="24">
        <f t="shared" si="1"/>
        <v>0.72499999999999998</v>
      </c>
    </row>
    <row r="22" spans="1:32" ht="15.9" x14ac:dyDescent="0.45">
      <c r="A22" s="16">
        <v>44193</v>
      </c>
      <c r="B22" s="17">
        <v>60</v>
      </c>
      <c r="C22" s="17">
        <v>26</v>
      </c>
      <c r="D22" s="17">
        <v>-30</v>
      </c>
      <c r="E22" s="17">
        <v>-17</v>
      </c>
      <c r="F22" s="17">
        <v>-490</v>
      </c>
      <c r="G22" s="17">
        <v>-234</v>
      </c>
      <c r="H22" s="18">
        <f t="shared" si="0"/>
        <v>69.767441860465112</v>
      </c>
      <c r="I22" s="18">
        <v>3.87</v>
      </c>
      <c r="J22" s="18">
        <v>2.0099999999999998</v>
      </c>
      <c r="S22" s="37">
        <v>7</v>
      </c>
      <c r="T22" s="38">
        <v>6</v>
      </c>
      <c r="AE22" s="23">
        <f t="shared" si="2"/>
        <v>52</v>
      </c>
      <c r="AF22" s="24">
        <f t="shared" si="1"/>
        <v>0.15384615384615385</v>
      </c>
    </row>
    <row r="23" spans="1:32" ht="15.9" x14ac:dyDescent="0.45">
      <c r="A23" s="16">
        <v>44194</v>
      </c>
      <c r="B23" s="17">
        <v>57</v>
      </c>
      <c r="C23" s="17">
        <v>21</v>
      </c>
      <c r="D23" s="17">
        <v>-76</v>
      </c>
      <c r="E23" s="17">
        <v>-52</v>
      </c>
      <c r="F23" s="17">
        <v>-488</v>
      </c>
      <c r="G23" s="17">
        <v>-323</v>
      </c>
      <c r="H23" s="18">
        <f t="shared" si="0"/>
        <v>73.076923076923066</v>
      </c>
      <c r="I23" s="18">
        <v>0.56999999999999995</v>
      </c>
      <c r="J23" s="18">
        <v>-2.04</v>
      </c>
      <c r="S23" s="37">
        <v>4</v>
      </c>
      <c r="T23" s="38">
        <v>3</v>
      </c>
      <c r="AE23" s="23">
        <f t="shared" si="2"/>
        <v>55</v>
      </c>
      <c r="AF23" s="24">
        <f t="shared" si="1"/>
        <v>3.6363636363636362E-2</v>
      </c>
    </row>
    <row r="24" spans="1:32" ht="15.9" x14ac:dyDescent="0.45">
      <c r="A24" s="16">
        <v>44195</v>
      </c>
      <c r="B24" s="17">
        <v>64</v>
      </c>
      <c r="C24" s="17">
        <v>13</v>
      </c>
      <c r="D24" s="17">
        <v>-17</v>
      </c>
      <c r="E24" s="17">
        <v>-3</v>
      </c>
      <c r="F24" s="17">
        <v>-151</v>
      </c>
      <c r="G24" s="17">
        <v>-96</v>
      </c>
      <c r="H24" s="18">
        <f t="shared" si="0"/>
        <v>83.116883116883116</v>
      </c>
      <c r="I24" s="18">
        <v>1.01</v>
      </c>
      <c r="J24" s="18">
        <v>0.21</v>
      </c>
      <c r="S24" s="37">
        <v>5</v>
      </c>
      <c r="T24" s="38">
        <v>4</v>
      </c>
      <c r="AE24" s="23">
        <f t="shared" si="2"/>
        <v>62</v>
      </c>
      <c r="AF24" s="24">
        <f t="shared" si="1"/>
        <v>3.2258064516129031E-2</v>
      </c>
    </row>
    <row r="25" spans="1:32" ht="15.9" x14ac:dyDescent="0.45">
      <c r="A25" s="16">
        <v>44196</v>
      </c>
      <c r="B25" s="17">
        <v>57</v>
      </c>
      <c r="C25" s="17">
        <v>25</v>
      </c>
      <c r="D25" s="17">
        <v>-11</v>
      </c>
      <c r="E25" s="17">
        <v>-5</v>
      </c>
      <c r="F25" s="17">
        <v>-73</v>
      </c>
      <c r="G25" s="17">
        <v>-31</v>
      </c>
      <c r="H25" s="18">
        <f t="shared" ref="H25:H88" si="3">B25/(B25+C25)*100</f>
        <v>69.512195121951208</v>
      </c>
      <c r="I25" s="18">
        <v>3.82</v>
      </c>
      <c r="J25" s="18">
        <v>1.54</v>
      </c>
      <c r="S25" s="37">
        <v>4</v>
      </c>
      <c r="T25" s="38">
        <v>3</v>
      </c>
      <c r="AE25" s="23">
        <f t="shared" si="2"/>
        <v>60.333333333333336</v>
      </c>
      <c r="AF25" s="24">
        <f t="shared" si="1"/>
        <v>-5.5248618784530426E-2</v>
      </c>
    </row>
    <row r="26" spans="1:32" ht="15.9" x14ac:dyDescent="0.45">
      <c r="A26" s="16">
        <v>44200</v>
      </c>
      <c r="B26" s="17">
        <v>107</v>
      </c>
      <c r="C26" s="17">
        <v>41</v>
      </c>
      <c r="D26" s="17">
        <v>-19</v>
      </c>
      <c r="E26" s="17">
        <v>-10</v>
      </c>
      <c r="F26" s="17">
        <v>-129</v>
      </c>
      <c r="G26" s="17">
        <v>-45</v>
      </c>
      <c r="H26" s="18">
        <f t="shared" si="3"/>
        <v>72.297297297297305</v>
      </c>
      <c r="I26" s="18">
        <v>4.33</v>
      </c>
      <c r="J26" s="18">
        <v>2.29</v>
      </c>
      <c r="S26" s="37">
        <v>5</v>
      </c>
      <c r="T26" s="38">
        <v>4</v>
      </c>
      <c r="AE26" s="23">
        <f t="shared" si="2"/>
        <v>59.333333333333336</v>
      </c>
      <c r="AF26" s="24">
        <f t="shared" si="1"/>
        <v>0.8033707865168539</v>
      </c>
    </row>
    <row r="27" spans="1:32" ht="15.9" x14ac:dyDescent="0.45">
      <c r="A27" s="16">
        <v>44201</v>
      </c>
      <c r="B27" s="17">
        <v>77</v>
      </c>
      <c r="C27" s="17">
        <v>32</v>
      </c>
      <c r="D27" s="17">
        <v>-28</v>
      </c>
      <c r="E27" s="17">
        <v>-16</v>
      </c>
      <c r="F27" s="17">
        <v>-312</v>
      </c>
      <c r="G27" s="17">
        <v>-115</v>
      </c>
      <c r="H27" s="18">
        <f t="shared" si="3"/>
        <v>70.642201834862391</v>
      </c>
      <c r="I27" s="18">
        <v>2.69</v>
      </c>
      <c r="J27" s="18">
        <v>0.7</v>
      </c>
      <c r="S27" s="37">
        <v>4</v>
      </c>
      <c r="T27" s="38">
        <v>3</v>
      </c>
      <c r="AE27" s="23">
        <f t="shared" si="2"/>
        <v>76</v>
      </c>
      <c r="AF27" s="24">
        <f t="shared" si="1"/>
        <v>1.3157894736842105E-2</v>
      </c>
    </row>
    <row r="28" spans="1:32" ht="15.9" x14ac:dyDescent="0.45">
      <c r="A28" s="16">
        <v>44202</v>
      </c>
      <c r="B28" s="17">
        <v>46</v>
      </c>
      <c r="C28" s="17">
        <v>30</v>
      </c>
      <c r="D28" s="17">
        <v>-31</v>
      </c>
      <c r="E28" s="17">
        <v>-12</v>
      </c>
      <c r="F28" s="17">
        <v>-591</v>
      </c>
      <c r="G28" s="17">
        <v>-255</v>
      </c>
      <c r="H28" s="18">
        <f t="shared" si="3"/>
        <v>60.526315789473685</v>
      </c>
      <c r="I28" s="18">
        <v>0.15</v>
      </c>
      <c r="J28" s="18">
        <v>-2.21</v>
      </c>
      <c r="S28" s="37">
        <v>5</v>
      </c>
      <c r="T28" s="38">
        <v>4</v>
      </c>
      <c r="AE28" s="23">
        <f t="shared" si="2"/>
        <v>80.333333333333329</v>
      </c>
      <c r="AF28" s="24">
        <f t="shared" si="1"/>
        <v>-0.42738589211618255</v>
      </c>
    </row>
    <row r="29" spans="1:32" ht="15.9" x14ac:dyDescent="0.45">
      <c r="A29" s="16">
        <v>44203</v>
      </c>
      <c r="B29" s="17">
        <v>32</v>
      </c>
      <c r="C29" s="17">
        <v>28</v>
      </c>
      <c r="D29" s="17">
        <v>-44</v>
      </c>
      <c r="E29" s="17">
        <v>-18</v>
      </c>
      <c r="F29" s="17">
        <v>-1605</v>
      </c>
      <c r="G29" s="17">
        <v>-963</v>
      </c>
      <c r="H29" s="18">
        <f t="shared" si="3"/>
        <v>53.333333333333336</v>
      </c>
      <c r="I29" s="18">
        <v>1.49E-2</v>
      </c>
      <c r="J29" s="18">
        <v>-2.29</v>
      </c>
      <c r="S29" s="37">
        <v>6</v>
      </c>
      <c r="T29" s="38">
        <v>5</v>
      </c>
      <c r="AE29" s="23">
        <f t="shared" si="2"/>
        <v>76.666666666666671</v>
      </c>
      <c r="AF29" s="24">
        <f t="shared" si="1"/>
        <v>-0.58260869565217399</v>
      </c>
    </row>
    <row r="30" spans="1:32" ht="15.9" x14ac:dyDescent="0.45">
      <c r="A30" s="16">
        <v>44204</v>
      </c>
      <c r="B30" s="17">
        <v>49</v>
      </c>
      <c r="C30" s="17">
        <v>18</v>
      </c>
      <c r="D30" s="17">
        <v>-57</v>
      </c>
      <c r="E30" s="17">
        <v>-14</v>
      </c>
      <c r="F30" s="17">
        <v>-643</v>
      </c>
      <c r="G30" s="17">
        <v>-216</v>
      </c>
      <c r="H30" s="18">
        <f t="shared" si="3"/>
        <v>73.134328358208961</v>
      </c>
      <c r="I30" s="18">
        <v>0.73</v>
      </c>
      <c r="J30" s="18">
        <v>-3.88</v>
      </c>
      <c r="S30" s="37">
        <v>6</v>
      </c>
      <c r="T30" s="38">
        <v>3</v>
      </c>
      <c r="AE30" s="23">
        <f t="shared" si="2"/>
        <v>51.666666666666664</v>
      </c>
      <c r="AF30" s="24">
        <f t="shared" si="1"/>
        <v>-5.161290322580641E-2</v>
      </c>
    </row>
    <row r="31" spans="1:32" ht="15.9" x14ac:dyDescent="0.45">
      <c r="A31" s="16">
        <v>44207</v>
      </c>
      <c r="B31" s="17">
        <v>40</v>
      </c>
      <c r="C31" s="17">
        <v>27</v>
      </c>
      <c r="D31" s="17">
        <v>-71</v>
      </c>
      <c r="E31" s="17">
        <v>-40</v>
      </c>
      <c r="F31" s="17">
        <v>-1029</v>
      </c>
      <c r="G31" s="17">
        <v>-633</v>
      </c>
      <c r="H31" s="18">
        <f t="shared" si="3"/>
        <v>59.701492537313428</v>
      </c>
      <c r="I31" s="18">
        <v>0.26</v>
      </c>
      <c r="J31" s="18">
        <v>-1.1599999999999999</v>
      </c>
      <c r="S31" s="37">
        <v>4</v>
      </c>
      <c r="T31" s="38">
        <v>3</v>
      </c>
      <c r="AE31" s="23">
        <f t="shared" si="2"/>
        <v>42.333333333333336</v>
      </c>
      <c r="AF31" s="24">
        <f t="shared" si="1"/>
        <v>-5.5118110236220527E-2</v>
      </c>
    </row>
    <row r="32" spans="1:32" ht="15.9" x14ac:dyDescent="0.45">
      <c r="A32" s="16">
        <v>44208</v>
      </c>
      <c r="B32" s="17">
        <v>70</v>
      </c>
      <c r="C32" s="17">
        <v>41</v>
      </c>
      <c r="D32" s="17">
        <v>-22</v>
      </c>
      <c r="E32" s="17">
        <v>-7</v>
      </c>
      <c r="F32" s="17">
        <v>-202</v>
      </c>
      <c r="G32" s="17">
        <v>-61</v>
      </c>
      <c r="H32" s="18">
        <f t="shared" si="3"/>
        <v>63.063063063063062</v>
      </c>
      <c r="I32" s="18">
        <v>2.34</v>
      </c>
      <c r="J32" s="18">
        <v>-0.73</v>
      </c>
      <c r="S32" s="37">
        <v>5</v>
      </c>
      <c r="T32" s="38">
        <v>2</v>
      </c>
      <c r="AE32" s="23">
        <f t="shared" si="2"/>
        <v>40.333333333333336</v>
      </c>
      <c r="AF32" s="24">
        <f t="shared" si="1"/>
        <v>0.73553719008264451</v>
      </c>
    </row>
    <row r="33" spans="1:32" ht="15.9" x14ac:dyDescent="0.45">
      <c r="A33" s="16">
        <v>44209</v>
      </c>
      <c r="B33" s="17">
        <v>39</v>
      </c>
      <c r="C33" s="17">
        <v>36</v>
      </c>
      <c r="D33" s="17">
        <v>-37</v>
      </c>
      <c r="E33" s="17">
        <v>-12</v>
      </c>
      <c r="F33" s="17">
        <v>-784</v>
      </c>
      <c r="G33" s="17">
        <v>-406</v>
      </c>
      <c r="H33" s="18">
        <f t="shared" si="3"/>
        <v>52</v>
      </c>
      <c r="I33" s="18">
        <v>2.2799999999999998</v>
      </c>
      <c r="J33" s="18">
        <v>0.27</v>
      </c>
      <c r="S33" s="37">
        <v>6</v>
      </c>
      <c r="T33" s="38">
        <v>3</v>
      </c>
      <c r="AE33" s="23">
        <f t="shared" si="2"/>
        <v>53</v>
      </c>
      <c r="AF33" s="24">
        <f t="shared" si="1"/>
        <v>-0.26415094339622641</v>
      </c>
    </row>
    <row r="34" spans="1:32" ht="15.9" x14ac:dyDescent="0.45">
      <c r="A34" s="16">
        <v>44210</v>
      </c>
      <c r="B34" s="17">
        <v>69</v>
      </c>
      <c r="C34" s="17">
        <v>21</v>
      </c>
      <c r="D34" s="17">
        <v>-52</v>
      </c>
      <c r="E34" s="17">
        <v>-32</v>
      </c>
      <c r="F34" s="17">
        <v>-492</v>
      </c>
      <c r="G34" s="17">
        <v>-249</v>
      </c>
      <c r="H34" s="18">
        <f t="shared" si="3"/>
        <v>76.666666666666671</v>
      </c>
      <c r="I34" s="18">
        <v>1.76</v>
      </c>
      <c r="J34" s="18">
        <v>-2.25</v>
      </c>
      <c r="S34" s="37">
        <v>7</v>
      </c>
      <c r="T34" s="38">
        <v>4</v>
      </c>
      <c r="AE34" s="23">
        <f t="shared" si="2"/>
        <v>49.666666666666664</v>
      </c>
      <c r="AF34" s="24">
        <f t="shared" ref="AF34:AF65" si="4">(B34-AE34)/AE34</f>
        <v>0.389261744966443</v>
      </c>
    </row>
    <row r="35" spans="1:32" ht="15.9" x14ac:dyDescent="0.45">
      <c r="A35" s="16">
        <v>44211</v>
      </c>
      <c r="B35" s="17">
        <v>78</v>
      </c>
      <c r="C35" s="17">
        <v>12</v>
      </c>
      <c r="D35" s="17">
        <v>-29</v>
      </c>
      <c r="E35" s="17">
        <v>-15</v>
      </c>
      <c r="F35" s="17">
        <v>-243</v>
      </c>
      <c r="G35" s="17">
        <v>-71</v>
      </c>
      <c r="H35" s="18">
        <f t="shared" si="3"/>
        <v>86.666666666666671</v>
      </c>
      <c r="I35" s="18">
        <v>1.71</v>
      </c>
      <c r="J35" s="18">
        <v>0.41</v>
      </c>
      <c r="S35" s="37">
        <v>8</v>
      </c>
      <c r="T35" s="38">
        <v>5</v>
      </c>
      <c r="AE35" s="23">
        <f t="shared" si="2"/>
        <v>59.333333333333336</v>
      </c>
      <c r="AF35" s="24">
        <f t="shared" si="4"/>
        <v>0.31460674157303364</v>
      </c>
    </row>
    <row r="36" spans="1:32" ht="15.9" x14ac:dyDescent="0.45">
      <c r="A36" s="16">
        <v>44214</v>
      </c>
      <c r="B36" s="17">
        <v>89</v>
      </c>
      <c r="C36" s="17">
        <v>44</v>
      </c>
      <c r="D36" s="17">
        <v>-13</v>
      </c>
      <c r="E36" s="17">
        <v>-6</v>
      </c>
      <c r="F36" s="17">
        <v>-106</v>
      </c>
      <c r="G36" s="17">
        <v>-26</v>
      </c>
      <c r="H36" s="18">
        <f t="shared" si="3"/>
        <v>66.917293233082702</v>
      </c>
      <c r="I36" s="18">
        <v>3.71</v>
      </c>
      <c r="J36" s="18">
        <v>1.19</v>
      </c>
      <c r="S36" s="37">
        <v>9</v>
      </c>
      <c r="T36" s="38">
        <v>6</v>
      </c>
      <c r="AE36" s="23">
        <f t="shared" si="2"/>
        <v>62</v>
      </c>
      <c r="AF36" s="24">
        <f t="shared" si="4"/>
        <v>0.43548387096774194</v>
      </c>
    </row>
    <row r="37" spans="1:32" ht="15.9" x14ac:dyDescent="0.45">
      <c r="A37" s="16">
        <v>44215</v>
      </c>
      <c r="B37" s="17">
        <v>73</v>
      </c>
      <c r="C37" s="17">
        <v>26</v>
      </c>
      <c r="D37" s="17">
        <v>-8</v>
      </c>
      <c r="E37" s="17">
        <v>-4</v>
      </c>
      <c r="F37" s="17">
        <v>-226</v>
      </c>
      <c r="G37" s="17">
        <v>-107</v>
      </c>
      <c r="H37" s="18">
        <f t="shared" si="3"/>
        <v>73.73737373737373</v>
      </c>
      <c r="I37" s="18">
        <v>2.67</v>
      </c>
      <c r="J37" s="18">
        <v>0.36</v>
      </c>
      <c r="S37" s="37">
        <v>10</v>
      </c>
      <c r="T37" s="38">
        <v>7</v>
      </c>
      <c r="AE37" s="23">
        <f t="shared" ref="AE37:AE68" si="5">(B34+B35+B36)/3</f>
        <v>78.666666666666671</v>
      </c>
      <c r="AF37" s="24">
        <f t="shared" si="4"/>
        <v>-7.2033898305084804E-2</v>
      </c>
    </row>
    <row r="38" spans="1:32" ht="15.9" x14ac:dyDescent="0.45">
      <c r="A38" s="16">
        <v>44216</v>
      </c>
      <c r="B38" s="17">
        <v>75</v>
      </c>
      <c r="C38" s="17">
        <v>19</v>
      </c>
      <c r="D38" s="17">
        <v>-7</v>
      </c>
      <c r="E38" s="17">
        <v>-3</v>
      </c>
      <c r="F38" s="17">
        <v>-155</v>
      </c>
      <c r="G38" s="17">
        <v>-32</v>
      </c>
      <c r="H38" s="18">
        <f t="shared" si="3"/>
        <v>79.787234042553195</v>
      </c>
      <c r="I38" s="18">
        <v>1.24</v>
      </c>
      <c r="J38" s="18">
        <v>-0.02</v>
      </c>
      <c r="S38" s="37">
        <v>6</v>
      </c>
      <c r="T38" s="38">
        <v>5</v>
      </c>
      <c r="AE38" s="23">
        <f t="shared" si="5"/>
        <v>80</v>
      </c>
      <c r="AF38" s="24">
        <f t="shared" si="4"/>
        <v>-6.25E-2</v>
      </c>
    </row>
    <row r="39" spans="1:32" ht="15.9" x14ac:dyDescent="0.45">
      <c r="A39" s="16">
        <v>44217</v>
      </c>
      <c r="B39" s="17">
        <v>78</v>
      </c>
      <c r="C39" s="17">
        <v>38</v>
      </c>
      <c r="D39" s="17">
        <v>-7</v>
      </c>
      <c r="E39" s="17">
        <v>-3</v>
      </c>
      <c r="F39" s="17">
        <v>-123</v>
      </c>
      <c r="G39" s="17">
        <v>-41</v>
      </c>
      <c r="H39" s="18">
        <f t="shared" si="3"/>
        <v>67.241379310344826</v>
      </c>
      <c r="I39" s="18">
        <v>3.16</v>
      </c>
      <c r="J39" s="18">
        <v>1.38</v>
      </c>
      <c r="S39" s="37">
        <v>6</v>
      </c>
      <c r="T39" s="38">
        <v>5</v>
      </c>
      <c r="AE39" s="23">
        <f t="shared" si="5"/>
        <v>79</v>
      </c>
      <c r="AF39" s="24">
        <f t="shared" si="4"/>
        <v>-1.2658227848101266E-2</v>
      </c>
    </row>
    <row r="40" spans="1:32" ht="15.9" x14ac:dyDescent="0.45">
      <c r="A40" s="16">
        <v>44218</v>
      </c>
      <c r="B40" s="17">
        <v>49</v>
      </c>
      <c r="C40" s="17">
        <v>23</v>
      </c>
      <c r="D40" s="17">
        <v>-32</v>
      </c>
      <c r="E40" s="17">
        <v>-18</v>
      </c>
      <c r="F40" s="17">
        <v>-337</v>
      </c>
      <c r="G40" s="17">
        <v>-177</v>
      </c>
      <c r="H40" s="18">
        <f t="shared" si="3"/>
        <v>68.055555555555557</v>
      </c>
      <c r="I40" s="18">
        <v>0.14000000000000001</v>
      </c>
      <c r="J40" s="18">
        <v>-1.95</v>
      </c>
      <c r="S40" s="37">
        <v>4</v>
      </c>
      <c r="T40" s="38">
        <v>3</v>
      </c>
      <c r="AE40" s="23">
        <f t="shared" si="5"/>
        <v>75.333333333333329</v>
      </c>
      <c r="AF40" s="24">
        <f t="shared" si="4"/>
        <v>-0.34955752212389374</v>
      </c>
    </row>
    <row r="41" spans="1:32" ht="15.9" x14ac:dyDescent="0.45">
      <c r="A41" s="16">
        <v>44221</v>
      </c>
      <c r="B41" s="17">
        <v>46</v>
      </c>
      <c r="C41" s="17">
        <v>44</v>
      </c>
      <c r="D41" s="17">
        <v>-40</v>
      </c>
      <c r="E41" s="17">
        <v>-22</v>
      </c>
      <c r="F41" s="17">
        <v>-657</v>
      </c>
      <c r="G41" s="17">
        <v>-298</v>
      </c>
      <c r="H41" s="18">
        <f t="shared" si="3"/>
        <v>51.111111111111107</v>
      </c>
      <c r="I41" s="18">
        <v>1.8</v>
      </c>
      <c r="J41" s="18">
        <v>-1.1100000000000001</v>
      </c>
      <c r="S41" s="37">
        <v>4</v>
      </c>
      <c r="T41" s="38">
        <v>3</v>
      </c>
      <c r="AE41" s="23">
        <f t="shared" si="5"/>
        <v>67.333333333333329</v>
      </c>
      <c r="AF41" s="24">
        <f t="shared" si="4"/>
        <v>-0.31683168316831678</v>
      </c>
    </row>
    <row r="42" spans="1:32" ht="15.9" x14ac:dyDescent="0.45">
      <c r="A42" s="16">
        <v>44222</v>
      </c>
      <c r="B42" s="17">
        <v>51</v>
      </c>
      <c r="C42" s="17">
        <v>19</v>
      </c>
      <c r="D42" s="17">
        <v>-51</v>
      </c>
      <c r="E42" s="17">
        <v>-31</v>
      </c>
      <c r="F42" s="17">
        <v>-529</v>
      </c>
      <c r="G42" s="17">
        <v>-306</v>
      </c>
      <c r="H42" s="18">
        <f t="shared" si="3"/>
        <v>72.857142857142847</v>
      </c>
      <c r="I42" s="18">
        <v>-0.03</v>
      </c>
      <c r="J42" s="18">
        <v>-3.21</v>
      </c>
      <c r="S42" s="37">
        <v>5</v>
      </c>
      <c r="T42" s="38">
        <v>2</v>
      </c>
      <c r="AE42" s="23">
        <f t="shared" si="5"/>
        <v>57.666666666666664</v>
      </c>
      <c r="AF42" s="24">
        <f t="shared" si="4"/>
        <v>-0.11560693641618494</v>
      </c>
    </row>
    <row r="43" spans="1:32" ht="15.9" x14ac:dyDescent="0.45">
      <c r="A43" s="16">
        <v>44223</v>
      </c>
      <c r="B43" s="17">
        <v>62</v>
      </c>
      <c r="C43" s="17">
        <v>28</v>
      </c>
      <c r="D43" s="17">
        <v>-34</v>
      </c>
      <c r="E43" s="17">
        <v>-12</v>
      </c>
      <c r="F43" s="17">
        <v>-342</v>
      </c>
      <c r="G43" s="17">
        <v>-109</v>
      </c>
      <c r="H43" s="18">
        <f t="shared" si="3"/>
        <v>68.888888888888886</v>
      </c>
      <c r="I43" s="18">
        <v>3.18</v>
      </c>
      <c r="J43" s="18">
        <v>1.19</v>
      </c>
      <c r="S43" s="37">
        <v>6</v>
      </c>
      <c r="T43" s="38">
        <v>3</v>
      </c>
      <c r="AE43" s="23">
        <f t="shared" si="5"/>
        <v>48.666666666666664</v>
      </c>
      <c r="AF43" s="24">
        <f t="shared" si="4"/>
        <v>0.27397260273972607</v>
      </c>
    </row>
    <row r="44" spans="1:32" ht="15.9" x14ac:dyDescent="0.45">
      <c r="A44" s="16">
        <v>44224</v>
      </c>
      <c r="B44" s="17">
        <v>42</v>
      </c>
      <c r="C44" s="17">
        <v>30</v>
      </c>
      <c r="D44" s="17">
        <v>-46</v>
      </c>
      <c r="E44" s="17">
        <v>-33</v>
      </c>
      <c r="F44" s="17">
        <v>-533</v>
      </c>
      <c r="G44" s="17">
        <v>-342</v>
      </c>
      <c r="H44" s="18">
        <f t="shared" si="3"/>
        <v>58.333333333333336</v>
      </c>
      <c r="I44" s="18">
        <v>0.48</v>
      </c>
      <c r="J44" s="18">
        <v>-1.69</v>
      </c>
      <c r="S44" s="37">
        <v>4</v>
      </c>
      <c r="T44" s="38">
        <v>3</v>
      </c>
      <c r="AE44" s="23">
        <f t="shared" si="5"/>
        <v>53</v>
      </c>
      <c r="AF44" s="24">
        <f t="shared" si="4"/>
        <v>-0.20754716981132076</v>
      </c>
    </row>
    <row r="45" spans="1:32" ht="15.9" x14ac:dyDescent="0.45">
      <c r="A45" s="16">
        <v>44225</v>
      </c>
      <c r="B45" s="17">
        <v>32</v>
      </c>
      <c r="C45" s="17">
        <v>18</v>
      </c>
      <c r="D45" s="17">
        <v>-78</v>
      </c>
      <c r="E45" s="17">
        <v>-39</v>
      </c>
      <c r="F45" s="17">
        <v>-932</v>
      </c>
      <c r="G45" s="17">
        <v>-320</v>
      </c>
      <c r="H45" s="18">
        <f t="shared" si="3"/>
        <v>64</v>
      </c>
      <c r="I45" s="18">
        <v>-2.92</v>
      </c>
      <c r="J45" s="18">
        <v>-6.21</v>
      </c>
      <c r="S45" s="37">
        <v>4</v>
      </c>
      <c r="T45" s="38">
        <v>3</v>
      </c>
      <c r="AE45" s="23">
        <f t="shared" si="5"/>
        <v>51.666666666666664</v>
      </c>
      <c r="AF45" s="24">
        <f t="shared" si="4"/>
        <v>-0.38064516129032255</v>
      </c>
    </row>
    <row r="46" spans="1:32" ht="15.9" x14ac:dyDescent="0.45">
      <c r="A46" s="16">
        <v>44228</v>
      </c>
      <c r="B46" s="17">
        <v>82</v>
      </c>
      <c r="C46" s="17">
        <v>-28</v>
      </c>
      <c r="D46" s="17">
        <v>-92</v>
      </c>
      <c r="E46" s="17">
        <v>-58</v>
      </c>
      <c r="F46" s="17">
        <v>-503</v>
      </c>
      <c r="G46" s="17">
        <v>-244</v>
      </c>
      <c r="H46" s="18">
        <f t="shared" si="3"/>
        <v>151.85185185185185</v>
      </c>
      <c r="I46" s="18">
        <v>4.8499999999999996</v>
      </c>
      <c r="J46" s="18">
        <v>0.87</v>
      </c>
      <c r="S46" s="37">
        <v>5</v>
      </c>
      <c r="T46" s="38">
        <v>3</v>
      </c>
      <c r="AE46" s="23">
        <f t="shared" si="5"/>
        <v>45.333333333333336</v>
      </c>
      <c r="AF46" s="24">
        <f t="shared" si="4"/>
        <v>0.80882352941176461</v>
      </c>
    </row>
    <row r="47" spans="1:32" ht="15.9" x14ac:dyDescent="0.45">
      <c r="A47" s="16">
        <v>44229</v>
      </c>
      <c r="B47" s="17">
        <v>68</v>
      </c>
      <c r="C47" s="17">
        <v>-20</v>
      </c>
      <c r="D47" s="17">
        <v>-37</v>
      </c>
      <c r="E47" s="17">
        <v>-20</v>
      </c>
      <c r="F47" s="17">
        <v>-268</v>
      </c>
      <c r="G47" s="17">
        <v>-113</v>
      </c>
      <c r="H47" s="18">
        <f t="shared" si="3"/>
        <v>141.66666666666669</v>
      </c>
      <c r="I47" s="18">
        <v>1.77</v>
      </c>
      <c r="J47" s="18">
        <v>0.34</v>
      </c>
      <c r="S47" s="37">
        <v>4</v>
      </c>
      <c r="T47" s="38">
        <v>3</v>
      </c>
      <c r="AE47" s="23">
        <f t="shared" si="5"/>
        <v>52</v>
      </c>
      <c r="AF47" s="24">
        <f t="shared" si="4"/>
        <v>0.30769230769230771</v>
      </c>
    </row>
    <row r="48" spans="1:32" ht="15.9" x14ac:dyDescent="0.45">
      <c r="A48" s="16">
        <v>44230</v>
      </c>
      <c r="B48" s="17">
        <v>39</v>
      </c>
      <c r="C48" s="17">
        <v>28</v>
      </c>
      <c r="D48" s="17">
        <v>-35</v>
      </c>
      <c r="E48" s="17">
        <v>-18</v>
      </c>
      <c r="F48" s="17">
        <v>-551</v>
      </c>
      <c r="G48" s="17">
        <v>-351</v>
      </c>
      <c r="H48" s="18">
        <f t="shared" si="3"/>
        <v>58.208955223880601</v>
      </c>
      <c r="I48" s="18">
        <v>-0.24</v>
      </c>
      <c r="J48" s="18">
        <v>-2.0699999999999998</v>
      </c>
      <c r="S48" s="37">
        <v>3</v>
      </c>
      <c r="T48" s="38">
        <v>2</v>
      </c>
      <c r="AE48" s="23">
        <f t="shared" si="5"/>
        <v>60.666666666666664</v>
      </c>
      <c r="AF48" s="24">
        <f t="shared" si="4"/>
        <v>-0.3571428571428571</v>
      </c>
    </row>
    <row r="49" spans="1:32" ht="15.9" x14ac:dyDescent="0.45">
      <c r="A49" s="16">
        <v>44231</v>
      </c>
      <c r="B49" s="17">
        <v>45</v>
      </c>
      <c r="C49" s="17">
        <v>19</v>
      </c>
      <c r="D49" s="17">
        <v>-62</v>
      </c>
      <c r="E49" s="17">
        <v>-26</v>
      </c>
      <c r="F49" s="17">
        <v>-1259</v>
      </c>
      <c r="G49" s="17">
        <v>-411</v>
      </c>
      <c r="H49" s="18">
        <f t="shared" si="3"/>
        <v>70.3125</v>
      </c>
      <c r="I49" s="18">
        <v>1.53</v>
      </c>
      <c r="J49" s="18">
        <v>-1.52</v>
      </c>
      <c r="S49" s="37">
        <v>4</v>
      </c>
      <c r="T49" s="38">
        <v>3</v>
      </c>
      <c r="AE49" s="23">
        <f t="shared" si="5"/>
        <v>63</v>
      </c>
      <c r="AF49" s="24">
        <f t="shared" si="4"/>
        <v>-0.2857142857142857</v>
      </c>
    </row>
    <row r="50" spans="1:32" ht="15.9" x14ac:dyDescent="0.45">
      <c r="A50" s="16">
        <v>44232</v>
      </c>
      <c r="B50" s="17">
        <v>45</v>
      </c>
      <c r="C50" s="17">
        <v>30</v>
      </c>
      <c r="D50" s="17">
        <v>-77</v>
      </c>
      <c r="E50" s="17">
        <v>-45</v>
      </c>
      <c r="F50" s="17">
        <v>-617</v>
      </c>
      <c r="G50" s="17">
        <v>-449</v>
      </c>
      <c r="H50" s="18">
        <f t="shared" si="3"/>
        <v>60</v>
      </c>
      <c r="I50" s="18">
        <v>-3.5</v>
      </c>
      <c r="J50" s="18">
        <v>-4.3099999999999996</v>
      </c>
      <c r="S50" s="37">
        <v>2</v>
      </c>
      <c r="T50" s="38">
        <v>1</v>
      </c>
      <c r="AE50" s="23">
        <f t="shared" si="5"/>
        <v>50.666666666666664</v>
      </c>
      <c r="AF50" s="24">
        <f t="shared" si="4"/>
        <v>-0.11184210526315785</v>
      </c>
    </row>
    <row r="51" spans="1:32" ht="15.9" x14ac:dyDescent="0.45">
      <c r="A51" s="16">
        <v>44235</v>
      </c>
      <c r="B51" s="17">
        <v>55</v>
      </c>
      <c r="C51" s="17">
        <v>29</v>
      </c>
      <c r="D51" s="17">
        <v>-43</v>
      </c>
      <c r="E51" s="17">
        <v>-20</v>
      </c>
      <c r="F51" s="17">
        <v>-314</v>
      </c>
      <c r="G51" s="17">
        <v>-163</v>
      </c>
      <c r="H51" s="18">
        <f t="shared" si="3"/>
        <v>65.476190476190482</v>
      </c>
      <c r="I51" s="18">
        <v>-0.54</v>
      </c>
      <c r="J51" s="18">
        <v>-3.28</v>
      </c>
      <c r="S51" s="37">
        <v>3</v>
      </c>
      <c r="T51" s="38">
        <v>2</v>
      </c>
      <c r="AE51" s="23">
        <f t="shared" si="5"/>
        <v>43</v>
      </c>
      <c r="AF51" s="24">
        <f t="shared" si="4"/>
        <v>0.27906976744186046</v>
      </c>
    </row>
    <row r="52" spans="1:32" ht="15.9" x14ac:dyDescent="0.45">
      <c r="A52" s="16">
        <v>44236</v>
      </c>
      <c r="B52" s="17">
        <v>65</v>
      </c>
      <c r="C52" s="17">
        <v>24</v>
      </c>
      <c r="D52" s="17">
        <v>-15</v>
      </c>
      <c r="E52" s="17">
        <v>-4</v>
      </c>
      <c r="F52" s="17">
        <v>-80</v>
      </c>
      <c r="G52" s="17">
        <v>-28</v>
      </c>
      <c r="H52" s="18">
        <f t="shared" si="3"/>
        <v>73.033707865168537</v>
      </c>
      <c r="I52" s="18">
        <v>4.2300000000000004</v>
      </c>
      <c r="J52" s="18">
        <v>1.62</v>
      </c>
      <c r="S52" s="37">
        <v>4</v>
      </c>
      <c r="T52" s="38">
        <v>3</v>
      </c>
      <c r="AE52" s="23">
        <f t="shared" si="5"/>
        <v>48.333333333333336</v>
      </c>
      <c r="AF52" s="24">
        <f t="shared" si="4"/>
        <v>0.34482758620689646</v>
      </c>
    </row>
    <row r="53" spans="1:32" ht="15.9" x14ac:dyDescent="0.45">
      <c r="A53" s="16">
        <v>44237</v>
      </c>
      <c r="B53" s="17">
        <v>39</v>
      </c>
      <c r="C53" s="17">
        <v>15</v>
      </c>
      <c r="D53" s="17">
        <v>-18</v>
      </c>
      <c r="E53" s="17">
        <v>-10</v>
      </c>
      <c r="F53" s="17">
        <v>-117</v>
      </c>
      <c r="G53" s="17">
        <v>-58</v>
      </c>
      <c r="H53" s="18">
        <f t="shared" si="3"/>
        <v>72.222222222222214</v>
      </c>
      <c r="I53" s="18">
        <v>1.18</v>
      </c>
      <c r="J53" s="18">
        <v>-0.06</v>
      </c>
      <c r="S53" s="37">
        <v>4</v>
      </c>
      <c r="T53" s="38">
        <v>3</v>
      </c>
      <c r="AE53" s="23">
        <f t="shared" si="5"/>
        <v>55</v>
      </c>
      <c r="AF53" s="24">
        <f t="shared" si="4"/>
        <v>-0.29090909090909089</v>
      </c>
    </row>
    <row r="54" spans="1:32" ht="15.9" x14ac:dyDescent="0.45">
      <c r="A54" s="16">
        <v>44245</v>
      </c>
      <c r="B54" s="17">
        <v>100</v>
      </c>
      <c r="C54" s="17">
        <v>55</v>
      </c>
      <c r="D54" s="17">
        <v>-10</v>
      </c>
      <c r="E54" s="17">
        <v>-4</v>
      </c>
      <c r="F54" s="17">
        <v>-125</v>
      </c>
      <c r="G54" s="17">
        <v>-88</v>
      </c>
      <c r="H54" s="18">
        <f t="shared" si="3"/>
        <v>64.516129032258064</v>
      </c>
      <c r="I54" s="18">
        <v>4.42</v>
      </c>
      <c r="J54" s="18">
        <v>2.56</v>
      </c>
      <c r="S54" s="37">
        <v>5</v>
      </c>
      <c r="T54" s="38">
        <v>4</v>
      </c>
      <c r="AE54" s="23">
        <f t="shared" si="5"/>
        <v>53</v>
      </c>
      <c r="AF54" s="24">
        <f t="shared" si="4"/>
        <v>0.8867924528301887</v>
      </c>
    </row>
    <row r="55" spans="1:32" ht="15.9" x14ac:dyDescent="0.45">
      <c r="A55" s="16">
        <v>44246</v>
      </c>
      <c r="B55" s="17">
        <v>100</v>
      </c>
      <c r="C55" s="17">
        <v>21</v>
      </c>
      <c r="D55" s="17">
        <v>-16</v>
      </c>
      <c r="E55" s="17">
        <v>-5</v>
      </c>
      <c r="F55" s="17">
        <v>-204</v>
      </c>
      <c r="G55" s="17">
        <v>-62</v>
      </c>
      <c r="H55" s="18">
        <f t="shared" si="3"/>
        <v>82.644628099173559</v>
      </c>
      <c r="I55" s="18">
        <v>4.8600000000000003</v>
      </c>
      <c r="J55" s="18">
        <v>2.73</v>
      </c>
      <c r="S55" s="37">
        <v>6</v>
      </c>
      <c r="T55" s="38">
        <v>5</v>
      </c>
      <c r="AE55" s="23">
        <f t="shared" si="5"/>
        <v>68</v>
      </c>
      <c r="AF55" s="24">
        <f t="shared" si="4"/>
        <v>0.47058823529411764</v>
      </c>
    </row>
    <row r="56" spans="1:32" ht="15.9" x14ac:dyDescent="0.45">
      <c r="A56" s="16">
        <v>44249</v>
      </c>
      <c r="B56" s="17">
        <v>80</v>
      </c>
      <c r="C56" s="17">
        <v>108</v>
      </c>
      <c r="D56" s="17">
        <v>-14</v>
      </c>
      <c r="E56" s="17">
        <v>-7</v>
      </c>
      <c r="F56" s="17">
        <v>-224</v>
      </c>
      <c r="G56" s="17">
        <v>-157</v>
      </c>
      <c r="H56" s="18">
        <f t="shared" si="3"/>
        <v>42.553191489361701</v>
      </c>
      <c r="I56" s="18">
        <v>5.27</v>
      </c>
      <c r="J56" s="18">
        <v>3.98</v>
      </c>
      <c r="S56" s="37">
        <v>7</v>
      </c>
      <c r="T56" s="38">
        <v>6</v>
      </c>
      <c r="AE56" s="23">
        <f t="shared" si="5"/>
        <v>79.666666666666671</v>
      </c>
      <c r="AF56" s="24">
        <f t="shared" si="4"/>
        <v>4.1841004184099825E-3</v>
      </c>
    </row>
    <row r="57" spans="1:32" ht="15.9" x14ac:dyDescent="0.45">
      <c r="A57" s="16">
        <v>44250</v>
      </c>
      <c r="B57" s="17">
        <v>53</v>
      </c>
      <c r="C57" s="17">
        <v>26</v>
      </c>
      <c r="D57" s="17">
        <v>-12</v>
      </c>
      <c r="E57" s="17">
        <v>-2</v>
      </c>
      <c r="F57" s="17">
        <v>-302</v>
      </c>
      <c r="G57" s="17">
        <v>-124</v>
      </c>
      <c r="H57" s="18">
        <f t="shared" si="3"/>
        <v>67.088607594936718</v>
      </c>
      <c r="I57" s="18">
        <v>0.96</v>
      </c>
      <c r="J57" s="18">
        <v>-2.0299999999999998</v>
      </c>
      <c r="S57" s="37">
        <v>4</v>
      </c>
      <c r="T57" s="38">
        <v>3</v>
      </c>
      <c r="AE57" s="23">
        <f t="shared" si="5"/>
        <v>93.333333333333329</v>
      </c>
      <c r="AF57" s="24">
        <f t="shared" si="4"/>
        <v>-0.43214285714285711</v>
      </c>
    </row>
    <row r="58" spans="1:32" ht="15.9" x14ac:dyDescent="0.45">
      <c r="A58" s="16">
        <v>44251</v>
      </c>
      <c r="B58" s="17">
        <v>42</v>
      </c>
      <c r="C58" s="17">
        <v>13</v>
      </c>
      <c r="D58" s="17">
        <v>-35</v>
      </c>
      <c r="E58" s="17">
        <v>-9</v>
      </c>
      <c r="F58" s="17">
        <v>-360</v>
      </c>
      <c r="G58" s="17">
        <v>-185</v>
      </c>
      <c r="H58" s="18">
        <f t="shared" si="3"/>
        <v>76.363636363636374</v>
      </c>
      <c r="I58" s="18">
        <v>-0.28999999999999998</v>
      </c>
      <c r="J58" s="18">
        <v>-2.5499999999999998</v>
      </c>
      <c r="S58" s="37">
        <v>5</v>
      </c>
      <c r="T58" s="38">
        <v>3</v>
      </c>
      <c r="AE58" s="23">
        <f t="shared" si="5"/>
        <v>77.666666666666671</v>
      </c>
      <c r="AF58" s="24">
        <f t="shared" si="4"/>
        <v>-0.45922746781115881</v>
      </c>
    </row>
    <row r="59" spans="1:32" ht="15.9" x14ac:dyDescent="0.45">
      <c r="A59" s="16">
        <v>44252</v>
      </c>
      <c r="B59" s="17">
        <v>41</v>
      </c>
      <c r="C59" s="17">
        <v>29</v>
      </c>
      <c r="D59" s="17">
        <v>-8</v>
      </c>
      <c r="E59" s="17">
        <v>-3</v>
      </c>
      <c r="F59" s="17">
        <v>-227</v>
      </c>
      <c r="G59" s="17">
        <v>-108</v>
      </c>
      <c r="H59" s="18">
        <f t="shared" si="3"/>
        <v>58.571428571428577</v>
      </c>
      <c r="I59" s="18">
        <v>1.97</v>
      </c>
      <c r="J59" s="18">
        <v>-0.44</v>
      </c>
      <c r="S59" s="37">
        <v>3</v>
      </c>
      <c r="T59" s="38">
        <v>2</v>
      </c>
      <c r="AE59" s="23">
        <f t="shared" si="5"/>
        <v>58.333333333333336</v>
      </c>
      <c r="AF59" s="24">
        <f t="shared" si="4"/>
        <v>-0.29714285714285715</v>
      </c>
    </row>
    <row r="60" spans="1:32" ht="15.9" x14ac:dyDescent="0.45">
      <c r="A60" s="16">
        <v>44253</v>
      </c>
      <c r="B60" s="17">
        <v>39</v>
      </c>
      <c r="C60" s="17">
        <v>23</v>
      </c>
      <c r="D60" s="17">
        <v>-26</v>
      </c>
      <c r="E60" s="17">
        <v>-4</v>
      </c>
      <c r="F60" s="17">
        <v>-520</v>
      </c>
      <c r="G60" s="17">
        <v>-203</v>
      </c>
      <c r="H60" s="18">
        <f t="shared" si="3"/>
        <v>62.903225806451616</v>
      </c>
      <c r="I60" s="18">
        <v>1.5</v>
      </c>
      <c r="J60" s="18">
        <v>-3.17</v>
      </c>
      <c r="S60" s="37">
        <v>4</v>
      </c>
      <c r="T60" s="38">
        <v>3</v>
      </c>
      <c r="AE60" s="23">
        <f t="shared" si="5"/>
        <v>45.333333333333336</v>
      </c>
      <c r="AF60" s="24">
        <f t="shared" si="4"/>
        <v>-0.13970588235294124</v>
      </c>
    </row>
    <row r="61" spans="1:32" ht="15.9" x14ac:dyDescent="0.45">
      <c r="A61" s="28">
        <v>44256</v>
      </c>
      <c r="B61" s="29">
        <v>84</v>
      </c>
      <c r="C61" s="29">
        <v>30</v>
      </c>
      <c r="D61" s="29">
        <v>-10</v>
      </c>
      <c r="E61" s="29">
        <v>-4</v>
      </c>
      <c r="F61" s="29">
        <v>-92</v>
      </c>
      <c r="G61" s="29">
        <v>-22</v>
      </c>
      <c r="H61" s="30">
        <f t="shared" si="3"/>
        <v>73.68421052631578</v>
      </c>
      <c r="I61" s="30">
        <v>4.68</v>
      </c>
      <c r="J61" s="30">
        <v>2.09</v>
      </c>
      <c r="K61" s="30"/>
      <c r="L61" s="30"/>
      <c r="M61" s="30"/>
      <c r="N61" s="30"/>
      <c r="O61" s="30"/>
      <c r="P61" s="30"/>
      <c r="Q61" s="30"/>
      <c r="R61" s="30"/>
      <c r="S61" s="39">
        <v>5</v>
      </c>
      <c r="T61" s="40">
        <v>4</v>
      </c>
      <c r="U61" s="41"/>
      <c r="V61" s="42"/>
      <c r="W61" s="41"/>
      <c r="X61" s="42"/>
      <c r="Y61" s="42"/>
      <c r="Z61" s="42"/>
      <c r="AA61" s="42"/>
      <c r="AB61" s="42"/>
      <c r="AC61" s="50"/>
      <c r="AD61" s="50"/>
      <c r="AE61" s="51">
        <f t="shared" si="5"/>
        <v>40.666666666666664</v>
      </c>
      <c r="AF61" s="52">
        <f t="shared" si="4"/>
        <v>1.0655737704918034</v>
      </c>
    </row>
    <row r="62" spans="1:32" ht="15.9" x14ac:dyDescent="0.45">
      <c r="A62" s="31">
        <v>44257</v>
      </c>
      <c r="B62" s="32">
        <v>37</v>
      </c>
      <c r="C62" s="32">
        <v>20</v>
      </c>
      <c r="D62" s="32">
        <v>-21</v>
      </c>
      <c r="E62" s="32">
        <v>-12</v>
      </c>
      <c r="F62" s="32">
        <v>-266</v>
      </c>
      <c r="G62" s="32">
        <v>-119</v>
      </c>
      <c r="H62" s="33">
        <f t="shared" si="3"/>
        <v>64.912280701754383</v>
      </c>
      <c r="I62" s="33">
        <v>0.42</v>
      </c>
      <c r="J62" s="33">
        <v>-0.71</v>
      </c>
      <c r="K62" s="33"/>
      <c r="L62" s="33"/>
      <c r="M62" s="33"/>
      <c r="N62" s="33"/>
      <c r="O62" s="33"/>
      <c r="P62" s="33"/>
      <c r="Q62" s="33"/>
      <c r="R62" s="33"/>
      <c r="S62" s="43">
        <v>3</v>
      </c>
      <c r="T62" s="44">
        <v>2</v>
      </c>
      <c r="U62" s="45"/>
      <c r="V62" s="46"/>
      <c r="W62" s="45"/>
      <c r="X62" s="46"/>
      <c r="Y62" s="46"/>
      <c r="Z62" s="46"/>
      <c r="AA62" s="46"/>
      <c r="AB62" s="46"/>
      <c r="AC62" s="53"/>
      <c r="AD62" s="53"/>
      <c r="AE62" s="54">
        <f t="shared" si="5"/>
        <v>54.666666666666664</v>
      </c>
      <c r="AF62" s="55">
        <f t="shared" si="4"/>
        <v>-0.32317073170731703</v>
      </c>
    </row>
    <row r="63" spans="1:32" ht="15.9" x14ac:dyDescent="0.45">
      <c r="A63" s="16">
        <v>44258</v>
      </c>
      <c r="B63" s="17">
        <v>81</v>
      </c>
      <c r="C63" s="17">
        <v>22</v>
      </c>
      <c r="D63" s="17">
        <v>-7</v>
      </c>
      <c r="E63" s="17">
        <v>0</v>
      </c>
      <c r="F63" s="17">
        <v>-117</v>
      </c>
      <c r="G63" s="17">
        <v>-17</v>
      </c>
      <c r="H63" s="18">
        <f t="shared" si="3"/>
        <v>78.640776699029118</v>
      </c>
      <c r="I63" s="18">
        <v>4.24</v>
      </c>
      <c r="J63" s="18">
        <v>1.91</v>
      </c>
      <c r="S63" s="37">
        <v>4</v>
      </c>
      <c r="T63" s="38">
        <v>3</v>
      </c>
      <c r="AE63" s="23">
        <f t="shared" si="5"/>
        <v>53.333333333333336</v>
      </c>
      <c r="AF63" s="24">
        <f t="shared" si="4"/>
        <v>0.51874999999999993</v>
      </c>
    </row>
    <row r="64" spans="1:32" ht="15.9" x14ac:dyDescent="0.45">
      <c r="A64" s="16">
        <v>44259</v>
      </c>
      <c r="B64" s="17">
        <v>42</v>
      </c>
      <c r="C64" s="17">
        <v>18</v>
      </c>
      <c r="D64" s="17">
        <v>-27</v>
      </c>
      <c r="E64" s="17">
        <v>-10</v>
      </c>
      <c r="F64" s="17">
        <v>-425</v>
      </c>
      <c r="G64" s="17">
        <v>-255</v>
      </c>
      <c r="H64" s="18">
        <f t="shared" si="3"/>
        <v>70</v>
      </c>
      <c r="I64" s="18">
        <v>2.87</v>
      </c>
      <c r="J64" s="18">
        <v>1.52</v>
      </c>
      <c r="S64" s="37">
        <v>5</v>
      </c>
      <c r="T64" s="38">
        <v>3</v>
      </c>
      <c r="AE64" s="23">
        <f t="shared" si="5"/>
        <v>67.333333333333329</v>
      </c>
      <c r="AF64" s="24">
        <f t="shared" si="4"/>
        <v>-0.37623762376237618</v>
      </c>
    </row>
    <row r="65" spans="1:32" ht="15.9" x14ac:dyDescent="0.45">
      <c r="A65" s="16">
        <v>44260</v>
      </c>
      <c r="B65" s="17">
        <v>61</v>
      </c>
      <c r="C65" s="17">
        <v>13</v>
      </c>
      <c r="D65" s="17">
        <v>-32</v>
      </c>
      <c r="E65" s="17">
        <v>-9</v>
      </c>
      <c r="F65" s="17">
        <v>-294</v>
      </c>
      <c r="G65" s="17">
        <v>-101</v>
      </c>
      <c r="H65" s="18">
        <f t="shared" si="3"/>
        <v>82.432432432432435</v>
      </c>
      <c r="I65" s="18">
        <v>1.37</v>
      </c>
      <c r="J65" s="18">
        <v>-1.73</v>
      </c>
      <c r="S65" s="37">
        <v>6</v>
      </c>
      <c r="T65" s="38">
        <v>2</v>
      </c>
      <c r="AE65" s="23">
        <f t="shared" si="5"/>
        <v>53.333333333333336</v>
      </c>
      <c r="AF65" s="24">
        <f t="shared" si="4"/>
        <v>0.14374999999999996</v>
      </c>
    </row>
    <row r="66" spans="1:32" ht="15.9" x14ac:dyDescent="0.45">
      <c r="A66" s="16">
        <v>44263</v>
      </c>
      <c r="B66" s="17">
        <v>53</v>
      </c>
      <c r="C66" s="17">
        <v>31</v>
      </c>
      <c r="D66" s="17">
        <v>-33</v>
      </c>
      <c r="E66" s="17">
        <v>-19</v>
      </c>
      <c r="F66" s="17">
        <v>-420</v>
      </c>
      <c r="G66" s="17">
        <v>-327</v>
      </c>
      <c r="H66" s="18">
        <f t="shared" si="3"/>
        <v>63.095238095238095</v>
      </c>
      <c r="I66" s="18">
        <v>1.38</v>
      </c>
      <c r="J66" s="18">
        <v>-0.5</v>
      </c>
      <c r="S66" s="37">
        <v>7</v>
      </c>
      <c r="T66" s="38">
        <v>3</v>
      </c>
      <c r="AE66" s="23">
        <f t="shared" si="5"/>
        <v>61.333333333333336</v>
      </c>
      <c r="AF66" s="24">
        <f t="shared" ref="AF66:AF74" si="6">(B66-AE66)/AE66</f>
        <v>-0.13586956521739132</v>
      </c>
    </row>
    <row r="67" spans="1:32" ht="15.9" x14ac:dyDescent="0.45">
      <c r="A67" s="16">
        <v>44264</v>
      </c>
      <c r="B67" s="17">
        <v>34</v>
      </c>
      <c r="C67" s="17">
        <v>21</v>
      </c>
      <c r="D67" s="17">
        <v>-109</v>
      </c>
      <c r="E67" s="17">
        <v>-34</v>
      </c>
      <c r="F67" s="17">
        <v>-1699</v>
      </c>
      <c r="G67" s="17">
        <v>-732</v>
      </c>
      <c r="H67" s="18">
        <f t="shared" si="3"/>
        <v>61.818181818181813</v>
      </c>
      <c r="I67" s="18">
        <v>-1.64</v>
      </c>
      <c r="J67" s="18">
        <v>-4.8600000000000003</v>
      </c>
      <c r="S67" s="37">
        <v>4</v>
      </c>
      <c r="T67" s="38">
        <v>3</v>
      </c>
      <c r="AE67" s="23">
        <f t="shared" si="5"/>
        <v>52</v>
      </c>
      <c r="AF67" s="24">
        <f t="shared" si="6"/>
        <v>-0.34615384615384615</v>
      </c>
    </row>
    <row r="68" spans="1:32" ht="15.9" x14ac:dyDescent="0.45">
      <c r="A68" s="16">
        <v>44265</v>
      </c>
      <c r="B68" s="17">
        <v>33</v>
      </c>
      <c r="C68" s="17">
        <v>24</v>
      </c>
      <c r="D68" s="17">
        <v>-27</v>
      </c>
      <c r="E68" s="17">
        <v>-13</v>
      </c>
      <c r="F68" s="17">
        <v>-377</v>
      </c>
      <c r="G68" s="17">
        <v>-211</v>
      </c>
      <c r="H68" s="18">
        <f t="shared" si="3"/>
        <v>57.894736842105267</v>
      </c>
      <c r="I68" s="18">
        <v>-2.5099999999999998</v>
      </c>
      <c r="J68" s="18">
        <v>-4.21</v>
      </c>
      <c r="S68" s="37">
        <v>4</v>
      </c>
      <c r="T68" s="38">
        <v>3</v>
      </c>
      <c r="AE68" s="23">
        <f t="shared" si="5"/>
        <v>49.333333333333336</v>
      </c>
      <c r="AF68" s="24">
        <f t="shared" si="6"/>
        <v>-0.33108108108108109</v>
      </c>
    </row>
    <row r="69" spans="1:32" ht="15.9" x14ac:dyDescent="0.45">
      <c r="A69" s="16">
        <v>44266</v>
      </c>
      <c r="B69" s="17">
        <v>69</v>
      </c>
      <c r="C69" s="17">
        <v>27</v>
      </c>
      <c r="D69" s="17">
        <v>-7</v>
      </c>
      <c r="E69" s="17">
        <v>0</v>
      </c>
      <c r="F69" s="17">
        <v>-106</v>
      </c>
      <c r="G69" s="17">
        <v>-14</v>
      </c>
      <c r="H69" s="18">
        <f t="shared" si="3"/>
        <v>71.875</v>
      </c>
      <c r="I69" s="18">
        <v>3.13</v>
      </c>
      <c r="J69" s="18">
        <v>-0.86</v>
      </c>
      <c r="S69" s="37">
        <v>5</v>
      </c>
      <c r="T69" s="38">
        <v>4</v>
      </c>
      <c r="AE69" s="23">
        <f t="shared" ref="AE69:AE74" si="7">(B66+B67+B68)/3</f>
        <v>40</v>
      </c>
      <c r="AF69" s="24">
        <f t="shared" si="6"/>
        <v>0.72499999999999998</v>
      </c>
    </row>
    <row r="70" spans="1:32" ht="15.9" x14ac:dyDescent="0.45">
      <c r="A70" s="16">
        <v>44267</v>
      </c>
      <c r="B70" s="17">
        <v>47</v>
      </c>
      <c r="C70" s="17">
        <v>38</v>
      </c>
      <c r="D70" s="17">
        <v>-8</v>
      </c>
      <c r="E70" s="17">
        <v>-3</v>
      </c>
      <c r="F70" s="17">
        <v>-159</v>
      </c>
      <c r="G70" s="17">
        <v>-53</v>
      </c>
      <c r="H70" s="18">
        <f t="shared" si="3"/>
        <v>55.294117647058826</v>
      </c>
      <c r="I70" s="18">
        <v>2.42</v>
      </c>
      <c r="J70" s="18">
        <v>0.25</v>
      </c>
      <c r="S70" s="37">
        <v>5</v>
      </c>
      <c r="T70" s="38">
        <v>3</v>
      </c>
      <c r="AE70" s="23">
        <f t="shared" si="7"/>
        <v>45.333333333333336</v>
      </c>
      <c r="AF70" s="24">
        <f t="shared" si="6"/>
        <v>3.6764705882352887E-2</v>
      </c>
    </row>
    <row r="71" spans="1:32" ht="15.9" x14ac:dyDescent="0.45">
      <c r="A71" s="16">
        <v>44270</v>
      </c>
      <c r="B71" s="17">
        <v>46</v>
      </c>
      <c r="C71" s="17">
        <v>29</v>
      </c>
      <c r="D71" s="17">
        <v>-22</v>
      </c>
      <c r="E71" s="17">
        <v>-10</v>
      </c>
      <c r="F71" s="17">
        <v>-349</v>
      </c>
      <c r="G71" s="17">
        <v>-168</v>
      </c>
      <c r="H71" s="18">
        <f t="shared" si="3"/>
        <v>61.333333333333329</v>
      </c>
      <c r="I71" s="18">
        <v>1.44</v>
      </c>
      <c r="J71" s="18">
        <v>-1.64</v>
      </c>
      <c r="S71" s="37">
        <v>6</v>
      </c>
      <c r="T71" s="38">
        <v>3</v>
      </c>
      <c r="AE71" s="23">
        <f t="shared" si="7"/>
        <v>49.666666666666664</v>
      </c>
      <c r="AF71" s="24">
        <f t="shared" si="6"/>
        <v>-7.3825503355704647E-2</v>
      </c>
    </row>
    <row r="72" spans="1:32" ht="15.9" x14ac:dyDescent="0.45">
      <c r="A72" s="16">
        <v>44271</v>
      </c>
      <c r="B72" s="17">
        <v>64</v>
      </c>
      <c r="C72" s="17">
        <v>20</v>
      </c>
      <c r="D72" s="17">
        <v>-13</v>
      </c>
      <c r="E72" s="17">
        <v>-4</v>
      </c>
      <c r="F72" s="17">
        <v>-143</v>
      </c>
      <c r="G72" s="17">
        <v>-32</v>
      </c>
      <c r="H72" s="18">
        <f t="shared" si="3"/>
        <v>76.19047619047619</v>
      </c>
      <c r="I72" s="18">
        <v>3.43</v>
      </c>
      <c r="J72" s="18">
        <v>0.55000000000000004</v>
      </c>
      <c r="S72" s="37">
        <v>7</v>
      </c>
      <c r="T72" s="38">
        <v>4</v>
      </c>
      <c r="AE72" s="23">
        <f t="shared" si="7"/>
        <v>54</v>
      </c>
      <c r="AF72" s="24">
        <f t="shared" si="6"/>
        <v>0.18518518518518517</v>
      </c>
    </row>
    <row r="73" spans="1:32" ht="15.9" x14ac:dyDescent="0.45">
      <c r="A73" s="16">
        <v>44272</v>
      </c>
      <c r="B73" s="17">
        <v>56</v>
      </c>
      <c r="C73" s="17">
        <v>20</v>
      </c>
      <c r="D73" s="17">
        <v>-9</v>
      </c>
      <c r="E73" s="17">
        <v>-3</v>
      </c>
      <c r="F73" s="17">
        <v>-143</v>
      </c>
      <c r="G73" s="17">
        <v>-39</v>
      </c>
      <c r="H73" s="18">
        <f t="shared" si="3"/>
        <v>73.68421052631578</v>
      </c>
      <c r="I73" s="18">
        <v>2.76</v>
      </c>
      <c r="J73" s="18">
        <v>0.6</v>
      </c>
      <c r="S73" s="37">
        <v>5</v>
      </c>
      <c r="T73" s="38">
        <v>3</v>
      </c>
      <c r="AE73" s="23">
        <f t="shared" si="7"/>
        <v>52.333333333333336</v>
      </c>
      <c r="AF73" s="24">
        <f t="shared" si="6"/>
        <v>7.006369426751588E-2</v>
      </c>
    </row>
    <row r="74" spans="1:32" ht="15.9" x14ac:dyDescent="0.45">
      <c r="A74" s="16">
        <v>44273</v>
      </c>
      <c r="B74" s="17">
        <v>59</v>
      </c>
      <c r="C74" s="17">
        <v>22</v>
      </c>
      <c r="D74" s="17">
        <v>-5</v>
      </c>
      <c r="E74" s="17">
        <v>-2</v>
      </c>
      <c r="F74" s="17">
        <v>-101</v>
      </c>
      <c r="G74" s="17">
        <v>-41</v>
      </c>
      <c r="H74" s="18">
        <f t="shared" si="3"/>
        <v>72.839506172839506</v>
      </c>
      <c r="I74" s="18">
        <v>1.96</v>
      </c>
      <c r="J74" s="18">
        <v>-0.45</v>
      </c>
      <c r="S74" s="37">
        <v>4</v>
      </c>
      <c r="T74" s="38">
        <v>3</v>
      </c>
      <c r="AE74" s="23">
        <f t="shared" si="7"/>
        <v>55.333333333333336</v>
      </c>
      <c r="AF74" s="24">
        <f t="shared" si="6"/>
        <v>6.6265060240963805E-2</v>
      </c>
    </row>
    <row r="75" spans="1:32" ht="15.9" x14ac:dyDescent="0.45">
      <c r="A75" s="16">
        <v>44274</v>
      </c>
      <c r="B75" s="17">
        <v>54</v>
      </c>
      <c r="C75" s="17">
        <v>23</v>
      </c>
      <c r="D75" s="17">
        <v>-11</v>
      </c>
      <c r="E75" s="17">
        <v>-3</v>
      </c>
      <c r="F75" s="17">
        <v>-239</v>
      </c>
      <c r="G75" s="17">
        <v>-110</v>
      </c>
      <c r="H75" s="18">
        <f t="shared" si="3"/>
        <v>70.129870129870127</v>
      </c>
      <c r="I75" s="18">
        <v>1.78</v>
      </c>
      <c r="J75" s="18">
        <v>-0.36</v>
      </c>
      <c r="S75" s="37">
        <v>4</v>
      </c>
      <c r="T75" s="38">
        <v>3</v>
      </c>
      <c r="AE75" s="23">
        <f t="shared" ref="AE75:AE138" si="8">(B72+B73+B74)/3</f>
        <v>59.666666666666664</v>
      </c>
      <c r="AF75" s="24">
        <f t="shared" ref="AF75:AF138" si="9">(B75-AE75)/AE75</f>
        <v>-9.4972067039106114E-2</v>
      </c>
    </row>
    <row r="76" spans="1:32" ht="15.9" x14ac:dyDescent="0.45">
      <c r="A76" s="16">
        <v>44277</v>
      </c>
      <c r="B76" s="17">
        <v>80</v>
      </c>
      <c r="C76" s="17">
        <v>27</v>
      </c>
      <c r="D76" s="17">
        <v>-4</v>
      </c>
      <c r="E76" s="17">
        <v>0</v>
      </c>
      <c r="F76" s="17">
        <v>-59</v>
      </c>
      <c r="G76" s="17">
        <v>-13</v>
      </c>
      <c r="H76" s="18">
        <f t="shared" si="3"/>
        <v>74.766355140186917</v>
      </c>
      <c r="I76" s="18">
        <v>4.82</v>
      </c>
      <c r="J76" s="18">
        <v>2.0099999999999998</v>
      </c>
      <c r="S76" s="37">
        <v>5</v>
      </c>
      <c r="T76" s="38">
        <v>3</v>
      </c>
      <c r="AE76" s="23">
        <f t="shared" si="8"/>
        <v>56.333333333333336</v>
      </c>
      <c r="AF76" s="24">
        <f t="shared" si="9"/>
        <v>0.4201183431952662</v>
      </c>
    </row>
    <row r="77" spans="1:32" ht="15.9" x14ac:dyDescent="0.45">
      <c r="A77" s="16">
        <v>44278</v>
      </c>
      <c r="B77" s="17">
        <v>47</v>
      </c>
      <c r="C77" s="17">
        <v>35</v>
      </c>
      <c r="D77" s="17">
        <v>-49</v>
      </c>
      <c r="E77" s="17">
        <v>-21</v>
      </c>
      <c r="F77" s="17">
        <v>-512</v>
      </c>
      <c r="G77" s="17">
        <v>-299</v>
      </c>
      <c r="H77" s="18">
        <f t="shared" si="3"/>
        <v>57.317073170731703</v>
      </c>
      <c r="I77" s="18">
        <v>1.19</v>
      </c>
      <c r="J77" s="18">
        <v>-0.71</v>
      </c>
      <c r="S77" s="37">
        <v>6</v>
      </c>
      <c r="T77" s="38">
        <v>4</v>
      </c>
      <c r="AE77" s="23">
        <f t="shared" si="8"/>
        <v>64.333333333333329</v>
      </c>
      <c r="AF77" s="24">
        <f t="shared" si="9"/>
        <v>-0.26943005181347146</v>
      </c>
    </row>
    <row r="78" spans="1:32" ht="15.9" x14ac:dyDescent="0.45">
      <c r="A78" s="16">
        <v>44279</v>
      </c>
      <c r="B78" s="17">
        <v>56</v>
      </c>
      <c r="C78" s="17">
        <v>22</v>
      </c>
      <c r="D78" s="17">
        <v>-45</v>
      </c>
      <c r="E78" s="17">
        <v>-22</v>
      </c>
      <c r="F78" s="17">
        <v>-440</v>
      </c>
      <c r="G78" s="17">
        <v>-254</v>
      </c>
      <c r="H78" s="18">
        <f t="shared" si="3"/>
        <v>71.794871794871796</v>
      </c>
      <c r="I78" s="18">
        <v>2.97</v>
      </c>
      <c r="J78" s="18">
        <v>-1.84</v>
      </c>
      <c r="S78" s="37">
        <v>7</v>
      </c>
      <c r="T78" s="38">
        <v>5</v>
      </c>
      <c r="AE78" s="23">
        <f t="shared" si="8"/>
        <v>60.333333333333336</v>
      </c>
      <c r="AF78" s="24">
        <f t="shared" si="9"/>
        <v>-7.1823204419889541E-2</v>
      </c>
    </row>
    <row r="79" spans="1:32" ht="15.9" x14ac:dyDescent="0.45">
      <c r="A79" s="16">
        <v>44280</v>
      </c>
      <c r="B79" s="17">
        <v>43</v>
      </c>
      <c r="C79" s="17">
        <v>28</v>
      </c>
      <c r="D79" s="17">
        <v>-45</v>
      </c>
      <c r="E79" s="17">
        <v>-22</v>
      </c>
      <c r="F79" s="17">
        <v>-337</v>
      </c>
      <c r="G79" s="17">
        <v>-178</v>
      </c>
      <c r="H79" s="18">
        <f t="shared" si="3"/>
        <v>60.563380281690137</v>
      </c>
      <c r="I79" s="18">
        <v>-0.92</v>
      </c>
      <c r="J79" s="18">
        <v>-3.14</v>
      </c>
      <c r="S79" s="37">
        <v>8</v>
      </c>
      <c r="T79" s="38">
        <v>3</v>
      </c>
      <c r="AE79" s="23">
        <f t="shared" si="8"/>
        <v>61</v>
      </c>
      <c r="AF79" s="24">
        <f t="shared" si="9"/>
        <v>-0.29508196721311475</v>
      </c>
    </row>
    <row r="80" spans="1:32" ht="15.9" x14ac:dyDescent="0.45">
      <c r="A80" s="16">
        <v>44281</v>
      </c>
      <c r="B80" s="17">
        <v>72</v>
      </c>
      <c r="C80" s="17">
        <v>24</v>
      </c>
      <c r="D80" s="17">
        <v>-4</v>
      </c>
      <c r="E80" s="17">
        <v>-1</v>
      </c>
      <c r="F80" s="17">
        <v>-67</v>
      </c>
      <c r="G80" s="17">
        <v>-15</v>
      </c>
      <c r="H80" s="18">
        <f t="shared" si="3"/>
        <v>75</v>
      </c>
      <c r="I80" s="18">
        <v>2.5</v>
      </c>
      <c r="J80" s="18">
        <v>-1.44</v>
      </c>
      <c r="S80" s="37">
        <v>9</v>
      </c>
      <c r="T80" s="38">
        <v>4</v>
      </c>
      <c r="AE80" s="23">
        <f t="shared" si="8"/>
        <v>48.666666666666664</v>
      </c>
      <c r="AF80" s="24">
        <f t="shared" si="9"/>
        <v>0.47945205479452063</v>
      </c>
    </row>
    <row r="81" spans="1:32" ht="15.9" x14ac:dyDescent="0.45">
      <c r="A81" s="16">
        <v>44284</v>
      </c>
      <c r="B81" s="17">
        <v>64</v>
      </c>
      <c r="C81" s="17">
        <v>31</v>
      </c>
      <c r="D81" s="17">
        <v>-9</v>
      </c>
      <c r="E81" s="17">
        <v>-5</v>
      </c>
      <c r="F81" s="17">
        <v>-150</v>
      </c>
      <c r="G81" s="17">
        <v>-52</v>
      </c>
      <c r="H81" s="18">
        <f t="shared" si="3"/>
        <v>67.368421052631575</v>
      </c>
      <c r="I81" s="18">
        <v>3.57</v>
      </c>
      <c r="J81" s="18">
        <v>1.53</v>
      </c>
      <c r="S81" s="37">
        <v>10</v>
      </c>
      <c r="T81" s="38">
        <v>4</v>
      </c>
      <c r="AE81" s="23">
        <f t="shared" si="8"/>
        <v>57</v>
      </c>
      <c r="AF81" s="24">
        <f t="shared" si="9"/>
        <v>0.12280701754385964</v>
      </c>
    </row>
    <row r="82" spans="1:32" ht="15.9" x14ac:dyDescent="0.45">
      <c r="A82" s="16">
        <v>44285</v>
      </c>
      <c r="B82" s="17">
        <v>58</v>
      </c>
      <c r="C82" s="17">
        <v>32</v>
      </c>
      <c r="D82" s="17">
        <v>-33</v>
      </c>
      <c r="E82" s="17">
        <v>-10</v>
      </c>
      <c r="F82" s="17">
        <v>-341</v>
      </c>
      <c r="G82" s="17">
        <v>-163</v>
      </c>
      <c r="H82" s="18">
        <f t="shared" si="3"/>
        <v>64.444444444444443</v>
      </c>
      <c r="I82" s="18">
        <v>3.33</v>
      </c>
      <c r="J82" s="18">
        <v>0.3</v>
      </c>
      <c r="S82" s="37">
        <v>11</v>
      </c>
      <c r="T82" s="38">
        <v>5</v>
      </c>
      <c r="AE82" s="23">
        <f t="shared" si="8"/>
        <v>59.666666666666664</v>
      </c>
      <c r="AF82" s="24">
        <f t="shared" si="9"/>
        <v>-2.7932960893854709E-2</v>
      </c>
    </row>
    <row r="83" spans="1:32" ht="15.9" x14ac:dyDescent="0.45">
      <c r="A83" s="16">
        <v>44286</v>
      </c>
      <c r="B83" s="17">
        <v>73</v>
      </c>
      <c r="C83" s="17">
        <v>30</v>
      </c>
      <c r="D83" s="17">
        <v>-18</v>
      </c>
      <c r="E83" s="17">
        <v>-6</v>
      </c>
      <c r="F83" s="17">
        <v>-230</v>
      </c>
      <c r="G83" s="17">
        <v>-116</v>
      </c>
      <c r="H83" s="18">
        <f t="shared" si="3"/>
        <v>70.873786407766985</v>
      </c>
      <c r="I83" s="18">
        <v>2.4</v>
      </c>
      <c r="J83" s="18">
        <v>-1.08</v>
      </c>
      <c r="S83" s="37">
        <v>12</v>
      </c>
      <c r="T83" s="38">
        <v>5</v>
      </c>
      <c r="AE83" s="23">
        <f t="shared" si="8"/>
        <v>64.666666666666671</v>
      </c>
      <c r="AF83" s="24">
        <f t="shared" si="9"/>
        <v>0.12886597938144323</v>
      </c>
    </row>
    <row r="84" spans="1:32" ht="15.9" x14ac:dyDescent="0.45">
      <c r="A84" s="16">
        <v>44287</v>
      </c>
      <c r="B84" s="17">
        <v>72</v>
      </c>
      <c r="C84" s="17">
        <v>27</v>
      </c>
      <c r="D84" s="17">
        <v>-21</v>
      </c>
      <c r="E84" s="17">
        <v>-9</v>
      </c>
      <c r="F84" s="17">
        <v>-174</v>
      </c>
      <c r="G84" s="17">
        <v>-76</v>
      </c>
      <c r="H84" s="18">
        <f t="shared" si="3"/>
        <v>72.727272727272734</v>
      </c>
      <c r="I84" s="18">
        <v>0.69</v>
      </c>
      <c r="J84" s="18">
        <v>-1.74</v>
      </c>
      <c r="S84" s="37">
        <v>13</v>
      </c>
      <c r="T84" s="38">
        <v>6</v>
      </c>
      <c r="AE84" s="23">
        <f t="shared" si="8"/>
        <v>65</v>
      </c>
      <c r="AF84" s="24">
        <f t="shared" si="9"/>
        <v>0.1076923076923077</v>
      </c>
    </row>
    <row r="85" spans="1:32" ht="15.9" x14ac:dyDescent="0.45">
      <c r="A85" s="16">
        <v>44288</v>
      </c>
      <c r="B85" s="17">
        <v>68</v>
      </c>
      <c r="C85" s="17">
        <v>22</v>
      </c>
      <c r="D85" s="17">
        <v>-10</v>
      </c>
      <c r="E85" s="17">
        <v>-5</v>
      </c>
      <c r="F85" s="17">
        <v>-132</v>
      </c>
      <c r="G85" s="17">
        <v>-66</v>
      </c>
      <c r="H85" s="18">
        <f t="shared" si="3"/>
        <v>75.555555555555557</v>
      </c>
      <c r="I85" s="18">
        <v>2.0699999999999998</v>
      </c>
      <c r="J85" s="18">
        <v>0.98</v>
      </c>
      <c r="S85" s="37">
        <v>14</v>
      </c>
      <c r="T85" s="38">
        <v>7</v>
      </c>
      <c r="AE85" s="23">
        <f t="shared" si="8"/>
        <v>67.666666666666671</v>
      </c>
      <c r="AF85" s="24">
        <f t="shared" si="9"/>
        <v>4.9261083743841663E-3</v>
      </c>
    </row>
    <row r="86" spans="1:32" ht="15.9" x14ac:dyDescent="0.45">
      <c r="A86" s="16">
        <v>44292</v>
      </c>
      <c r="B86" s="17">
        <v>76</v>
      </c>
      <c r="C86" s="17">
        <v>30</v>
      </c>
      <c r="D86" s="17">
        <v>-7</v>
      </c>
      <c r="E86" s="17">
        <v>-5</v>
      </c>
      <c r="F86" s="17">
        <v>-85</v>
      </c>
      <c r="G86" s="17">
        <v>-21</v>
      </c>
      <c r="H86" s="18">
        <f t="shared" si="3"/>
        <v>71.698113207547166</v>
      </c>
      <c r="I86" s="18">
        <v>3.22</v>
      </c>
      <c r="J86" s="18">
        <v>0.61</v>
      </c>
      <c r="S86" s="37">
        <v>15</v>
      </c>
      <c r="T86" s="38">
        <f t="shared" ref="T86:T91" si="10">S86-1</f>
        <v>14</v>
      </c>
      <c r="AE86" s="23">
        <f t="shared" si="8"/>
        <v>71</v>
      </c>
      <c r="AF86" s="24">
        <f t="shared" si="9"/>
        <v>7.0422535211267609E-2</v>
      </c>
    </row>
    <row r="87" spans="1:32" ht="15.9" x14ac:dyDescent="0.45">
      <c r="A87" s="16">
        <v>44293</v>
      </c>
      <c r="B87" s="17">
        <v>90</v>
      </c>
      <c r="C87" s="17">
        <v>30</v>
      </c>
      <c r="D87" s="17">
        <v>-4</v>
      </c>
      <c r="E87" s="17">
        <v>-2</v>
      </c>
      <c r="F87" s="17">
        <v>-123</v>
      </c>
      <c r="G87" s="17">
        <v>-37</v>
      </c>
      <c r="H87" s="18">
        <f t="shared" si="3"/>
        <v>75</v>
      </c>
      <c r="I87" s="18">
        <v>3.66</v>
      </c>
      <c r="J87" s="18">
        <v>1.59</v>
      </c>
      <c r="S87" s="37">
        <v>9</v>
      </c>
      <c r="T87" s="38">
        <f t="shared" si="10"/>
        <v>8</v>
      </c>
      <c r="AE87" s="23">
        <f t="shared" si="8"/>
        <v>72</v>
      </c>
      <c r="AF87" s="24">
        <f t="shared" si="9"/>
        <v>0.25</v>
      </c>
    </row>
    <row r="88" spans="1:32" ht="15.9" x14ac:dyDescent="0.45">
      <c r="A88" s="56">
        <v>44294</v>
      </c>
      <c r="B88" s="57">
        <v>37</v>
      </c>
      <c r="C88" s="57">
        <v>48</v>
      </c>
      <c r="D88" s="57">
        <v>-29</v>
      </c>
      <c r="E88" s="57">
        <v>-15</v>
      </c>
      <c r="F88" s="57">
        <v>-216</v>
      </c>
      <c r="G88" s="57">
        <v>-140</v>
      </c>
      <c r="H88" s="58">
        <f t="shared" si="3"/>
        <v>43.529411764705884</v>
      </c>
      <c r="I88" s="58">
        <v>-0.41</v>
      </c>
      <c r="J88" s="58">
        <v>-3.59</v>
      </c>
      <c r="K88" s="58"/>
      <c r="L88" s="58"/>
      <c r="M88" s="58"/>
      <c r="N88" s="58"/>
      <c r="O88" s="58"/>
      <c r="P88" s="58"/>
      <c r="Q88" s="58"/>
      <c r="R88" s="58"/>
      <c r="S88" s="71">
        <v>7</v>
      </c>
      <c r="T88" s="72">
        <f t="shared" si="10"/>
        <v>6</v>
      </c>
      <c r="U88" s="73"/>
      <c r="V88" s="74"/>
      <c r="W88" s="73"/>
      <c r="X88" s="74"/>
      <c r="Y88" s="74"/>
      <c r="Z88" s="74"/>
      <c r="AA88" s="74"/>
      <c r="AB88" s="74"/>
      <c r="AC88" s="83"/>
      <c r="AD88" s="83"/>
      <c r="AE88" s="84">
        <f t="shared" si="8"/>
        <v>78</v>
      </c>
      <c r="AF88" s="85">
        <f t="shared" si="9"/>
        <v>-0.52564102564102566</v>
      </c>
    </row>
    <row r="89" spans="1:32" ht="15.9" x14ac:dyDescent="0.45">
      <c r="A89" s="16">
        <v>44295</v>
      </c>
      <c r="B89" s="17">
        <v>55</v>
      </c>
      <c r="C89" s="17">
        <v>17</v>
      </c>
      <c r="D89" s="17">
        <v>-13</v>
      </c>
      <c r="E89" s="17">
        <v>-6</v>
      </c>
      <c r="F89" s="17">
        <v>-181</v>
      </c>
      <c r="G89" s="17">
        <v>-82</v>
      </c>
      <c r="H89" s="18">
        <f t="shared" ref="H89:H119" si="11">B89/(B89+C89)*100</f>
        <v>76.388888888888886</v>
      </c>
      <c r="I89" s="18">
        <v>3.73</v>
      </c>
      <c r="J89" s="18">
        <v>-2.84</v>
      </c>
      <c r="S89" s="37">
        <v>8</v>
      </c>
      <c r="T89" s="38">
        <f t="shared" si="10"/>
        <v>7</v>
      </c>
      <c r="AE89" s="23">
        <f t="shared" si="8"/>
        <v>67.666666666666671</v>
      </c>
      <c r="AF89" s="24">
        <f t="shared" si="9"/>
        <v>-0.18719211822660103</v>
      </c>
    </row>
    <row r="90" spans="1:32" ht="15.9" x14ac:dyDescent="0.45">
      <c r="A90" s="16">
        <v>44298</v>
      </c>
      <c r="B90" s="17">
        <v>64</v>
      </c>
      <c r="C90" s="17">
        <v>23</v>
      </c>
      <c r="D90" s="17">
        <v>-35</v>
      </c>
      <c r="E90" s="17">
        <v>-20</v>
      </c>
      <c r="F90" s="17">
        <v>-506</v>
      </c>
      <c r="G90" s="17">
        <v>-303</v>
      </c>
      <c r="H90" s="18">
        <f t="shared" si="11"/>
        <v>73.563218390804593</v>
      </c>
      <c r="I90" s="18">
        <v>3.5</v>
      </c>
      <c r="J90" s="18">
        <v>0.78</v>
      </c>
      <c r="S90" s="37">
        <v>6</v>
      </c>
      <c r="T90" s="38">
        <f t="shared" si="10"/>
        <v>5</v>
      </c>
      <c r="AE90" s="23">
        <f t="shared" si="8"/>
        <v>60.666666666666664</v>
      </c>
      <c r="AF90" s="24">
        <f t="shared" si="9"/>
        <v>5.4945054945054986E-2</v>
      </c>
    </row>
    <row r="91" spans="1:32" ht="15.9" x14ac:dyDescent="0.45">
      <c r="A91" s="16">
        <v>44299</v>
      </c>
      <c r="B91" s="17">
        <v>51</v>
      </c>
      <c r="C91" s="17">
        <v>19</v>
      </c>
      <c r="D91" s="17">
        <v>-47</v>
      </c>
      <c r="E91" s="17">
        <v>-29</v>
      </c>
      <c r="F91" s="17">
        <v>-376</v>
      </c>
      <c r="G91" s="17">
        <v>-201</v>
      </c>
      <c r="H91" s="18">
        <f t="shared" si="11"/>
        <v>72.857142857142847</v>
      </c>
      <c r="I91" s="18">
        <v>0.16</v>
      </c>
      <c r="J91" s="18">
        <v>-2.12</v>
      </c>
      <c r="S91" s="37">
        <v>7</v>
      </c>
      <c r="T91" s="38">
        <f t="shared" si="10"/>
        <v>6</v>
      </c>
      <c r="AE91" s="23">
        <f t="shared" si="8"/>
        <v>52</v>
      </c>
      <c r="AF91" s="24">
        <f t="shared" si="9"/>
        <v>-1.9230769230769232E-2</v>
      </c>
    </row>
    <row r="92" spans="1:32" ht="15.9" x14ac:dyDescent="0.45">
      <c r="A92" s="16">
        <v>44300</v>
      </c>
      <c r="B92" s="17">
        <v>64</v>
      </c>
      <c r="C92" s="17">
        <v>32</v>
      </c>
      <c r="D92" s="17">
        <v>-23</v>
      </c>
      <c r="E92" s="17">
        <v>-7</v>
      </c>
      <c r="F92" s="17">
        <v>-166</v>
      </c>
      <c r="G92" s="17">
        <v>-54</v>
      </c>
      <c r="H92" s="18">
        <f t="shared" si="11"/>
        <v>66.666666666666657</v>
      </c>
      <c r="I92" s="18">
        <v>2.08</v>
      </c>
      <c r="J92" s="18">
        <v>0.28999999999999998</v>
      </c>
      <c r="S92" s="37">
        <v>4</v>
      </c>
      <c r="T92" s="38">
        <v>3</v>
      </c>
      <c r="AE92" s="23">
        <f t="shared" si="8"/>
        <v>56.666666666666664</v>
      </c>
      <c r="AF92" s="24">
        <f t="shared" si="9"/>
        <v>0.12941176470588239</v>
      </c>
    </row>
    <row r="93" spans="1:32" ht="15.9" x14ac:dyDescent="0.45">
      <c r="A93" s="56">
        <v>44301</v>
      </c>
      <c r="B93" s="57">
        <v>43</v>
      </c>
      <c r="C93" s="57">
        <v>29</v>
      </c>
      <c r="D93" s="57">
        <v>-37</v>
      </c>
      <c r="E93" s="57">
        <v>-23</v>
      </c>
      <c r="F93" s="57">
        <v>-332</v>
      </c>
      <c r="G93" s="57">
        <v>-179</v>
      </c>
      <c r="H93" s="58">
        <f t="shared" si="11"/>
        <v>59.722222222222221</v>
      </c>
      <c r="I93" s="58">
        <v>-0.6</v>
      </c>
      <c r="J93" s="58">
        <v>-3.89</v>
      </c>
      <c r="K93" s="58"/>
      <c r="L93" s="58"/>
      <c r="M93" s="58"/>
      <c r="N93" s="58"/>
      <c r="O93" s="58"/>
      <c r="P93" s="58"/>
      <c r="Q93" s="58"/>
      <c r="R93" s="58"/>
      <c r="S93" s="71">
        <v>5</v>
      </c>
      <c r="T93" s="72">
        <v>4</v>
      </c>
      <c r="U93" s="73"/>
      <c r="V93" s="74"/>
      <c r="W93" s="73"/>
      <c r="X93" s="74"/>
      <c r="Y93" s="74"/>
      <c r="Z93" s="74"/>
      <c r="AA93" s="74"/>
      <c r="AB93" s="74"/>
      <c r="AC93" s="83"/>
      <c r="AD93" s="83"/>
      <c r="AE93" s="84">
        <f t="shared" si="8"/>
        <v>59.666666666666664</v>
      </c>
      <c r="AF93" s="85">
        <f t="shared" si="9"/>
        <v>-0.27932960893854747</v>
      </c>
    </row>
    <row r="94" spans="1:32" ht="15.9" x14ac:dyDescent="0.45">
      <c r="A94" s="16">
        <v>44302</v>
      </c>
      <c r="B94" s="17">
        <v>74</v>
      </c>
      <c r="C94" s="17">
        <v>29</v>
      </c>
      <c r="D94" s="17">
        <v>-15</v>
      </c>
      <c r="E94" s="17">
        <v>-9</v>
      </c>
      <c r="F94" s="17">
        <v>-106</v>
      </c>
      <c r="G94" s="17">
        <v>-37</v>
      </c>
      <c r="H94" s="18">
        <f t="shared" si="11"/>
        <v>71.844660194174764</v>
      </c>
      <c r="I94" s="18">
        <v>2.76</v>
      </c>
      <c r="J94" s="18">
        <v>0.38</v>
      </c>
      <c r="S94" s="37">
        <v>6</v>
      </c>
      <c r="T94" s="38">
        <v>4</v>
      </c>
      <c r="AE94" s="23">
        <f t="shared" si="8"/>
        <v>52.666666666666664</v>
      </c>
      <c r="AF94" s="24">
        <f t="shared" si="9"/>
        <v>0.40506329113924056</v>
      </c>
    </row>
    <row r="95" spans="1:32" ht="15.9" x14ac:dyDescent="0.45">
      <c r="A95" s="16">
        <v>44305</v>
      </c>
      <c r="B95" s="17">
        <v>77</v>
      </c>
      <c r="C95" s="17">
        <v>30</v>
      </c>
      <c r="D95" s="17">
        <v>-12</v>
      </c>
      <c r="E95" s="17">
        <v>-5</v>
      </c>
      <c r="F95" s="17">
        <v>-100</v>
      </c>
      <c r="G95" s="17">
        <v>-35</v>
      </c>
      <c r="H95" s="18">
        <f t="shared" si="11"/>
        <v>71.962616822429908</v>
      </c>
      <c r="I95" s="18">
        <v>1.46</v>
      </c>
      <c r="J95" s="18">
        <v>-0.1</v>
      </c>
      <c r="S95" s="37">
        <v>5</v>
      </c>
      <c r="T95" s="38">
        <v>4</v>
      </c>
      <c r="AE95" s="23">
        <f t="shared" si="8"/>
        <v>60.333333333333336</v>
      </c>
      <c r="AF95" s="24">
        <f t="shared" si="9"/>
        <v>0.27624309392265189</v>
      </c>
    </row>
    <row r="96" spans="1:32" ht="15.9" x14ac:dyDescent="0.45">
      <c r="A96" s="16">
        <v>44306</v>
      </c>
      <c r="B96" s="17">
        <v>41</v>
      </c>
      <c r="C96" s="17">
        <v>38</v>
      </c>
      <c r="D96" s="17">
        <v>-17</v>
      </c>
      <c r="E96" s="17">
        <v>-9</v>
      </c>
      <c r="F96" s="17">
        <v>-140</v>
      </c>
      <c r="G96" s="17">
        <v>-87</v>
      </c>
      <c r="H96" s="18">
        <f t="shared" si="11"/>
        <v>51.898734177215189</v>
      </c>
      <c r="I96" s="18">
        <v>0.73</v>
      </c>
      <c r="J96" s="18">
        <v>-0.64</v>
      </c>
      <c r="S96" s="37">
        <v>4</v>
      </c>
      <c r="T96" s="38">
        <v>3</v>
      </c>
      <c r="AE96" s="23">
        <f t="shared" si="8"/>
        <v>64.666666666666671</v>
      </c>
      <c r="AF96" s="24">
        <f t="shared" si="9"/>
        <v>-0.365979381443299</v>
      </c>
    </row>
    <row r="97" spans="1:32" ht="15.9" x14ac:dyDescent="0.45">
      <c r="A97" s="16">
        <v>44307</v>
      </c>
      <c r="B97" s="17">
        <v>34</v>
      </c>
      <c r="C97" s="17">
        <v>20</v>
      </c>
      <c r="D97" s="17">
        <v>-17</v>
      </c>
      <c r="E97" s="17">
        <v>-11</v>
      </c>
      <c r="F97" s="17">
        <v>-203</v>
      </c>
      <c r="G97" s="17">
        <v>-96</v>
      </c>
      <c r="H97" s="18">
        <f t="shared" si="11"/>
        <v>62.962962962962962</v>
      </c>
      <c r="I97" s="18">
        <v>-0.78</v>
      </c>
      <c r="J97" s="18">
        <v>-3.55</v>
      </c>
      <c r="S97" s="37">
        <v>5</v>
      </c>
      <c r="T97" s="38">
        <v>4</v>
      </c>
      <c r="AE97" s="23">
        <f t="shared" si="8"/>
        <v>64</v>
      </c>
      <c r="AF97" s="24">
        <f t="shared" si="9"/>
        <v>-0.46875</v>
      </c>
    </row>
    <row r="98" spans="1:32" ht="15.9" x14ac:dyDescent="0.45">
      <c r="A98" s="16">
        <v>44308</v>
      </c>
      <c r="B98" s="17">
        <v>40</v>
      </c>
      <c r="C98" s="17">
        <v>31</v>
      </c>
      <c r="D98" s="17">
        <v>-8</v>
      </c>
      <c r="E98" s="17">
        <v>-5</v>
      </c>
      <c r="F98" s="17">
        <v>-94</v>
      </c>
      <c r="G98" s="17">
        <v>-42</v>
      </c>
      <c r="H98" s="18">
        <f t="shared" si="11"/>
        <v>56.338028169014088</v>
      </c>
      <c r="I98" s="18">
        <v>1.22</v>
      </c>
      <c r="J98" s="18">
        <v>-0.82</v>
      </c>
      <c r="S98" s="37">
        <v>5</v>
      </c>
      <c r="T98" s="38">
        <v>3</v>
      </c>
      <c r="AE98" s="23">
        <f t="shared" si="8"/>
        <v>50.666666666666664</v>
      </c>
      <c r="AF98" s="24">
        <f t="shared" si="9"/>
        <v>-0.21052631578947364</v>
      </c>
    </row>
    <row r="99" spans="1:32" ht="15.9" x14ac:dyDescent="0.45">
      <c r="A99" s="16">
        <v>44309</v>
      </c>
      <c r="B99" s="17">
        <v>35</v>
      </c>
      <c r="C99" s="17">
        <v>14</v>
      </c>
      <c r="D99" s="17">
        <v>-20</v>
      </c>
      <c r="E99" s="17">
        <v>-9</v>
      </c>
      <c r="F99" s="17">
        <v>-287</v>
      </c>
      <c r="G99" s="17">
        <v>-155</v>
      </c>
      <c r="H99" s="18">
        <f t="shared" si="11"/>
        <v>71.428571428571431</v>
      </c>
      <c r="I99" s="18">
        <v>0.55000000000000004</v>
      </c>
      <c r="J99" s="18">
        <v>-1.91</v>
      </c>
      <c r="S99" s="37">
        <v>4</v>
      </c>
      <c r="T99" s="38">
        <v>2</v>
      </c>
      <c r="AE99" s="23">
        <f t="shared" si="8"/>
        <v>38.333333333333336</v>
      </c>
      <c r="AF99" s="24">
        <f t="shared" si="9"/>
        <v>-8.6956521739130488E-2</v>
      </c>
    </row>
    <row r="100" spans="1:32" ht="15.9" x14ac:dyDescent="0.45">
      <c r="A100" s="16">
        <v>44312</v>
      </c>
      <c r="B100" s="17">
        <v>46</v>
      </c>
      <c r="C100" s="17">
        <v>32</v>
      </c>
      <c r="D100" s="17">
        <v>-26</v>
      </c>
      <c r="E100" s="17">
        <v>-10</v>
      </c>
      <c r="F100" s="17">
        <v>-266</v>
      </c>
      <c r="G100" s="17">
        <v>-170</v>
      </c>
      <c r="H100" s="18">
        <f t="shared" si="11"/>
        <v>58.974358974358978</v>
      </c>
      <c r="I100" s="18">
        <v>2.93</v>
      </c>
      <c r="J100" s="18">
        <v>-0.2</v>
      </c>
      <c r="S100" s="37">
        <v>5</v>
      </c>
      <c r="T100" s="38">
        <v>3</v>
      </c>
      <c r="AE100" s="23">
        <f t="shared" si="8"/>
        <v>36.333333333333336</v>
      </c>
      <c r="AF100" s="24">
        <f t="shared" si="9"/>
        <v>0.26605504587155954</v>
      </c>
    </row>
    <row r="101" spans="1:32" ht="15.9" x14ac:dyDescent="0.45">
      <c r="A101" s="59">
        <v>44313</v>
      </c>
      <c r="B101" s="60">
        <v>38</v>
      </c>
      <c r="C101" s="60">
        <v>18</v>
      </c>
      <c r="D101" s="60">
        <v>-42</v>
      </c>
      <c r="E101" s="60">
        <v>-19</v>
      </c>
      <c r="F101" s="60">
        <v>-482</v>
      </c>
      <c r="G101" s="60">
        <v>-243</v>
      </c>
      <c r="H101" s="61">
        <f t="shared" si="11"/>
        <v>67.857142857142861</v>
      </c>
      <c r="I101" s="61">
        <v>0.46</v>
      </c>
      <c r="J101" s="61">
        <v>-5.49</v>
      </c>
      <c r="K101" s="61"/>
      <c r="L101" s="61"/>
      <c r="M101" s="61"/>
      <c r="N101" s="61"/>
      <c r="O101" s="61"/>
      <c r="P101" s="61"/>
      <c r="Q101" s="61"/>
      <c r="R101" s="61"/>
      <c r="S101" s="75">
        <v>6</v>
      </c>
      <c r="T101" s="76">
        <v>3</v>
      </c>
      <c r="U101" s="77"/>
      <c r="V101" s="78"/>
      <c r="W101" s="77"/>
      <c r="X101" s="78"/>
      <c r="Y101" s="78"/>
      <c r="Z101" s="78"/>
      <c r="AA101" s="78"/>
      <c r="AB101" s="78"/>
      <c r="AC101" s="86"/>
      <c r="AD101" s="86"/>
      <c r="AE101" s="87">
        <f t="shared" si="8"/>
        <v>40.333333333333336</v>
      </c>
      <c r="AF101" s="88">
        <f t="shared" si="9"/>
        <v>-5.7851239669421545E-2</v>
      </c>
    </row>
    <row r="102" spans="1:32" ht="15.9" x14ac:dyDescent="0.45">
      <c r="A102" s="16">
        <v>44314</v>
      </c>
      <c r="B102" s="17">
        <v>60</v>
      </c>
      <c r="C102" s="17">
        <v>21</v>
      </c>
      <c r="D102" s="17">
        <v>-40</v>
      </c>
      <c r="E102" s="17">
        <v>-20</v>
      </c>
      <c r="F102" s="17">
        <v>-330</v>
      </c>
      <c r="G102" s="17">
        <v>-167</v>
      </c>
      <c r="H102" s="18">
        <f t="shared" si="11"/>
        <v>74.074074074074076</v>
      </c>
      <c r="I102" s="18">
        <v>3.41</v>
      </c>
      <c r="J102" s="18">
        <v>0.43</v>
      </c>
      <c r="S102" s="37">
        <v>7</v>
      </c>
      <c r="T102" s="38">
        <v>4</v>
      </c>
      <c r="AE102" s="23">
        <f t="shared" si="8"/>
        <v>39.666666666666664</v>
      </c>
      <c r="AF102" s="24">
        <f t="shared" si="9"/>
        <v>0.51260504201680679</v>
      </c>
    </row>
    <row r="103" spans="1:32" ht="15.9" x14ac:dyDescent="0.45">
      <c r="A103" s="16">
        <v>44315</v>
      </c>
      <c r="B103" s="17">
        <v>44</v>
      </c>
      <c r="C103" s="17">
        <v>20</v>
      </c>
      <c r="D103" s="17">
        <v>-30</v>
      </c>
      <c r="E103" s="17">
        <v>-20</v>
      </c>
      <c r="F103" s="17">
        <v>-323</v>
      </c>
      <c r="G103" s="17">
        <v>-180</v>
      </c>
      <c r="H103" s="18">
        <f t="shared" si="11"/>
        <v>68.75</v>
      </c>
      <c r="I103" s="18">
        <v>0.7</v>
      </c>
      <c r="J103" s="18">
        <v>-0.89</v>
      </c>
      <c r="S103" s="37">
        <v>8</v>
      </c>
      <c r="T103" s="38">
        <v>5</v>
      </c>
      <c r="AE103" s="23">
        <f t="shared" si="8"/>
        <v>48</v>
      </c>
      <c r="AF103" s="24">
        <f t="shared" si="9"/>
        <v>-8.3333333333333329E-2</v>
      </c>
    </row>
    <row r="104" spans="1:32" ht="15.9" x14ac:dyDescent="0.45">
      <c r="A104" s="16">
        <v>44316</v>
      </c>
      <c r="B104" s="17">
        <v>40</v>
      </c>
      <c r="C104" s="17">
        <v>17</v>
      </c>
      <c r="D104" s="17">
        <v>-55</v>
      </c>
      <c r="E104" s="17">
        <v>-25</v>
      </c>
      <c r="F104" s="17">
        <v>-466</v>
      </c>
      <c r="G104" s="17">
        <v>-250</v>
      </c>
      <c r="H104" s="18">
        <f t="shared" si="11"/>
        <v>70.175438596491219</v>
      </c>
      <c r="I104" s="18">
        <v>1.1599999999999999</v>
      </c>
      <c r="J104" s="18">
        <v>-0.89</v>
      </c>
      <c r="S104" s="37">
        <v>9</v>
      </c>
      <c r="T104" s="38">
        <v>6</v>
      </c>
      <c r="AE104" s="23">
        <f t="shared" si="8"/>
        <v>47.333333333333336</v>
      </c>
      <c r="AF104" s="24">
        <f t="shared" si="9"/>
        <v>-0.15492957746478878</v>
      </c>
    </row>
    <row r="105" spans="1:32" ht="15.9" x14ac:dyDescent="0.45">
      <c r="A105" s="16">
        <v>44322</v>
      </c>
      <c r="B105" s="17">
        <v>58</v>
      </c>
      <c r="C105" s="17">
        <v>39</v>
      </c>
      <c r="D105" s="17">
        <v>-30</v>
      </c>
      <c r="E105" s="17">
        <v>-7</v>
      </c>
      <c r="F105" s="17">
        <v>-328</v>
      </c>
      <c r="G105" s="17">
        <v>-170</v>
      </c>
      <c r="H105" s="18">
        <f t="shared" si="11"/>
        <v>59.793814432989691</v>
      </c>
      <c r="I105" s="18">
        <v>3.64</v>
      </c>
      <c r="J105" s="18">
        <v>2.0299999999999998</v>
      </c>
      <c r="S105" s="37">
        <v>10</v>
      </c>
      <c r="T105" s="38">
        <v>4</v>
      </c>
      <c r="AE105" s="23">
        <f t="shared" si="8"/>
        <v>48</v>
      </c>
      <c r="AF105" s="24">
        <f t="shared" si="9"/>
        <v>0.20833333333333334</v>
      </c>
    </row>
    <row r="106" spans="1:32" ht="15.9" x14ac:dyDescent="0.45">
      <c r="A106" s="16">
        <v>44323</v>
      </c>
      <c r="B106" s="17">
        <v>43</v>
      </c>
      <c r="C106" s="17">
        <v>31</v>
      </c>
      <c r="D106" s="17">
        <v>-20</v>
      </c>
      <c r="E106" s="17">
        <v>-6</v>
      </c>
      <c r="F106" s="17">
        <v>-384</v>
      </c>
      <c r="G106" s="17">
        <v>-249</v>
      </c>
      <c r="H106" s="18">
        <f t="shared" si="11"/>
        <v>58.108108108108105</v>
      </c>
      <c r="I106" s="18">
        <v>3.79</v>
      </c>
      <c r="J106" s="18">
        <v>0.46</v>
      </c>
      <c r="S106" s="37">
        <v>3</v>
      </c>
      <c r="T106" s="38">
        <v>2</v>
      </c>
      <c r="AE106" s="23">
        <f t="shared" si="8"/>
        <v>47.333333333333336</v>
      </c>
      <c r="AF106" s="24">
        <f t="shared" si="9"/>
        <v>-9.1549295774647932E-2</v>
      </c>
    </row>
    <row r="107" spans="1:32" ht="15.9" x14ac:dyDescent="0.45">
      <c r="A107" s="62">
        <v>44326</v>
      </c>
      <c r="B107" s="63">
        <v>82</v>
      </c>
      <c r="C107" s="63">
        <v>28</v>
      </c>
      <c r="D107" s="63">
        <v>-17</v>
      </c>
      <c r="E107" s="63">
        <v>-4</v>
      </c>
      <c r="F107" s="63">
        <v>-270</v>
      </c>
      <c r="G107" s="63">
        <v>-109</v>
      </c>
      <c r="H107" s="64">
        <f t="shared" si="11"/>
        <v>74.545454545454547</v>
      </c>
      <c r="I107" s="64">
        <v>6.67</v>
      </c>
      <c r="J107" s="64">
        <v>3.89</v>
      </c>
      <c r="K107" s="64"/>
      <c r="L107" s="64"/>
      <c r="M107" s="64"/>
      <c r="N107" s="64"/>
      <c r="O107" s="64"/>
      <c r="P107" s="64"/>
      <c r="Q107" s="64"/>
      <c r="R107" s="64"/>
      <c r="S107" s="79">
        <v>4</v>
      </c>
      <c r="T107" s="80">
        <v>3</v>
      </c>
      <c r="U107" s="81"/>
      <c r="V107" s="82"/>
      <c r="W107" s="81"/>
      <c r="X107" s="82"/>
      <c r="Y107" s="82"/>
      <c r="Z107" s="82"/>
      <c r="AA107" s="82"/>
      <c r="AB107" s="82"/>
      <c r="AC107" s="89"/>
      <c r="AD107" s="89"/>
      <c r="AE107" s="90">
        <f t="shared" si="8"/>
        <v>47</v>
      </c>
      <c r="AF107" s="91">
        <f t="shared" si="9"/>
        <v>0.74468085106382975</v>
      </c>
    </row>
    <row r="108" spans="1:32" ht="15.9" x14ac:dyDescent="0.45">
      <c r="A108" s="16">
        <v>44327</v>
      </c>
      <c r="B108" s="17">
        <v>54</v>
      </c>
      <c r="C108" s="17">
        <v>32</v>
      </c>
      <c r="D108" s="17">
        <v>-35</v>
      </c>
      <c r="E108" s="17">
        <v>-9</v>
      </c>
      <c r="F108" s="17">
        <v>-422</v>
      </c>
      <c r="G108" s="17">
        <v>-131</v>
      </c>
      <c r="H108" s="18">
        <f t="shared" si="11"/>
        <v>62.790697674418603</v>
      </c>
      <c r="I108" s="18">
        <v>1.76</v>
      </c>
      <c r="J108" s="18">
        <v>7.0000000000000007E-2</v>
      </c>
      <c r="S108" s="37">
        <v>5</v>
      </c>
      <c r="T108" s="38">
        <v>4</v>
      </c>
      <c r="AE108" s="23">
        <f t="shared" si="8"/>
        <v>61</v>
      </c>
      <c r="AF108" s="24">
        <f t="shared" si="9"/>
        <v>-0.11475409836065574</v>
      </c>
    </row>
    <row r="109" spans="1:32" ht="15.9" x14ac:dyDescent="0.45">
      <c r="A109" s="16">
        <v>44328</v>
      </c>
      <c r="B109" s="17">
        <v>42</v>
      </c>
      <c r="C109" s="17">
        <v>30</v>
      </c>
      <c r="D109" s="17">
        <v>-12</v>
      </c>
      <c r="E109" s="17">
        <v>-2</v>
      </c>
      <c r="F109" s="17">
        <v>-257</v>
      </c>
      <c r="G109" s="17">
        <v>-136</v>
      </c>
      <c r="H109" s="18">
        <f t="shared" si="11"/>
        <v>58.333333333333336</v>
      </c>
      <c r="I109" s="18">
        <v>1.42</v>
      </c>
      <c r="J109" s="18">
        <v>0.1</v>
      </c>
      <c r="S109" s="37">
        <v>6</v>
      </c>
      <c r="T109" s="38">
        <v>3</v>
      </c>
      <c r="AE109" s="23">
        <f t="shared" si="8"/>
        <v>59.666666666666664</v>
      </c>
      <c r="AF109" s="24">
        <f t="shared" si="9"/>
        <v>-0.2960893854748603</v>
      </c>
    </row>
    <row r="110" spans="1:32" ht="15.9" x14ac:dyDescent="0.45">
      <c r="A110" s="16">
        <v>44329</v>
      </c>
      <c r="B110" s="17">
        <v>77</v>
      </c>
      <c r="C110" s="17">
        <v>27</v>
      </c>
      <c r="D110" s="17">
        <v>-4</v>
      </c>
      <c r="E110" s="17">
        <v>0</v>
      </c>
      <c r="F110" s="17">
        <v>-108</v>
      </c>
      <c r="G110" s="17">
        <v>-38</v>
      </c>
      <c r="H110" s="18">
        <f t="shared" si="11"/>
        <v>74.038461538461547</v>
      </c>
      <c r="I110" s="18">
        <v>2.99</v>
      </c>
      <c r="J110" s="18">
        <v>-0.38</v>
      </c>
      <c r="S110" s="37">
        <v>5</v>
      </c>
      <c r="T110" s="38">
        <v>3</v>
      </c>
      <c r="AE110" s="23">
        <f t="shared" si="8"/>
        <v>59.333333333333336</v>
      </c>
      <c r="AF110" s="24">
        <f t="shared" si="9"/>
        <v>0.297752808988764</v>
      </c>
    </row>
    <row r="111" spans="1:32" ht="15.9" x14ac:dyDescent="0.45">
      <c r="A111" s="56">
        <v>44333</v>
      </c>
      <c r="B111" s="57">
        <v>32</v>
      </c>
      <c r="C111" s="57">
        <v>30</v>
      </c>
      <c r="D111" s="57">
        <v>-47</v>
      </c>
      <c r="E111" s="57">
        <v>-22</v>
      </c>
      <c r="F111" s="57">
        <v>-437</v>
      </c>
      <c r="G111" s="57">
        <v>-229</v>
      </c>
      <c r="H111" s="58">
        <f t="shared" si="11"/>
        <v>51.612903225806448</v>
      </c>
      <c r="I111" s="58">
        <v>0.44</v>
      </c>
      <c r="J111" s="58">
        <v>-1.29</v>
      </c>
      <c r="K111" s="58"/>
      <c r="L111" s="58"/>
      <c r="M111" s="58"/>
      <c r="N111" s="58"/>
      <c r="O111" s="58"/>
      <c r="P111" s="58"/>
      <c r="Q111" s="58"/>
      <c r="R111" s="58"/>
      <c r="S111" s="71">
        <v>3</v>
      </c>
      <c r="T111" s="72">
        <v>2</v>
      </c>
      <c r="U111" s="73"/>
      <c r="V111" s="74"/>
      <c r="W111" s="73"/>
      <c r="X111" s="74"/>
      <c r="Y111" s="74"/>
      <c r="Z111" s="74"/>
      <c r="AA111" s="74"/>
      <c r="AB111" s="74"/>
      <c r="AC111" s="83"/>
      <c r="AD111" s="83"/>
      <c r="AE111" s="84">
        <f t="shared" si="8"/>
        <v>57.666666666666664</v>
      </c>
      <c r="AF111" s="85">
        <f t="shared" si="9"/>
        <v>-0.44508670520231214</v>
      </c>
    </row>
    <row r="112" spans="1:32" ht="15.9" x14ac:dyDescent="0.45">
      <c r="A112" s="16">
        <v>44334</v>
      </c>
      <c r="B112" s="17">
        <v>69</v>
      </c>
      <c r="C112" s="17">
        <v>23</v>
      </c>
      <c r="D112" s="17">
        <v>-16</v>
      </c>
      <c r="E112" s="17">
        <v>-5</v>
      </c>
      <c r="F112" s="17">
        <v>-174</v>
      </c>
      <c r="G112" s="17">
        <v>-52</v>
      </c>
      <c r="H112" s="18">
        <f t="shared" si="11"/>
        <v>75</v>
      </c>
      <c r="I112" s="18">
        <v>4.6100000000000003</v>
      </c>
      <c r="J112" s="18">
        <v>-0.56999999999999995</v>
      </c>
      <c r="S112" s="37">
        <v>4</v>
      </c>
      <c r="T112" s="38">
        <v>3</v>
      </c>
      <c r="AE112" s="23">
        <f t="shared" si="8"/>
        <v>50.333333333333336</v>
      </c>
      <c r="AF112" s="24">
        <f t="shared" si="9"/>
        <v>0.37086092715231783</v>
      </c>
    </row>
    <row r="113" spans="1:32" ht="15.9" x14ac:dyDescent="0.45">
      <c r="A113" s="16">
        <v>44335</v>
      </c>
      <c r="B113" s="17">
        <v>53</v>
      </c>
      <c r="C113" s="17">
        <v>21</v>
      </c>
      <c r="D113" s="17">
        <v>-7</v>
      </c>
      <c r="E113" s="17">
        <v>-3</v>
      </c>
      <c r="F113" s="17">
        <v>-140</v>
      </c>
      <c r="G113" s="17">
        <v>-49</v>
      </c>
      <c r="H113" s="18">
        <f t="shared" si="11"/>
        <v>71.621621621621628</v>
      </c>
      <c r="I113" s="18">
        <v>0.84</v>
      </c>
      <c r="J113" s="18">
        <v>-0.19</v>
      </c>
      <c r="S113" s="37">
        <v>5</v>
      </c>
      <c r="T113" s="38">
        <v>4</v>
      </c>
      <c r="AE113" s="23">
        <f t="shared" si="8"/>
        <v>59.333333333333336</v>
      </c>
      <c r="AF113" s="24">
        <f t="shared" si="9"/>
        <v>-0.1067415730337079</v>
      </c>
    </row>
    <row r="114" spans="1:32" ht="15.9" x14ac:dyDescent="0.45">
      <c r="A114" s="16">
        <v>44336</v>
      </c>
      <c r="B114" s="17">
        <v>46</v>
      </c>
      <c r="C114" s="17">
        <v>25</v>
      </c>
      <c r="D114" s="17">
        <v>-22</v>
      </c>
      <c r="E114" s="17">
        <v>-8</v>
      </c>
      <c r="F114" s="17">
        <v>-329</v>
      </c>
      <c r="G114" s="17">
        <v>-164</v>
      </c>
      <c r="H114" s="18">
        <f t="shared" si="11"/>
        <v>64.788732394366207</v>
      </c>
      <c r="I114" s="18">
        <v>0.9</v>
      </c>
      <c r="J114" s="18">
        <v>-0.78</v>
      </c>
      <c r="S114" s="37">
        <v>6</v>
      </c>
      <c r="T114" s="38">
        <v>5</v>
      </c>
      <c r="AE114" s="23">
        <f t="shared" si="8"/>
        <v>51.333333333333336</v>
      </c>
      <c r="AF114" s="24">
        <f t="shared" si="9"/>
        <v>-0.10389610389610393</v>
      </c>
    </row>
    <row r="115" spans="1:32" ht="15.9" x14ac:dyDescent="0.45">
      <c r="A115" s="16">
        <v>44337</v>
      </c>
      <c r="B115" s="17">
        <v>62</v>
      </c>
      <c r="C115" s="17">
        <v>17</v>
      </c>
      <c r="D115" s="17">
        <v>-8</v>
      </c>
      <c r="E115" s="17">
        <v>-3</v>
      </c>
      <c r="F115" s="17">
        <v>-143</v>
      </c>
      <c r="G115" s="17">
        <v>-57</v>
      </c>
      <c r="H115" s="18">
        <f t="shared" si="11"/>
        <v>78.48101265822784</v>
      </c>
      <c r="I115" s="18">
        <v>1.74</v>
      </c>
      <c r="J115" s="18">
        <v>-0.48</v>
      </c>
      <c r="S115" s="37">
        <v>7</v>
      </c>
      <c r="T115" s="38">
        <v>6</v>
      </c>
      <c r="AE115" s="23">
        <f t="shared" si="8"/>
        <v>56</v>
      </c>
      <c r="AF115" s="24">
        <f t="shared" si="9"/>
        <v>0.10714285714285714</v>
      </c>
    </row>
    <row r="116" spans="1:32" ht="15.9" x14ac:dyDescent="0.45">
      <c r="A116" s="16">
        <v>44340</v>
      </c>
      <c r="B116" s="17">
        <v>56</v>
      </c>
      <c r="C116" s="17">
        <v>23</v>
      </c>
      <c r="D116" s="17">
        <v>-15</v>
      </c>
      <c r="E116" s="17">
        <v>-7</v>
      </c>
      <c r="F116" s="17">
        <v>-206</v>
      </c>
      <c r="G116" s="17">
        <v>-77</v>
      </c>
      <c r="H116" s="18">
        <f t="shared" si="11"/>
        <v>70.886075949367083</v>
      </c>
      <c r="I116" s="18">
        <v>2.17</v>
      </c>
      <c r="J116" s="18">
        <v>1</v>
      </c>
      <c r="S116" s="37">
        <v>7</v>
      </c>
      <c r="T116" s="38">
        <v>4</v>
      </c>
      <c r="AE116" s="23">
        <f t="shared" si="8"/>
        <v>53.666666666666664</v>
      </c>
      <c r="AF116" s="24">
        <f t="shared" si="9"/>
        <v>4.3478260869565265E-2</v>
      </c>
    </row>
    <row r="117" spans="1:32" ht="15.9" x14ac:dyDescent="0.45">
      <c r="A117" s="16">
        <v>44341</v>
      </c>
      <c r="B117" s="17">
        <v>48</v>
      </c>
      <c r="C117" s="17">
        <v>21</v>
      </c>
      <c r="D117" s="17">
        <v>-10</v>
      </c>
      <c r="E117" s="17">
        <v>-3</v>
      </c>
      <c r="F117" s="17">
        <v>-107</v>
      </c>
      <c r="G117" s="17">
        <v>-28</v>
      </c>
      <c r="H117" s="18">
        <f t="shared" si="11"/>
        <v>69.565217391304344</v>
      </c>
      <c r="I117" s="18">
        <v>0.54</v>
      </c>
      <c r="J117" s="18">
        <v>-1.2</v>
      </c>
      <c r="S117" s="37">
        <v>8</v>
      </c>
      <c r="T117" s="38">
        <v>5</v>
      </c>
      <c r="AE117" s="23">
        <f t="shared" si="8"/>
        <v>54.666666666666664</v>
      </c>
      <c r="AF117" s="24">
        <f t="shared" si="9"/>
        <v>-0.12195121951219508</v>
      </c>
    </row>
    <row r="118" spans="1:32" ht="15.9" x14ac:dyDescent="0.45">
      <c r="A118" s="16">
        <v>44342</v>
      </c>
      <c r="B118" s="17">
        <v>59</v>
      </c>
      <c r="C118" s="17">
        <v>31</v>
      </c>
      <c r="D118" s="17">
        <v>-3</v>
      </c>
      <c r="E118" s="17">
        <v>-1</v>
      </c>
      <c r="F118" s="17">
        <v>-104</v>
      </c>
      <c r="G118" s="17">
        <v>-29</v>
      </c>
      <c r="H118" s="18">
        <f t="shared" si="11"/>
        <v>65.555555555555557</v>
      </c>
      <c r="I118" s="18">
        <v>1.77</v>
      </c>
      <c r="J118" s="18">
        <v>0.21</v>
      </c>
      <c r="S118" s="37">
        <v>5</v>
      </c>
      <c r="T118" s="38">
        <v>4</v>
      </c>
      <c r="AE118" s="23">
        <f t="shared" si="8"/>
        <v>55.333333333333336</v>
      </c>
      <c r="AF118" s="24">
        <f t="shared" si="9"/>
        <v>6.6265060240963805E-2</v>
      </c>
    </row>
    <row r="119" spans="1:32" ht="15.9" x14ac:dyDescent="0.45">
      <c r="A119" s="16">
        <v>44343</v>
      </c>
      <c r="B119" s="17">
        <v>65</v>
      </c>
      <c r="C119" s="17">
        <v>16</v>
      </c>
      <c r="D119" s="17">
        <v>-4</v>
      </c>
      <c r="E119" s="17">
        <v>-2</v>
      </c>
      <c r="F119" s="17">
        <v>-87</v>
      </c>
      <c r="G119" s="17">
        <v>-28</v>
      </c>
      <c r="H119" s="18">
        <f t="shared" si="11"/>
        <v>80.246913580246911</v>
      </c>
      <c r="I119" s="18">
        <v>1.05</v>
      </c>
      <c r="J119" s="18">
        <v>-0.16</v>
      </c>
      <c r="S119" s="37">
        <v>6</v>
      </c>
      <c r="T119" s="38">
        <v>5</v>
      </c>
      <c r="AE119" s="23">
        <f t="shared" si="8"/>
        <v>54.333333333333336</v>
      </c>
      <c r="AF119" s="24">
        <f t="shared" si="9"/>
        <v>0.19631901840490792</v>
      </c>
    </row>
    <row r="120" spans="1:32" ht="15.9" x14ac:dyDescent="0.45">
      <c r="A120" s="16">
        <v>44344</v>
      </c>
      <c r="B120" s="17">
        <v>48</v>
      </c>
      <c r="C120" s="17">
        <v>32</v>
      </c>
      <c r="D120" s="17">
        <v>-5</v>
      </c>
      <c r="E120" s="17">
        <v>-1</v>
      </c>
      <c r="F120" s="17">
        <v>-135</v>
      </c>
      <c r="G120" s="17">
        <v>-59</v>
      </c>
      <c r="H120" s="18">
        <f t="shared" ref="H120:H183" si="12">B120/(B120+C120)*100</f>
        <v>60</v>
      </c>
      <c r="I120" s="18">
        <v>1.73</v>
      </c>
      <c r="J120" s="18">
        <v>0.77</v>
      </c>
      <c r="S120" s="37">
        <v>6</v>
      </c>
      <c r="T120" s="38">
        <v>5</v>
      </c>
      <c r="AE120" s="23">
        <f t="shared" si="8"/>
        <v>57.333333333333336</v>
      </c>
      <c r="AF120" s="24">
        <f t="shared" si="9"/>
        <v>-0.16279069767441864</v>
      </c>
    </row>
    <row r="121" spans="1:32" ht="15.9" x14ac:dyDescent="0.45">
      <c r="A121" s="16">
        <v>44347</v>
      </c>
      <c r="B121" s="17">
        <v>85</v>
      </c>
      <c r="C121" s="17">
        <v>26</v>
      </c>
      <c r="D121" s="17">
        <v>-8</v>
      </c>
      <c r="E121" s="17">
        <v>-4</v>
      </c>
      <c r="F121" s="17">
        <v>-108</v>
      </c>
      <c r="G121" s="17">
        <v>-26</v>
      </c>
      <c r="H121" s="18">
        <f t="shared" si="12"/>
        <v>76.576576576576571</v>
      </c>
      <c r="I121" s="18">
        <v>5.72</v>
      </c>
      <c r="J121" s="18">
        <v>3.19</v>
      </c>
      <c r="S121" s="37">
        <v>7</v>
      </c>
      <c r="T121" s="38">
        <v>5</v>
      </c>
      <c r="AE121" s="23">
        <f t="shared" si="8"/>
        <v>57.333333333333336</v>
      </c>
      <c r="AF121" s="24">
        <f t="shared" si="9"/>
        <v>0.48255813953488363</v>
      </c>
    </row>
    <row r="122" spans="1:32" ht="15.9" x14ac:dyDescent="0.45">
      <c r="A122" s="16">
        <v>44348</v>
      </c>
      <c r="B122" s="65">
        <v>67</v>
      </c>
      <c r="C122" s="65">
        <v>22</v>
      </c>
      <c r="D122" s="66">
        <v>-12</v>
      </c>
      <c r="E122" s="66">
        <v>-5</v>
      </c>
      <c r="F122" s="66">
        <v>-124</v>
      </c>
      <c r="G122" s="66">
        <v>-34</v>
      </c>
      <c r="H122" s="18">
        <f t="shared" si="12"/>
        <v>75.280898876404493</v>
      </c>
      <c r="I122" s="67">
        <v>2.74</v>
      </c>
      <c r="J122" s="67">
        <v>1.39</v>
      </c>
      <c r="K122" s="68">
        <v>8</v>
      </c>
      <c r="L122" s="69"/>
      <c r="M122" s="69"/>
      <c r="N122" s="70"/>
      <c r="S122" s="37">
        <v>8</v>
      </c>
      <c r="T122" s="38">
        <v>6</v>
      </c>
      <c r="AE122" s="23">
        <f t="shared" si="8"/>
        <v>66</v>
      </c>
      <c r="AF122" s="24">
        <f t="shared" si="9"/>
        <v>1.5151515151515152E-2</v>
      </c>
    </row>
    <row r="123" spans="1:32" ht="15.9" x14ac:dyDescent="0.45">
      <c r="A123" s="59">
        <v>44349</v>
      </c>
      <c r="B123" s="60">
        <v>54</v>
      </c>
      <c r="C123" s="60">
        <v>32</v>
      </c>
      <c r="D123" s="60">
        <v>-25</v>
      </c>
      <c r="E123" s="60">
        <v>-14</v>
      </c>
      <c r="F123" s="60">
        <v>-292</v>
      </c>
      <c r="G123" s="60">
        <v>-178</v>
      </c>
      <c r="H123" s="61">
        <f t="shared" si="12"/>
        <v>62.790697674418603</v>
      </c>
      <c r="I123" s="61">
        <v>0.63</v>
      </c>
      <c r="J123" s="61">
        <v>-1.57</v>
      </c>
      <c r="K123" s="61"/>
      <c r="L123" s="61"/>
      <c r="M123" s="61"/>
      <c r="N123" s="61"/>
      <c r="O123" s="61"/>
      <c r="P123" s="61"/>
      <c r="Q123" s="61"/>
      <c r="R123" s="61"/>
      <c r="S123" s="75">
        <v>9</v>
      </c>
      <c r="T123" s="76">
        <v>7</v>
      </c>
      <c r="U123" s="77"/>
      <c r="V123" s="78"/>
      <c r="W123" s="77"/>
      <c r="X123" s="78"/>
      <c r="Y123" s="78"/>
      <c r="Z123" s="78"/>
      <c r="AA123" s="78"/>
      <c r="AB123" s="78"/>
      <c r="AC123" s="86"/>
      <c r="AD123" s="86"/>
      <c r="AE123" s="87">
        <f t="shared" si="8"/>
        <v>66.666666666666671</v>
      </c>
      <c r="AF123" s="88">
        <f t="shared" si="9"/>
        <v>-0.19000000000000006</v>
      </c>
    </row>
    <row r="124" spans="1:32" ht="15.9" x14ac:dyDescent="0.45">
      <c r="A124" s="16">
        <v>44350</v>
      </c>
      <c r="B124" s="17">
        <v>63</v>
      </c>
      <c r="C124" s="17">
        <v>37</v>
      </c>
      <c r="D124" s="17">
        <v>-12</v>
      </c>
      <c r="E124" s="17">
        <v>-7</v>
      </c>
      <c r="F124" s="17">
        <v>-198</v>
      </c>
      <c r="G124" s="17">
        <v>-102</v>
      </c>
      <c r="H124" s="18">
        <f t="shared" si="12"/>
        <v>63</v>
      </c>
      <c r="I124" s="18">
        <v>1.19</v>
      </c>
      <c r="J124" s="18">
        <v>-1.42</v>
      </c>
      <c r="S124" s="37">
        <v>10</v>
      </c>
      <c r="T124" s="38">
        <v>4</v>
      </c>
      <c r="AE124" s="23">
        <f t="shared" si="8"/>
        <v>68.666666666666671</v>
      </c>
      <c r="AF124" s="24">
        <f t="shared" si="9"/>
        <v>-8.2524271844660255E-2</v>
      </c>
    </row>
    <row r="125" spans="1:32" ht="15.9" x14ac:dyDescent="0.45">
      <c r="A125" s="16">
        <v>44351</v>
      </c>
      <c r="B125" s="17">
        <v>49</v>
      </c>
      <c r="C125" s="17">
        <v>23</v>
      </c>
      <c r="D125" s="17">
        <v>-19</v>
      </c>
      <c r="E125" s="17">
        <v>-8</v>
      </c>
      <c r="F125" s="17">
        <v>-202</v>
      </c>
      <c r="G125" s="17">
        <v>-99</v>
      </c>
      <c r="H125" s="18">
        <f t="shared" si="12"/>
        <v>68.055555555555557</v>
      </c>
      <c r="I125" s="18">
        <v>-0.17</v>
      </c>
      <c r="J125" s="18">
        <v>-2.0299999999999998</v>
      </c>
      <c r="S125" s="37">
        <v>5</v>
      </c>
      <c r="T125" s="38">
        <v>3</v>
      </c>
      <c r="AE125" s="23">
        <f t="shared" si="8"/>
        <v>61.333333333333336</v>
      </c>
      <c r="AF125" s="24">
        <f t="shared" si="9"/>
        <v>-0.20108695652173916</v>
      </c>
    </row>
    <row r="126" spans="1:32" ht="15.9" x14ac:dyDescent="0.45">
      <c r="A126" s="16">
        <v>44354</v>
      </c>
      <c r="B126" s="17">
        <v>60</v>
      </c>
      <c r="C126" s="17">
        <v>28</v>
      </c>
      <c r="D126" s="17">
        <v>-14</v>
      </c>
      <c r="E126" s="17">
        <v>-9</v>
      </c>
      <c r="F126" s="17">
        <v>-163</v>
      </c>
      <c r="G126" s="17">
        <v>-54</v>
      </c>
      <c r="H126" s="18">
        <f t="shared" si="12"/>
        <v>68.181818181818173</v>
      </c>
      <c r="I126" s="18">
        <v>3.2</v>
      </c>
      <c r="J126" s="18">
        <v>0.4</v>
      </c>
      <c r="S126" s="37">
        <v>4</v>
      </c>
      <c r="T126" s="38">
        <v>3</v>
      </c>
      <c r="AE126" s="23">
        <f t="shared" si="8"/>
        <v>55.333333333333336</v>
      </c>
      <c r="AF126" s="24">
        <f t="shared" si="9"/>
        <v>8.4337349397590314E-2</v>
      </c>
    </row>
    <row r="127" spans="1:32" ht="15.9" x14ac:dyDescent="0.45">
      <c r="A127" s="16">
        <v>44355</v>
      </c>
      <c r="B127" s="17">
        <v>53</v>
      </c>
      <c r="C127" s="17">
        <v>23</v>
      </c>
      <c r="D127" s="17">
        <v>-37</v>
      </c>
      <c r="E127" s="17">
        <v>-22</v>
      </c>
      <c r="F127" s="17">
        <v>-244</v>
      </c>
      <c r="G127" s="17">
        <v>-128</v>
      </c>
      <c r="H127" s="18">
        <f t="shared" si="12"/>
        <v>69.73684210526315</v>
      </c>
      <c r="I127" s="18">
        <v>1.68</v>
      </c>
      <c r="J127" s="18">
        <v>-0.53</v>
      </c>
      <c r="S127" s="37">
        <v>5</v>
      </c>
      <c r="T127" s="38">
        <v>4</v>
      </c>
      <c r="AE127" s="23">
        <f t="shared" si="8"/>
        <v>57.333333333333336</v>
      </c>
      <c r="AF127" s="24">
        <f t="shared" si="9"/>
        <v>-7.5581395348837246E-2</v>
      </c>
    </row>
    <row r="128" spans="1:32" ht="15.9" x14ac:dyDescent="0.45">
      <c r="A128" s="16">
        <v>44356</v>
      </c>
      <c r="B128" s="17">
        <v>51</v>
      </c>
      <c r="C128" s="17">
        <v>21</v>
      </c>
      <c r="D128" s="17">
        <v>-14</v>
      </c>
      <c r="E128" s="17">
        <v>-5</v>
      </c>
      <c r="F128" s="17">
        <v>-162</v>
      </c>
      <c r="G128" s="17">
        <v>-74</v>
      </c>
      <c r="H128" s="18">
        <f t="shared" si="12"/>
        <v>70.833333333333343</v>
      </c>
      <c r="I128" s="18">
        <v>2.1800000000000002</v>
      </c>
      <c r="J128" s="18">
        <v>0.32</v>
      </c>
      <c r="S128" s="37">
        <v>6</v>
      </c>
      <c r="T128" s="38">
        <v>4</v>
      </c>
      <c r="AE128" s="23">
        <f t="shared" si="8"/>
        <v>54</v>
      </c>
      <c r="AF128" s="24">
        <f t="shared" si="9"/>
        <v>-5.5555555555555552E-2</v>
      </c>
    </row>
    <row r="129" spans="1:32" ht="15.9" x14ac:dyDescent="0.45">
      <c r="A129" s="16">
        <v>44357</v>
      </c>
      <c r="B129" s="17">
        <v>63</v>
      </c>
      <c r="C129" s="17">
        <v>26</v>
      </c>
      <c r="D129" s="17">
        <v>-10</v>
      </c>
      <c r="E129" s="17">
        <v>-3</v>
      </c>
      <c r="F129" s="17">
        <v>-133</v>
      </c>
      <c r="G129" s="17">
        <v>-59</v>
      </c>
      <c r="H129" s="18">
        <f t="shared" si="12"/>
        <v>70.786516853932582</v>
      </c>
      <c r="I129" s="18">
        <v>1.78</v>
      </c>
      <c r="J129" s="18">
        <v>0.78</v>
      </c>
      <c r="S129" s="37">
        <v>7</v>
      </c>
      <c r="T129" s="38">
        <v>4</v>
      </c>
      <c r="AE129" s="23">
        <f t="shared" si="8"/>
        <v>54.666666666666664</v>
      </c>
      <c r="AF129" s="24">
        <f t="shared" si="9"/>
        <v>0.15243902439024395</v>
      </c>
    </row>
    <row r="130" spans="1:32" ht="15.9" x14ac:dyDescent="0.45">
      <c r="A130" s="16">
        <v>44358</v>
      </c>
      <c r="B130" s="17">
        <v>60</v>
      </c>
      <c r="C130" s="17">
        <v>26</v>
      </c>
      <c r="D130" s="17">
        <v>-18</v>
      </c>
      <c r="E130" s="17">
        <v>-11</v>
      </c>
      <c r="F130" s="17">
        <v>-344</v>
      </c>
      <c r="G130" s="17">
        <v>-217</v>
      </c>
      <c r="H130" s="18">
        <f t="shared" si="12"/>
        <v>69.767441860465112</v>
      </c>
      <c r="I130" s="18">
        <v>3.53</v>
      </c>
      <c r="J130" s="18">
        <v>0.65</v>
      </c>
      <c r="S130" s="37">
        <v>5</v>
      </c>
      <c r="T130" s="38">
        <v>4</v>
      </c>
      <c r="AE130" s="23">
        <f t="shared" si="8"/>
        <v>55.666666666666664</v>
      </c>
      <c r="AF130" s="24">
        <f t="shared" si="9"/>
        <v>7.7844311377245554E-2</v>
      </c>
    </row>
    <row r="131" spans="1:32" ht="15.9" x14ac:dyDescent="0.45">
      <c r="A131" s="59">
        <v>44362</v>
      </c>
      <c r="B131" s="60">
        <v>38</v>
      </c>
      <c r="C131" s="60">
        <v>15</v>
      </c>
      <c r="D131" s="60">
        <v>-37</v>
      </c>
      <c r="E131" s="60">
        <v>-16</v>
      </c>
      <c r="F131" s="60">
        <v>-430</v>
      </c>
      <c r="G131" s="60">
        <v>-232</v>
      </c>
      <c r="H131" s="61">
        <f t="shared" si="12"/>
        <v>71.698113207547166</v>
      </c>
      <c r="I131" s="61">
        <v>-0.61</v>
      </c>
      <c r="J131" s="61">
        <v>-2.78</v>
      </c>
      <c r="K131" s="61"/>
      <c r="L131" s="61"/>
      <c r="M131" s="61"/>
      <c r="N131" s="61"/>
      <c r="O131" s="61"/>
      <c r="P131" s="61"/>
      <c r="Q131" s="61"/>
      <c r="R131" s="61"/>
      <c r="S131" s="75">
        <v>2</v>
      </c>
      <c r="T131" s="76">
        <v>1</v>
      </c>
      <c r="U131" s="77"/>
      <c r="V131" s="78"/>
      <c r="W131" s="77"/>
      <c r="X131" s="78"/>
      <c r="Y131" s="78"/>
      <c r="Z131" s="78"/>
      <c r="AA131" s="78"/>
      <c r="AB131" s="78"/>
      <c r="AC131" s="86"/>
      <c r="AD131" s="86"/>
      <c r="AE131" s="87">
        <f t="shared" si="8"/>
        <v>58</v>
      </c>
      <c r="AF131" s="88">
        <f t="shared" si="9"/>
        <v>-0.34482758620689657</v>
      </c>
    </row>
    <row r="132" spans="1:32" ht="15.9" x14ac:dyDescent="0.45">
      <c r="A132" s="59">
        <v>44363</v>
      </c>
      <c r="B132" s="60">
        <v>35</v>
      </c>
      <c r="C132" s="60">
        <v>19</v>
      </c>
      <c r="D132" s="60">
        <v>-35</v>
      </c>
      <c r="E132" s="60">
        <v>-18</v>
      </c>
      <c r="F132" s="60">
        <v>-514</v>
      </c>
      <c r="G132" s="60">
        <v>-322</v>
      </c>
      <c r="H132" s="61">
        <f t="shared" si="12"/>
        <v>64.81481481481481</v>
      </c>
      <c r="I132" s="61">
        <v>-0.33</v>
      </c>
      <c r="J132" s="61">
        <v>-3.08</v>
      </c>
      <c r="S132" s="75">
        <v>3</v>
      </c>
      <c r="T132" s="76">
        <v>2</v>
      </c>
      <c r="AE132" s="87">
        <f t="shared" si="8"/>
        <v>53.666666666666664</v>
      </c>
      <c r="AF132" s="88">
        <f t="shared" si="9"/>
        <v>-0.34782608695652173</v>
      </c>
    </row>
    <row r="133" spans="1:32" ht="15.9" x14ac:dyDescent="0.45">
      <c r="A133" s="16">
        <v>44364</v>
      </c>
      <c r="B133" s="17">
        <v>49</v>
      </c>
      <c r="C133" s="17">
        <v>28</v>
      </c>
      <c r="D133" s="17">
        <v>-11</v>
      </c>
      <c r="E133" s="17">
        <v>0</v>
      </c>
      <c r="F133" s="17">
        <v>-146</v>
      </c>
      <c r="G133" s="17">
        <v>-31</v>
      </c>
      <c r="H133" s="18">
        <f t="shared" si="12"/>
        <v>63.636363636363633</v>
      </c>
      <c r="I133" s="18">
        <v>1.62</v>
      </c>
      <c r="J133" s="18">
        <v>0.13</v>
      </c>
      <c r="S133" s="37">
        <v>3</v>
      </c>
      <c r="T133" s="38">
        <v>2</v>
      </c>
      <c r="AE133" s="23">
        <f t="shared" si="8"/>
        <v>44.333333333333336</v>
      </c>
      <c r="AF133" s="24">
        <f t="shared" si="9"/>
        <v>0.10526315789473678</v>
      </c>
    </row>
    <row r="134" spans="1:32" ht="15.9" x14ac:dyDescent="0.45">
      <c r="A134" s="16">
        <v>44365</v>
      </c>
      <c r="B134" s="17">
        <v>58</v>
      </c>
      <c r="C134" s="17">
        <v>24</v>
      </c>
      <c r="D134" s="17">
        <v>-6</v>
      </c>
      <c r="E134" s="17">
        <v>-2</v>
      </c>
      <c r="F134" s="17">
        <v>-167</v>
      </c>
      <c r="G134" s="17">
        <v>-52</v>
      </c>
      <c r="H134" s="18">
        <f t="shared" si="12"/>
        <v>70.731707317073173</v>
      </c>
      <c r="I134" s="18">
        <v>3.5</v>
      </c>
      <c r="J134" s="18">
        <v>0.78</v>
      </c>
      <c r="S134" s="37">
        <v>4</v>
      </c>
      <c r="T134" s="38">
        <v>2</v>
      </c>
      <c r="AE134" s="23">
        <f t="shared" si="8"/>
        <v>40.666666666666664</v>
      </c>
      <c r="AF134" s="24">
        <f t="shared" si="9"/>
        <v>0.4262295081967214</v>
      </c>
    </row>
    <row r="135" spans="1:32" ht="15.9" x14ac:dyDescent="0.45">
      <c r="A135" s="16">
        <v>44368</v>
      </c>
      <c r="B135" s="17">
        <v>69</v>
      </c>
      <c r="C135" s="17">
        <v>31</v>
      </c>
      <c r="D135" s="17">
        <v>-2</v>
      </c>
      <c r="E135" s="17">
        <v>-1</v>
      </c>
      <c r="F135" s="17">
        <v>-103</v>
      </c>
      <c r="G135" s="17">
        <v>-21</v>
      </c>
      <c r="H135" s="18">
        <f t="shared" si="12"/>
        <v>69</v>
      </c>
      <c r="I135" s="18">
        <v>2.68</v>
      </c>
      <c r="J135" s="18">
        <v>1.52</v>
      </c>
      <c r="S135" s="37">
        <v>5</v>
      </c>
      <c r="T135" s="38">
        <v>3</v>
      </c>
      <c r="AE135" s="23">
        <f t="shared" si="8"/>
        <v>47.333333333333336</v>
      </c>
      <c r="AF135" s="24">
        <f t="shared" si="9"/>
        <v>0.45774647887323938</v>
      </c>
    </row>
    <row r="136" spans="1:32" ht="15.9" x14ac:dyDescent="0.45">
      <c r="A136" s="16">
        <v>44369</v>
      </c>
      <c r="B136" s="17">
        <v>66</v>
      </c>
      <c r="C136" s="17">
        <v>30</v>
      </c>
      <c r="D136" s="17">
        <v>-3</v>
      </c>
      <c r="E136" s="17">
        <v>-1</v>
      </c>
      <c r="F136" s="17">
        <v>-151</v>
      </c>
      <c r="G136" s="17">
        <v>-52</v>
      </c>
      <c r="H136" s="18">
        <f t="shared" si="12"/>
        <v>68.75</v>
      </c>
      <c r="I136" s="18">
        <v>2.79</v>
      </c>
      <c r="J136" s="18">
        <v>0.91</v>
      </c>
      <c r="S136" s="37">
        <v>6</v>
      </c>
      <c r="T136" s="38">
        <v>3</v>
      </c>
      <c r="AE136" s="23">
        <f t="shared" si="8"/>
        <v>58.666666666666664</v>
      </c>
      <c r="AF136" s="24">
        <f t="shared" si="9"/>
        <v>0.12500000000000006</v>
      </c>
    </row>
    <row r="137" spans="1:32" ht="15.9" x14ac:dyDescent="0.45">
      <c r="A137" s="16">
        <v>44370</v>
      </c>
      <c r="B137" s="17">
        <v>51</v>
      </c>
      <c r="C137" s="17">
        <v>33</v>
      </c>
      <c r="D137" s="17">
        <v>-4</v>
      </c>
      <c r="E137" s="17">
        <v>-3</v>
      </c>
      <c r="F137" s="17">
        <v>-147</v>
      </c>
      <c r="G137" s="17">
        <v>-46</v>
      </c>
      <c r="H137" s="18">
        <f t="shared" si="12"/>
        <v>60.714285714285708</v>
      </c>
      <c r="I137" s="18">
        <v>1.73</v>
      </c>
      <c r="J137" s="18">
        <v>-0.51</v>
      </c>
      <c r="S137" s="37">
        <v>5</v>
      </c>
      <c r="T137" s="38">
        <v>3</v>
      </c>
      <c r="AE137" s="23">
        <f t="shared" si="8"/>
        <v>64.333333333333329</v>
      </c>
      <c r="AF137" s="24">
        <f t="shared" si="9"/>
        <v>-0.20725388601036263</v>
      </c>
    </row>
    <row r="138" spans="1:32" ht="15.9" x14ac:dyDescent="0.45">
      <c r="A138" s="16">
        <v>44371</v>
      </c>
      <c r="B138" s="17">
        <v>55</v>
      </c>
      <c r="C138" s="17">
        <v>16</v>
      </c>
      <c r="D138" s="17">
        <v>-15</v>
      </c>
      <c r="E138" s="17">
        <v>-8</v>
      </c>
      <c r="F138" s="17">
        <v>-344</v>
      </c>
      <c r="G138" s="17">
        <v>-214</v>
      </c>
      <c r="H138" s="18">
        <f t="shared" si="12"/>
        <v>77.464788732394368</v>
      </c>
      <c r="I138" s="18">
        <v>1.1499999999999999</v>
      </c>
      <c r="J138" s="18">
        <v>-1.84</v>
      </c>
      <c r="S138" s="37">
        <v>4</v>
      </c>
      <c r="T138" s="38">
        <v>3</v>
      </c>
      <c r="AE138" s="23">
        <f t="shared" si="8"/>
        <v>62</v>
      </c>
      <c r="AF138" s="24">
        <f t="shared" si="9"/>
        <v>-0.11290322580645161</v>
      </c>
    </row>
    <row r="139" spans="1:32" ht="15.9" x14ac:dyDescent="0.45">
      <c r="A139" s="16">
        <v>44372</v>
      </c>
      <c r="B139" s="17">
        <v>56</v>
      </c>
      <c r="C139" s="17">
        <v>19</v>
      </c>
      <c r="D139" s="17">
        <v>-8</v>
      </c>
      <c r="E139" s="17">
        <v>-3</v>
      </c>
      <c r="F139" s="17">
        <v>-215</v>
      </c>
      <c r="G139" s="17">
        <v>-79</v>
      </c>
      <c r="H139" s="18">
        <f t="shared" si="12"/>
        <v>74.666666666666671</v>
      </c>
      <c r="I139" s="18">
        <v>1.73</v>
      </c>
      <c r="J139" s="18">
        <v>0.44</v>
      </c>
      <c r="S139" s="37">
        <v>5</v>
      </c>
      <c r="T139" s="38">
        <v>4</v>
      </c>
      <c r="AE139" s="23">
        <f t="shared" ref="AE139:AE202" si="13">(B136+B137+B138)/3</f>
        <v>57.333333333333336</v>
      </c>
      <c r="AF139" s="24">
        <f t="shared" ref="AF139:AF202" si="14">(B139-AE139)/AE139</f>
        <v>-2.3255813953488413E-2</v>
      </c>
    </row>
    <row r="140" spans="1:32" ht="15.9" x14ac:dyDescent="0.45">
      <c r="A140" s="16">
        <v>44375</v>
      </c>
      <c r="B140" s="17">
        <v>62</v>
      </c>
      <c r="C140" s="17">
        <v>29</v>
      </c>
      <c r="D140" s="17">
        <v>-18</v>
      </c>
      <c r="E140" s="17">
        <v>-9</v>
      </c>
      <c r="F140" s="17">
        <v>-164</v>
      </c>
      <c r="G140" s="17">
        <v>-73</v>
      </c>
      <c r="H140" s="18">
        <f t="shared" si="12"/>
        <v>68.131868131868131</v>
      </c>
      <c r="I140" s="18">
        <v>1.61</v>
      </c>
      <c r="J140" s="18">
        <v>0</v>
      </c>
      <c r="S140" s="37">
        <v>6</v>
      </c>
      <c r="T140" s="38">
        <v>5</v>
      </c>
      <c r="AE140" s="23">
        <f t="shared" si="13"/>
        <v>54</v>
      </c>
      <c r="AF140" s="24">
        <f t="shared" si="14"/>
        <v>0.14814814814814814</v>
      </c>
    </row>
    <row r="141" spans="1:32" ht="15.9" x14ac:dyDescent="0.45">
      <c r="A141" s="16">
        <v>44376</v>
      </c>
      <c r="B141" s="17">
        <v>43</v>
      </c>
      <c r="C141" s="17">
        <v>23</v>
      </c>
      <c r="D141" s="17">
        <v>-9</v>
      </c>
      <c r="E141" s="17">
        <v>-1</v>
      </c>
      <c r="F141" s="17">
        <v>-269</v>
      </c>
      <c r="G141" s="17">
        <v>-141</v>
      </c>
      <c r="H141" s="18">
        <f t="shared" si="12"/>
        <v>65.151515151515156</v>
      </c>
      <c r="I141" s="18">
        <v>0.92</v>
      </c>
      <c r="J141" s="18">
        <v>-0.25</v>
      </c>
      <c r="S141" s="37">
        <v>3</v>
      </c>
      <c r="T141" s="38">
        <v>2</v>
      </c>
      <c r="AE141" s="23">
        <f t="shared" si="13"/>
        <v>57.666666666666664</v>
      </c>
      <c r="AF141" s="24">
        <f t="shared" si="14"/>
        <v>-0.25433526011560692</v>
      </c>
    </row>
    <row r="142" spans="1:32" ht="15.9" x14ac:dyDescent="0.45">
      <c r="A142" s="16">
        <v>44377</v>
      </c>
      <c r="B142" s="17">
        <v>51</v>
      </c>
      <c r="C142" s="17">
        <v>33</v>
      </c>
      <c r="D142" s="17">
        <v>-8</v>
      </c>
      <c r="E142" s="17">
        <v>-3</v>
      </c>
      <c r="F142" s="17">
        <v>-145</v>
      </c>
      <c r="G142" s="17">
        <v>-48</v>
      </c>
      <c r="H142" s="18">
        <f t="shared" si="12"/>
        <v>60.714285714285708</v>
      </c>
      <c r="I142" s="18">
        <v>2.65</v>
      </c>
      <c r="J142" s="18">
        <v>-0.31</v>
      </c>
      <c r="S142" s="37">
        <v>4</v>
      </c>
      <c r="T142" s="38">
        <v>3</v>
      </c>
      <c r="AE142" s="23">
        <f t="shared" si="13"/>
        <v>53.666666666666664</v>
      </c>
      <c r="AF142" s="24">
        <f t="shared" si="14"/>
        <v>-4.9689440993788775E-2</v>
      </c>
    </row>
    <row r="143" spans="1:32" ht="15.9" x14ac:dyDescent="0.45">
      <c r="A143" s="16">
        <v>44378</v>
      </c>
      <c r="B143" s="17">
        <v>52</v>
      </c>
      <c r="C143" s="17">
        <v>20</v>
      </c>
      <c r="D143" s="17">
        <v>-17</v>
      </c>
      <c r="E143" s="17">
        <v>-5</v>
      </c>
      <c r="F143" s="17">
        <v>-556</v>
      </c>
      <c r="G143" s="17">
        <v>-416</v>
      </c>
      <c r="H143" s="18">
        <f t="shared" si="12"/>
        <v>72.222222222222214</v>
      </c>
      <c r="I143" s="18">
        <v>-0.7</v>
      </c>
      <c r="J143" s="18">
        <v>-2.9</v>
      </c>
      <c r="S143" s="37">
        <v>5</v>
      </c>
      <c r="T143" s="38">
        <v>3</v>
      </c>
      <c r="AE143" s="23">
        <f t="shared" si="13"/>
        <v>52</v>
      </c>
      <c r="AF143" s="24">
        <f t="shared" si="14"/>
        <v>0</v>
      </c>
    </row>
    <row r="144" spans="1:32" ht="15.9" x14ac:dyDescent="0.45">
      <c r="A144" s="16">
        <v>44379</v>
      </c>
      <c r="B144" s="17">
        <v>36</v>
      </c>
      <c r="C144" s="17">
        <v>20</v>
      </c>
      <c r="D144" s="17">
        <v>-5</v>
      </c>
      <c r="E144" s="17">
        <v>-2</v>
      </c>
      <c r="F144" s="17">
        <v>-383</v>
      </c>
      <c r="G144" s="17">
        <v>-195</v>
      </c>
      <c r="H144" s="18">
        <f t="shared" si="12"/>
        <v>64.285714285714292</v>
      </c>
      <c r="I144" s="18">
        <v>1.04</v>
      </c>
      <c r="J144" s="18">
        <v>-0.56000000000000005</v>
      </c>
      <c r="S144" s="37">
        <v>4</v>
      </c>
      <c r="T144" s="38">
        <v>3</v>
      </c>
      <c r="AE144" s="23">
        <f t="shared" si="13"/>
        <v>48.666666666666664</v>
      </c>
      <c r="AF144" s="24">
        <f t="shared" si="14"/>
        <v>-0.26027397260273971</v>
      </c>
    </row>
    <row r="145" spans="1:32" ht="15.9" x14ac:dyDescent="0.45">
      <c r="A145" s="16">
        <v>44382</v>
      </c>
      <c r="B145" s="17">
        <v>70</v>
      </c>
      <c r="C145" s="17">
        <v>24</v>
      </c>
      <c r="D145" s="17">
        <v>-12</v>
      </c>
      <c r="E145" s="17">
        <v>-9</v>
      </c>
      <c r="F145" s="17">
        <v>-179</v>
      </c>
      <c r="G145" s="17">
        <v>-57</v>
      </c>
      <c r="H145" s="18">
        <f t="shared" si="12"/>
        <v>74.468085106382972</v>
      </c>
      <c r="I145" s="18">
        <v>3.97</v>
      </c>
      <c r="J145" s="18">
        <v>1.23</v>
      </c>
      <c r="S145" s="37">
        <v>5</v>
      </c>
      <c r="T145" s="38">
        <v>3</v>
      </c>
      <c r="AE145" s="23">
        <f t="shared" si="13"/>
        <v>46.333333333333336</v>
      </c>
      <c r="AF145" s="24">
        <f t="shared" si="14"/>
        <v>0.51079136690647475</v>
      </c>
    </row>
    <row r="146" spans="1:32" ht="15.9" x14ac:dyDescent="0.45">
      <c r="A146" s="16">
        <v>44383</v>
      </c>
      <c r="B146" s="17">
        <v>38</v>
      </c>
      <c r="C146" s="17">
        <v>26</v>
      </c>
      <c r="D146" s="17">
        <v>-21</v>
      </c>
      <c r="E146" s="17">
        <v>-7</v>
      </c>
      <c r="F146" s="17">
        <v>-413</v>
      </c>
      <c r="G146" s="17">
        <v>-159</v>
      </c>
      <c r="H146" s="18">
        <f t="shared" si="12"/>
        <v>59.375</v>
      </c>
      <c r="I146" s="18">
        <v>0.73</v>
      </c>
      <c r="J146" s="18">
        <v>-0.96</v>
      </c>
      <c r="S146" s="37">
        <v>2</v>
      </c>
      <c r="T146" s="38">
        <v>1</v>
      </c>
      <c r="AE146" s="23">
        <f t="shared" si="13"/>
        <v>52.666666666666664</v>
      </c>
      <c r="AF146" s="24">
        <f t="shared" si="14"/>
        <v>-0.27848101265822783</v>
      </c>
    </row>
    <row r="147" spans="1:32" ht="15.9" x14ac:dyDescent="0.45">
      <c r="A147" s="16">
        <v>44384</v>
      </c>
      <c r="B147" s="17">
        <v>63</v>
      </c>
      <c r="C147" s="17">
        <v>25</v>
      </c>
      <c r="D147" s="17">
        <v>-7</v>
      </c>
      <c r="E147" s="17">
        <v>-1</v>
      </c>
      <c r="F147" s="17">
        <v>-172</v>
      </c>
      <c r="G147" s="17">
        <v>-21</v>
      </c>
      <c r="H147" s="18">
        <f t="shared" si="12"/>
        <v>71.590909090909093</v>
      </c>
      <c r="I147" s="18">
        <v>2.09</v>
      </c>
      <c r="J147" s="18">
        <v>0.31</v>
      </c>
      <c r="S147" s="37">
        <v>3</v>
      </c>
      <c r="T147" s="38">
        <v>2</v>
      </c>
      <c r="AE147" s="23">
        <f t="shared" si="13"/>
        <v>48</v>
      </c>
      <c r="AF147" s="24">
        <f t="shared" si="14"/>
        <v>0.3125</v>
      </c>
    </row>
    <row r="148" spans="1:32" ht="15.9" x14ac:dyDescent="0.45">
      <c r="A148" s="16">
        <v>44385</v>
      </c>
      <c r="B148" s="17">
        <v>46</v>
      </c>
      <c r="C148" s="17">
        <v>16</v>
      </c>
      <c r="D148" s="17">
        <v>-9</v>
      </c>
      <c r="E148" s="17">
        <v>-4</v>
      </c>
      <c r="F148" s="17">
        <v>-241</v>
      </c>
      <c r="G148" s="17">
        <v>-116</v>
      </c>
      <c r="H148" s="18">
        <f t="shared" si="12"/>
        <v>74.193548387096769</v>
      </c>
      <c r="I148" s="18">
        <v>1.5329999999999999</v>
      </c>
      <c r="J148" s="18">
        <v>0.17</v>
      </c>
      <c r="S148" s="37">
        <v>4</v>
      </c>
      <c r="T148" s="38">
        <v>2</v>
      </c>
      <c r="AE148" s="23">
        <f t="shared" si="13"/>
        <v>57</v>
      </c>
      <c r="AF148" s="24">
        <f t="shared" si="14"/>
        <v>-0.19298245614035087</v>
      </c>
    </row>
    <row r="149" spans="1:32" ht="15.9" x14ac:dyDescent="0.45">
      <c r="A149" s="16">
        <v>44386</v>
      </c>
      <c r="B149" s="17">
        <v>64</v>
      </c>
      <c r="C149" s="17">
        <v>17</v>
      </c>
      <c r="D149" s="17">
        <v>-9</v>
      </c>
      <c r="E149" s="17">
        <v>-3</v>
      </c>
      <c r="F149" s="17">
        <v>-305</v>
      </c>
      <c r="G149" s="17">
        <v>-79</v>
      </c>
      <c r="H149" s="18">
        <f t="shared" si="12"/>
        <v>79.012345679012341</v>
      </c>
      <c r="I149" s="18">
        <v>2.52</v>
      </c>
      <c r="J149" s="18">
        <v>0.5</v>
      </c>
      <c r="S149" s="37">
        <v>3</v>
      </c>
      <c r="T149" s="38">
        <v>2</v>
      </c>
      <c r="AE149" s="23">
        <f t="shared" si="13"/>
        <v>49</v>
      </c>
      <c r="AF149" s="24">
        <f t="shared" si="14"/>
        <v>0.30612244897959184</v>
      </c>
    </row>
    <row r="150" spans="1:32" ht="15.9" x14ac:dyDescent="0.45">
      <c r="A150" s="16">
        <v>44389</v>
      </c>
      <c r="B150" s="17">
        <v>83</v>
      </c>
      <c r="C150" s="17">
        <v>43</v>
      </c>
      <c r="D150" s="17">
        <v>-8</v>
      </c>
      <c r="E150" s="17">
        <v>-3</v>
      </c>
      <c r="F150" s="17">
        <v>-88</v>
      </c>
      <c r="G150" s="17">
        <v>-40</v>
      </c>
      <c r="H150" s="18">
        <f t="shared" si="12"/>
        <v>65.873015873015873</v>
      </c>
      <c r="I150" s="18">
        <v>4.38</v>
      </c>
      <c r="J150" s="18">
        <v>3.14</v>
      </c>
      <c r="S150" s="37">
        <v>4</v>
      </c>
      <c r="T150" s="38">
        <v>3</v>
      </c>
      <c r="AE150" s="23">
        <f t="shared" si="13"/>
        <v>57.666666666666664</v>
      </c>
      <c r="AF150" s="24">
        <f t="shared" si="14"/>
        <v>0.43930635838150295</v>
      </c>
    </row>
    <row r="151" spans="1:32" ht="15.9" x14ac:dyDescent="0.45">
      <c r="A151" s="16">
        <v>44390</v>
      </c>
      <c r="B151" s="17">
        <v>63</v>
      </c>
      <c r="C151" s="17">
        <v>25</v>
      </c>
      <c r="D151" s="17">
        <v>-9</v>
      </c>
      <c r="E151" s="17">
        <v>-4</v>
      </c>
      <c r="F151" s="17">
        <v>-262</v>
      </c>
      <c r="G151" s="17">
        <v>-121</v>
      </c>
      <c r="H151" s="18">
        <f t="shared" si="12"/>
        <v>71.590909090909093</v>
      </c>
      <c r="I151" s="18">
        <v>0.37</v>
      </c>
      <c r="J151" s="18">
        <v>-0.92</v>
      </c>
      <c r="S151" s="37">
        <v>4</v>
      </c>
      <c r="T151" s="38">
        <v>3</v>
      </c>
      <c r="AE151" s="23">
        <f t="shared" si="13"/>
        <v>64.333333333333329</v>
      </c>
      <c r="AF151" s="24">
        <f t="shared" si="14"/>
        <v>-2.0725388601036197E-2</v>
      </c>
    </row>
    <row r="152" spans="1:32" ht="15.9" x14ac:dyDescent="0.45">
      <c r="A152" s="16">
        <v>44391</v>
      </c>
      <c r="B152" s="17">
        <v>52</v>
      </c>
      <c r="C152" s="17">
        <v>24</v>
      </c>
      <c r="D152" s="17">
        <v>-21</v>
      </c>
      <c r="E152" s="17">
        <v>-14</v>
      </c>
      <c r="F152" s="17">
        <v>-321</v>
      </c>
      <c r="G152" s="17">
        <v>-192</v>
      </c>
      <c r="H152" s="18">
        <f t="shared" si="12"/>
        <v>68.421052631578945</v>
      </c>
      <c r="I152" s="18">
        <v>0.98</v>
      </c>
      <c r="J152" s="18">
        <v>-0.77</v>
      </c>
      <c r="S152" s="37">
        <v>3</v>
      </c>
      <c r="T152" s="38">
        <v>2</v>
      </c>
      <c r="AE152" s="23">
        <f t="shared" si="13"/>
        <v>70</v>
      </c>
      <c r="AF152" s="24">
        <f t="shared" si="14"/>
        <v>-0.25714285714285712</v>
      </c>
    </row>
    <row r="153" spans="1:32" ht="15.9" x14ac:dyDescent="0.45">
      <c r="A153" s="16">
        <v>44392</v>
      </c>
      <c r="B153" s="17">
        <v>45</v>
      </c>
      <c r="C153" s="17">
        <v>19</v>
      </c>
      <c r="D153" s="17">
        <v>-32</v>
      </c>
      <c r="E153" s="17">
        <v>-19</v>
      </c>
      <c r="F153" s="17">
        <v>-565</v>
      </c>
      <c r="G153" s="17">
        <v>-206</v>
      </c>
      <c r="H153" s="18">
        <f t="shared" si="12"/>
        <v>70.3125</v>
      </c>
      <c r="I153" s="18">
        <v>-0.67</v>
      </c>
      <c r="J153" s="18">
        <v>-2.52</v>
      </c>
      <c r="S153" s="37">
        <v>4</v>
      </c>
      <c r="T153" s="38">
        <v>2</v>
      </c>
      <c r="AE153" s="23">
        <f t="shared" si="13"/>
        <v>66</v>
      </c>
      <c r="AF153" s="24">
        <f t="shared" si="14"/>
        <v>-0.31818181818181818</v>
      </c>
    </row>
    <row r="154" spans="1:32" ht="15.9" x14ac:dyDescent="0.45">
      <c r="A154" s="16">
        <v>44393</v>
      </c>
      <c r="B154" s="17">
        <v>35</v>
      </c>
      <c r="C154" s="17">
        <v>47</v>
      </c>
      <c r="D154" s="17">
        <v>-10</v>
      </c>
      <c r="E154" s="17">
        <v>-5</v>
      </c>
      <c r="F154" s="17">
        <v>-140</v>
      </c>
      <c r="G154" s="17">
        <v>-110</v>
      </c>
      <c r="H154" s="18">
        <f t="shared" si="12"/>
        <v>42.68292682926829</v>
      </c>
      <c r="I154" s="18">
        <v>1.74</v>
      </c>
      <c r="J154" s="18">
        <v>0.27</v>
      </c>
      <c r="S154" s="37">
        <v>5</v>
      </c>
      <c r="T154" s="38">
        <v>3</v>
      </c>
      <c r="AE154" s="23">
        <f t="shared" si="13"/>
        <v>53.333333333333336</v>
      </c>
      <c r="AF154" s="24">
        <f t="shared" si="14"/>
        <v>-0.34375000000000006</v>
      </c>
    </row>
    <row r="155" spans="1:32" ht="15.9" x14ac:dyDescent="0.45">
      <c r="A155" s="16">
        <v>44396</v>
      </c>
      <c r="B155" s="17">
        <v>52</v>
      </c>
      <c r="C155" s="17">
        <v>24</v>
      </c>
      <c r="D155" s="17">
        <v>-23</v>
      </c>
      <c r="E155" s="17">
        <v>-12</v>
      </c>
      <c r="F155" s="17">
        <v>-324</v>
      </c>
      <c r="G155" s="17">
        <v>-170</v>
      </c>
      <c r="H155" s="18">
        <f t="shared" si="12"/>
        <v>68.421052631578945</v>
      </c>
      <c r="I155" s="18">
        <v>0.61</v>
      </c>
      <c r="J155" s="18">
        <v>-2.4700000000000002</v>
      </c>
      <c r="S155" s="37">
        <v>4</v>
      </c>
      <c r="T155" s="38">
        <v>2</v>
      </c>
      <c r="AE155" s="23">
        <f t="shared" si="13"/>
        <v>44</v>
      </c>
      <c r="AF155" s="24">
        <f t="shared" si="14"/>
        <v>0.18181818181818182</v>
      </c>
    </row>
    <row r="156" spans="1:32" ht="15.9" x14ac:dyDescent="0.45">
      <c r="A156" s="16">
        <v>44397</v>
      </c>
      <c r="B156" s="17">
        <v>46</v>
      </c>
      <c r="C156" s="17">
        <v>9</v>
      </c>
      <c r="D156" s="17">
        <v>-12</v>
      </c>
      <c r="E156" s="17">
        <v>-4</v>
      </c>
      <c r="F156" s="17">
        <v>-212</v>
      </c>
      <c r="G156" s="17">
        <v>-51</v>
      </c>
      <c r="H156" s="18">
        <f t="shared" si="12"/>
        <v>83.636363636363626</v>
      </c>
      <c r="I156" s="18">
        <v>2.8</v>
      </c>
      <c r="J156" s="18">
        <v>7.0000000000000007E-2</v>
      </c>
      <c r="S156" s="37">
        <v>5</v>
      </c>
      <c r="T156" s="38">
        <v>3</v>
      </c>
      <c r="AE156" s="23">
        <f t="shared" si="13"/>
        <v>44</v>
      </c>
      <c r="AF156" s="24">
        <f t="shared" si="14"/>
        <v>4.5454545454545456E-2</v>
      </c>
    </row>
    <row r="157" spans="1:32" ht="15.9" x14ac:dyDescent="0.45">
      <c r="A157" s="16">
        <v>44398</v>
      </c>
      <c r="B157" s="17">
        <v>84</v>
      </c>
      <c r="C157" s="17">
        <v>28</v>
      </c>
      <c r="D157" s="17">
        <v>-5</v>
      </c>
      <c r="E157" s="17">
        <v>-2</v>
      </c>
      <c r="F157" s="17">
        <v>-51</v>
      </c>
      <c r="G157" s="17">
        <v>-19</v>
      </c>
      <c r="H157" s="18">
        <f t="shared" si="12"/>
        <v>75</v>
      </c>
      <c r="I157" s="18">
        <v>4.32</v>
      </c>
      <c r="J157" s="18">
        <v>3.43</v>
      </c>
      <c r="S157" s="37">
        <v>6</v>
      </c>
      <c r="T157" s="38">
        <v>3</v>
      </c>
      <c r="AE157" s="23">
        <f t="shared" si="13"/>
        <v>44.333333333333336</v>
      </c>
      <c r="AF157" s="24">
        <f t="shared" si="14"/>
        <v>0.89473684210526305</v>
      </c>
    </row>
    <row r="158" spans="1:32" ht="15.9" x14ac:dyDescent="0.45">
      <c r="A158" s="16">
        <v>44399</v>
      </c>
      <c r="B158" s="17">
        <v>56</v>
      </c>
      <c r="C158" s="17">
        <v>33</v>
      </c>
      <c r="D158" s="17">
        <v>-13</v>
      </c>
      <c r="E158" s="17">
        <v>-6</v>
      </c>
      <c r="F158" s="17">
        <v>-220</v>
      </c>
      <c r="G158" s="17">
        <v>-89</v>
      </c>
      <c r="H158" s="18">
        <f t="shared" si="12"/>
        <v>62.921348314606739</v>
      </c>
      <c r="I158" s="18">
        <v>3.52</v>
      </c>
      <c r="J158" s="18">
        <v>1.99</v>
      </c>
      <c r="S158" s="37">
        <v>2</v>
      </c>
      <c r="T158" s="38">
        <v>1</v>
      </c>
      <c r="AE158" s="23">
        <f t="shared" si="13"/>
        <v>60.666666666666664</v>
      </c>
      <c r="AF158" s="24">
        <f t="shared" si="14"/>
        <v>-7.6923076923076886E-2</v>
      </c>
    </row>
    <row r="159" spans="1:32" ht="15.9" x14ac:dyDescent="0.45">
      <c r="A159" s="16">
        <v>44400</v>
      </c>
      <c r="B159" s="17">
        <v>47</v>
      </c>
      <c r="C159" s="17">
        <v>26</v>
      </c>
      <c r="D159" s="17">
        <v>-17</v>
      </c>
      <c r="E159" s="17">
        <v>-10</v>
      </c>
      <c r="F159" s="17">
        <v>-521</v>
      </c>
      <c r="G159" s="17">
        <v>-274</v>
      </c>
      <c r="H159" s="18">
        <f t="shared" si="12"/>
        <v>64.38356164383562</v>
      </c>
      <c r="I159" s="18">
        <v>1.74</v>
      </c>
      <c r="J159" s="18">
        <v>-0.18</v>
      </c>
      <c r="S159" s="37">
        <v>3</v>
      </c>
      <c r="T159" s="38">
        <v>2</v>
      </c>
      <c r="AE159" s="23">
        <f t="shared" si="13"/>
        <v>62</v>
      </c>
      <c r="AF159" s="24">
        <f t="shared" si="14"/>
        <v>-0.24193548387096775</v>
      </c>
    </row>
    <row r="160" spans="1:32" ht="15.9" x14ac:dyDescent="0.45">
      <c r="A160" s="16">
        <v>44403</v>
      </c>
      <c r="B160" s="17">
        <v>37</v>
      </c>
      <c r="C160" s="17">
        <v>28</v>
      </c>
      <c r="D160" s="17">
        <v>-58</v>
      </c>
      <c r="E160" s="17">
        <v>-31</v>
      </c>
      <c r="F160" s="17">
        <v>-971</v>
      </c>
      <c r="G160" s="17">
        <v>-402</v>
      </c>
      <c r="H160" s="18">
        <f t="shared" si="12"/>
        <v>56.92307692307692</v>
      </c>
      <c r="I160" s="18">
        <v>3.94</v>
      </c>
      <c r="J160" s="18">
        <v>0.72</v>
      </c>
      <c r="S160" s="37">
        <v>4</v>
      </c>
      <c r="T160" s="38">
        <v>2</v>
      </c>
      <c r="AE160" s="23">
        <f t="shared" si="13"/>
        <v>62.333333333333336</v>
      </c>
      <c r="AF160" s="24">
        <f t="shared" si="14"/>
        <v>-0.40641711229946526</v>
      </c>
    </row>
    <row r="161" spans="1:32" ht="15.9" x14ac:dyDescent="0.45">
      <c r="A161" s="16">
        <v>44404</v>
      </c>
      <c r="B161" s="17">
        <v>26</v>
      </c>
      <c r="C161" s="17">
        <v>50</v>
      </c>
      <c r="D161" s="17">
        <v>-82</v>
      </c>
      <c r="E161" s="17">
        <v>-57</v>
      </c>
      <c r="F161" s="17">
        <v>-832</v>
      </c>
      <c r="G161" s="17">
        <v>-650</v>
      </c>
      <c r="H161" s="18">
        <f t="shared" si="12"/>
        <v>34.210526315789473</v>
      </c>
      <c r="I161" s="18">
        <v>0.05</v>
      </c>
      <c r="J161" s="18">
        <v>-4.03</v>
      </c>
      <c r="S161" s="37">
        <v>5</v>
      </c>
      <c r="T161" s="38">
        <v>3</v>
      </c>
      <c r="AE161" s="23">
        <f t="shared" si="13"/>
        <v>46.666666666666664</v>
      </c>
      <c r="AF161" s="24">
        <f t="shared" si="14"/>
        <v>-0.44285714285714284</v>
      </c>
    </row>
    <row r="162" spans="1:32" ht="15.9" x14ac:dyDescent="0.45">
      <c r="A162" s="16">
        <v>44405</v>
      </c>
      <c r="B162" s="17">
        <v>37</v>
      </c>
      <c r="C162" s="17">
        <v>11</v>
      </c>
      <c r="D162" s="17">
        <v>-146</v>
      </c>
      <c r="E162" s="17">
        <v>-36</v>
      </c>
      <c r="F162" s="17">
        <v>-2101</v>
      </c>
      <c r="G162" s="17">
        <v>-837</v>
      </c>
      <c r="H162" s="18">
        <f t="shared" si="12"/>
        <v>77.083333333333343</v>
      </c>
      <c r="I162" s="18">
        <v>-0.35</v>
      </c>
      <c r="J162" s="18">
        <v>-5.7</v>
      </c>
      <c r="S162" s="37">
        <v>3</v>
      </c>
      <c r="T162" s="38">
        <v>2</v>
      </c>
      <c r="AE162" s="23">
        <f t="shared" si="13"/>
        <v>36.666666666666664</v>
      </c>
      <c r="AF162" s="24">
        <f t="shared" si="14"/>
        <v>9.0909090909091564E-3</v>
      </c>
    </row>
    <row r="163" spans="1:32" ht="15.9" x14ac:dyDescent="0.45">
      <c r="A163" s="16">
        <v>44406</v>
      </c>
      <c r="B163" s="17">
        <v>115</v>
      </c>
      <c r="C163" s="17">
        <v>31</v>
      </c>
      <c r="D163" s="17">
        <v>-2</v>
      </c>
      <c r="E163" s="17">
        <v>-1</v>
      </c>
      <c r="F163" s="17">
        <v>-53</v>
      </c>
      <c r="G163" s="17">
        <v>-11</v>
      </c>
      <c r="H163" s="18">
        <f t="shared" si="12"/>
        <v>78.767123287671239</v>
      </c>
      <c r="I163" s="18">
        <v>7.22</v>
      </c>
      <c r="J163" s="18">
        <v>5.26</v>
      </c>
      <c r="S163" s="37">
        <v>4</v>
      </c>
      <c r="T163" s="38">
        <v>2</v>
      </c>
      <c r="AE163" s="23">
        <f t="shared" si="13"/>
        <v>33.333333333333336</v>
      </c>
      <c r="AF163" s="24">
        <f t="shared" si="14"/>
        <v>2.4499999999999997</v>
      </c>
    </row>
    <row r="164" spans="1:32" ht="15.9" x14ac:dyDescent="0.45">
      <c r="A164" s="16">
        <v>44407</v>
      </c>
      <c r="B164" s="17">
        <v>81</v>
      </c>
      <c r="C164" s="17">
        <v>27</v>
      </c>
      <c r="D164" s="17">
        <v>-24</v>
      </c>
      <c r="E164" s="17">
        <v>-10</v>
      </c>
      <c r="F164" s="17">
        <v>-380</v>
      </c>
      <c r="G164" s="17">
        <v>-154</v>
      </c>
      <c r="H164" s="18">
        <f t="shared" si="12"/>
        <v>75</v>
      </c>
      <c r="I164" s="18">
        <v>4.3899999999999997</v>
      </c>
      <c r="J164" s="18">
        <v>3.59</v>
      </c>
      <c r="S164" s="37">
        <v>3</v>
      </c>
      <c r="T164" s="38">
        <v>2</v>
      </c>
      <c r="AE164" s="23">
        <f t="shared" si="13"/>
        <v>59.333333333333336</v>
      </c>
      <c r="AF164" s="24">
        <f t="shared" si="14"/>
        <v>0.36516853932584264</v>
      </c>
    </row>
    <row r="165" spans="1:32" ht="15.9" x14ac:dyDescent="0.45">
      <c r="A165" s="16">
        <v>44410</v>
      </c>
      <c r="B165" s="17">
        <v>96</v>
      </c>
      <c r="C165" s="17">
        <v>49</v>
      </c>
      <c r="D165" s="17">
        <v>-22</v>
      </c>
      <c r="E165" s="17">
        <v>-6</v>
      </c>
      <c r="F165" s="17">
        <v>-367</v>
      </c>
      <c r="G165" s="17">
        <v>-83</v>
      </c>
      <c r="H165" s="18">
        <f t="shared" si="12"/>
        <v>66.206896551724142</v>
      </c>
      <c r="I165" s="18">
        <v>2.2400000000000002</v>
      </c>
      <c r="J165" s="18">
        <v>0.72</v>
      </c>
      <c r="S165" s="37">
        <v>4</v>
      </c>
      <c r="T165" s="38">
        <v>3</v>
      </c>
      <c r="AE165" s="23">
        <f t="shared" si="13"/>
        <v>77.666666666666671</v>
      </c>
      <c r="AF165" s="24">
        <f t="shared" si="14"/>
        <v>0.23605150214592266</v>
      </c>
    </row>
    <row r="166" spans="1:32" ht="15.9" x14ac:dyDescent="0.45">
      <c r="A166" s="16">
        <v>44411</v>
      </c>
      <c r="B166" s="17">
        <v>53</v>
      </c>
      <c r="C166" s="17">
        <v>28</v>
      </c>
      <c r="D166" s="17">
        <v>-52</v>
      </c>
      <c r="E166" s="17">
        <v>-33</v>
      </c>
      <c r="F166" s="17">
        <v>-541</v>
      </c>
      <c r="G166" s="17">
        <v>-372</v>
      </c>
      <c r="H166" s="18">
        <f t="shared" si="12"/>
        <v>65.432098765432102</v>
      </c>
      <c r="I166" s="18">
        <v>0.22</v>
      </c>
      <c r="J166" s="18">
        <v>-1.73</v>
      </c>
      <c r="S166" s="37">
        <v>3</v>
      </c>
      <c r="T166" s="38">
        <v>2</v>
      </c>
      <c r="AE166" s="23">
        <f t="shared" si="13"/>
        <v>97.333333333333329</v>
      </c>
      <c r="AF166" s="24">
        <f t="shared" si="14"/>
        <v>-0.45547945205479451</v>
      </c>
    </row>
    <row r="167" spans="1:32" ht="15.9" x14ac:dyDescent="0.45">
      <c r="A167" s="16">
        <v>44412</v>
      </c>
      <c r="B167" s="17">
        <v>87</v>
      </c>
      <c r="C167" s="17">
        <v>23</v>
      </c>
      <c r="D167" s="17">
        <v>-6</v>
      </c>
      <c r="E167" s="17">
        <v>-2</v>
      </c>
      <c r="F167" s="17">
        <v>-141</v>
      </c>
      <c r="G167" s="17">
        <v>-22</v>
      </c>
      <c r="H167" s="18">
        <f t="shared" si="12"/>
        <v>79.090909090909093</v>
      </c>
      <c r="I167" s="18">
        <v>2.17</v>
      </c>
      <c r="J167" s="18">
        <v>0.54</v>
      </c>
      <c r="S167" s="37">
        <v>3</v>
      </c>
      <c r="T167" s="38">
        <v>2</v>
      </c>
      <c r="AE167" s="23">
        <f t="shared" si="13"/>
        <v>76.666666666666671</v>
      </c>
      <c r="AF167" s="24">
        <f t="shared" si="14"/>
        <v>0.13478260869565212</v>
      </c>
    </row>
    <row r="168" spans="1:32" ht="15.9" x14ac:dyDescent="0.45">
      <c r="A168" s="16">
        <v>44413</v>
      </c>
      <c r="B168" s="17">
        <v>50</v>
      </c>
      <c r="C168" s="17">
        <v>21</v>
      </c>
      <c r="D168" s="17">
        <v>-13</v>
      </c>
      <c r="E168" s="17">
        <v>-3</v>
      </c>
      <c r="F168" s="17">
        <v>-647</v>
      </c>
      <c r="G168" s="17">
        <v>-170</v>
      </c>
      <c r="H168" s="18">
        <f t="shared" si="12"/>
        <v>70.422535211267601</v>
      </c>
      <c r="I168" s="18">
        <v>2.34</v>
      </c>
      <c r="J168" s="18">
        <v>1.01</v>
      </c>
      <c r="S168" s="37">
        <v>4</v>
      </c>
      <c r="T168" s="38">
        <v>3</v>
      </c>
      <c r="AE168" s="23">
        <f t="shared" si="13"/>
        <v>78.666666666666671</v>
      </c>
      <c r="AF168" s="24">
        <f t="shared" si="14"/>
        <v>-0.36440677966101698</v>
      </c>
    </row>
    <row r="169" spans="1:32" ht="15.9" x14ac:dyDescent="0.45">
      <c r="A169" s="16">
        <v>44414</v>
      </c>
      <c r="B169" s="17">
        <v>59</v>
      </c>
      <c r="C169" s="17">
        <v>30</v>
      </c>
      <c r="D169" s="17">
        <v>-5</v>
      </c>
      <c r="E169" s="17">
        <v>0</v>
      </c>
      <c r="F169" s="17">
        <v>-288</v>
      </c>
      <c r="G169" s="17">
        <v>-99</v>
      </c>
      <c r="H169" s="18">
        <f t="shared" si="12"/>
        <v>66.292134831460672</v>
      </c>
      <c r="I169" s="18">
        <v>1.85</v>
      </c>
      <c r="J169" s="18">
        <v>0.56000000000000005</v>
      </c>
      <c r="S169" s="37">
        <v>3</v>
      </c>
      <c r="T169" s="38">
        <v>2</v>
      </c>
      <c r="AE169" s="23">
        <f t="shared" si="13"/>
        <v>63.333333333333336</v>
      </c>
      <c r="AF169" s="24">
        <f t="shared" si="14"/>
        <v>-6.842105263157898E-2</v>
      </c>
    </row>
    <row r="170" spans="1:32" ht="15.9" x14ac:dyDescent="0.45">
      <c r="A170" s="16">
        <v>44417</v>
      </c>
      <c r="B170" s="17">
        <v>79</v>
      </c>
      <c r="C170" s="17">
        <v>31</v>
      </c>
      <c r="D170" s="17">
        <v>-15</v>
      </c>
      <c r="E170" s="17">
        <v>-4</v>
      </c>
      <c r="F170" s="17">
        <v>-362</v>
      </c>
      <c r="G170" s="17">
        <v>-95</v>
      </c>
      <c r="H170" s="18">
        <f t="shared" si="12"/>
        <v>71.818181818181813</v>
      </c>
      <c r="I170" s="18">
        <v>2.42</v>
      </c>
      <c r="J170" s="18">
        <v>0.04</v>
      </c>
      <c r="S170" s="37">
        <v>4</v>
      </c>
      <c r="T170" s="38">
        <v>3</v>
      </c>
      <c r="AE170" s="23">
        <f t="shared" si="13"/>
        <v>65.333333333333329</v>
      </c>
      <c r="AF170" s="24">
        <f t="shared" si="14"/>
        <v>0.20918367346938785</v>
      </c>
    </row>
    <row r="171" spans="1:32" ht="15.9" x14ac:dyDescent="0.45">
      <c r="A171" s="16">
        <v>44418</v>
      </c>
      <c r="B171" s="17">
        <v>70</v>
      </c>
      <c r="C171" s="17">
        <v>27</v>
      </c>
      <c r="D171" s="17">
        <v>-12</v>
      </c>
      <c r="E171" s="17">
        <v>-3</v>
      </c>
      <c r="F171" s="17">
        <v>-196</v>
      </c>
      <c r="G171" s="17">
        <v>-59</v>
      </c>
      <c r="H171" s="18">
        <f t="shared" si="12"/>
        <v>72.164948453608247</v>
      </c>
      <c r="I171" s="18">
        <v>4.21</v>
      </c>
      <c r="J171" s="18">
        <v>2.61</v>
      </c>
      <c r="S171" s="37">
        <v>5</v>
      </c>
      <c r="T171" s="38">
        <v>4</v>
      </c>
      <c r="AE171" s="23">
        <f t="shared" si="13"/>
        <v>62.666666666666664</v>
      </c>
      <c r="AF171" s="24">
        <f t="shared" si="14"/>
        <v>0.11702127659574472</v>
      </c>
    </row>
    <row r="172" spans="1:32" ht="15.9" x14ac:dyDescent="0.45">
      <c r="A172" s="16">
        <v>44419</v>
      </c>
      <c r="B172" s="17">
        <v>90</v>
      </c>
      <c r="C172" s="17">
        <v>20</v>
      </c>
      <c r="D172" s="17">
        <v>-6</v>
      </c>
      <c r="E172" s="17">
        <v>-3</v>
      </c>
      <c r="F172" s="17">
        <v>-175</v>
      </c>
      <c r="G172" s="17">
        <v>-61</v>
      </c>
      <c r="H172" s="18">
        <f t="shared" si="12"/>
        <v>81.818181818181827</v>
      </c>
      <c r="I172" s="18">
        <v>2.95</v>
      </c>
      <c r="J172" s="18">
        <v>1.18</v>
      </c>
      <c r="S172" s="37">
        <v>6</v>
      </c>
      <c r="T172" s="38">
        <v>5</v>
      </c>
      <c r="AE172" s="23">
        <f t="shared" si="13"/>
        <v>69.333333333333329</v>
      </c>
      <c r="AF172" s="24">
        <f t="shared" si="14"/>
        <v>0.29807692307692318</v>
      </c>
    </row>
    <row r="173" spans="1:32" ht="15.9" x14ac:dyDescent="0.45">
      <c r="A173" s="16">
        <v>44420</v>
      </c>
      <c r="B173" s="17">
        <v>66</v>
      </c>
      <c r="C173" s="17">
        <v>32</v>
      </c>
      <c r="D173" s="17">
        <v>-10</v>
      </c>
      <c r="E173" s="17">
        <v>-4</v>
      </c>
      <c r="F173" s="17">
        <v>-205</v>
      </c>
      <c r="G173" s="17">
        <v>-80</v>
      </c>
      <c r="H173" s="18">
        <f t="shared" si="12"/>
        <v>67.346938775510196</v>
      </c>
      <c r="I173" s="18">
        <v>2.0299999999999998</v>
      </c>
      <c r="J173" s="18">
        <v>0.69</v>
      </c>
      <c r="S173" s="37">
        <v>7</v>
      </c>
      <c r="T173" s="38">
        <v>6</v>
      </c>
      <c r="AE173" s="23">
        <f t="shared" si="13"/>
        <v>79.666666666666671</v>
      </c>
      <c r="AF173" s="24">
        <f t="shared" si="14"/>
        <v>-0.17154811715481177</v>
      </c>
    </row>
    <row r="174" spans="1:32" ht="15.9" x14ac:dyDescent="0.45">
      <c r="A174" s="16">
        <v>44423</v>
      </c>
      <c r="B174" s="17">
        <v>65</v>
      </c>
      <c r="C174" s="17">
        <v>27</v>
      </c>
      <c r="D174" s="17">
        <v>-5</v>
      </c>
      <c r="E174" s="17">
        <v>-2</v>
      </c>
      <c r="F174" s="17">
        <v>-253</v>
      </c>
      <c r="G174" s="17">
        <v>-115</v>
      </c>
      <c r="H174" s="18">
        <f t="shared" si="12"/>
        <v>70.652173913043484</v>
      </c>
      <c r="I174" s="18">
        <v>3.15</v>
      </c>
      <c r="J174" s="18">
        <v>1.0900000000000001</v>
      </c>
      <c r="S174" s="37">
        <v>8</v>
      </c>
      <c r="T174" s="38">
        <v>7</v>
      </c>
      <c r="AE174" s="23">
        <f t="shared" si="13"/>
        <v>75.333333333333329</v>
      </c>
      <c r="AF174" s="24">
        <f t="shared" si="14"/>
        <v>-0.13716814159292029</v>
      </c>
    </row>
    <row r="175" spans="1:32" ht="15.9" x14ac:dyDescent="0.45">
      <c r="A175" s="16">
        <v>44424</v>
      </c>
      <c r="B175" s="17">
        <v>71</v>
      </c>
      <c r="C175" s="17">
        <v>32</v>
      </c>
      <c r="D175" s="17">
        <v>-28</v>
      </c>
      <c r="E175" s="17">
        <v>-15</v>
      </c>
      <c r="F175" s="17">
        <v>-431</v>
      </c>
      <c r="G175" s="17">
        <v>-255</v>
      </c>
      <c r="H175" s="18">
        <f t="shared" si="12"/>
        <v>68.932038834951456</v>
      </c>
      <c r="I175" s="18">
        <v>0.94</v>
      </c>
      <c r="J175" s="18">
        <v>-0.74</v>
      </c>
      <c r="S175" s="37">
        <v>8</v>
      </c>
      <c r="T175" s="38">
        <v>6</v>
      </c>
      <c r="AE175" s="23">
        <f t="shared" si="13"/>
        <v>73.666666666666671</v>
      </c>
      <c r="AF175" s="24">
        <f t="shared" si="14"/>
        <v>-3.6199095022624493E-2</v>
      </c>
    </row>
    <row r="176" spans="1:32" ht="15.9" x14ac:dyDescent="0.45">
      <c r="A176" s="16">
        <v>44425</v>
      </c>
      <c r="B176" s="17">
        <v>27</v>
      </c>
      <c r="C176" s="17">
        <v>39</v>
      </c>
      <c r="D176" s="17">
        <v>-43</v>
      </c>
      <c r="E176" s="17">
        <v>-18</v>
      </c>
      <c r="F176" s="17">
        <v>-935</v>
      </c>
      <c r="G176" s="17">
        <v>-618</v>
      </c>
      <c r="H176" s="18">
        <f t="shared" si="12"/>
        <v>40.909090909090914</v>
      </c>
      <c r="I176" s="18">
        <v>-1.4</v>
      </c>
      <c r="J176" s="18">
        <v>-3.46</v>
      </c>
      <c r="S176" s="37">
        <v>7</v>
      </c>
      <c r="T176" s="38">
        <v>4</v>
      </c>
      <c r="AE176" s="23">
        <f t="shared" si="13"/>
        <v>67.333333333333329</v>
      </c>
      <c r="AF176" s="24">
        <f t="shared" si="14"/>
        <v>-0.59900990099009899</v>
      </c>
    </row>
    <row r="177" spans="1:32" ht="15.9" x14ac:dyDescent="0.45">
      <c r="A177" s="16">
        <v>44426</v>
      </c>
      <c r="B177" s="17">
        <v>69</v>
      </c>
      <c r="C177" s="17">
        <v>21</v>
      </c>
      <c r="D177" s="17">
        <v>-15</v>
      </c>
      <c r="E177" s="17">
        <v>-5</v>
      </c>
      <c r="F177" s="17">
        <v>-275</v>
      </c>
      <c r="G177" s="17">
        <v>-76</v>
      </c>
      <c r="H177" s="18">
        <f t="shared" si="12"/>
        <v>76.666666666666671</v>
      </c>
      <c r="I177" s="18">
        <v>5.74</v>
      </c>
      <c r="J177" s="18">
        <v>-0.22</v>
      </c>
      <c r="S177" s="37">
        <v>5</v>
      </c>
      <c r="T177" s="38">
        <v>4</v>
      </c>
      <c r="AE177" s="23">
        <f t="shared" si="13"/>
        <v>54.333333333333336</v>
      </c>
      <c r="AF177" s="24">
        <f t="shared" si="14"/>
        <v>0.26993865030674841</v>
      </c>
    </row>
    <row r="178" spans="1:32" ht="15.9" x14ac:dyDescent="0.45">
      <c r="A178" s="16">
        <v>44427</v>
      </c>
      <c r="B178" s="17">
        <v>46</v>
      </c>
      <c r="C178" s="17">
        <v>17</v>
      </c>
      <c r="D178" s="17">
        <v>-26</v>
      </c>
      <c r="E178" s="17">
        <v>-13</v>
      </c>
      <c r="F178" s="17">
        <v>-393</v>
      </c>
      <c r="G178" s="17">
        <v>-156</v>
      </c>
      <c r="H178" s="18">
        <f t="shared" si="12"/>
        <v>73.015873015873012</v>
      </c>
      <c r="I178" s="18">
        <v>0.11</v>
      </c>
      <c r="J178" s="18">
        <v>-0.96</v>
      </c>
      <c r="S178" s="37">
        <v>4</v>
      </c>
      <c r="T178" s="38">
        <v>3</v>
      </c>
      <c r="AE178" s="23">
        <f t="shared" si="13"/>
        <v>55.666666666666664</v>
      </c>
      <c r="AF178" s="24">
        <f t="shared" si="14"/>
        <v>-0.1736526946107784</v>
      </c>
    </row>
    <row r="179" spans="1:32" ht="15.9" x14ac:dyDescent="0.45">
      <c r="A179" s="92">
        <v>44428</v>
      </c>
      <c r="B179" s="93">
        <v>46</v>
      </c>
      <c r="C179" s="93">
        <v>18</v>
      </c>
      <c r="D179" s="93">
        <v>-39</v>
      </c>
      <c r="E179" s="93">
        <v>-14</v>
      </c>
      <c r="F179" s="93">
        <v>-576</v>
      </c>
      <c r="G179" s="93">
        <v>-576</v>
      </c>
      <c r="H179" s="94">
        <f t="shared" si="12"/>
        <v>71.875</v>
      </c>
      <c r="I179" s="94">
        <v>0.08</v>
      </c>
      <c r="J179" s="94">
        <v>-0.95</v>
      </c>
      <c r="K179" s="94"/>
      <c r="L179" s="94"/>
      <c r="M179" s="94"/>
      <c r="N179" s="94"/>
      <c r="O179" s="94"/>
      <c r="P179" s="94"/>
      <c r="Q179" s="94"/>
      <c r="R179" s="94"/>
      <c r="S179" s="95">
        <v>5</v>
      </c>
      <c r="T179" s="96">
        <v>3</v>
      </c>
      <c r="U179" s="97"/>
      <c r="V179" s="96"/>
      <c r="W179" s="97"/>
      <c r="X179" s="96"/>
      <c r="Y179" s="96"/>
      <c r="Z179" s="96"/>
      <c r="AA179" s="96"/>
      <c r="AB179" s="96"/>
      <c r="AC179" s="98"/>
      <c r="AD179" s="98"/>
      <c r="AE179" s="99">
        <f t="shared" si="13"/>
        <v>47.333333333333336</v>
      </c>
      <c r="AF179" s="100">
        <f t="shared" si="14"/>
        <v>-2.8169014084507091E-2</v>
      </c>
    </row>
    <row r="180" spans="1:32" ht="15.9" x14ac:dyDescent="0.45">
      <c r="A180" s="16">
        <v>44431</v>
      </c>
      <c r="B180" s="17">
        <v>122</v>
      </c>
      <c r="C180" s="17">
        <v>51</v>
      </c>
      <c r="D180" s="17">
        <v>-9</v>
      </c>
      <c r="E180" s="17">
        <v>-5</v>
      </c>
      <c r="F180" s="17">
        <v>-40</v>
      </c>
      <c r="G180" s="17">
        <v>-30</v>
      </c>
      <c r="H180" s="18">
        <f t="shared" si="12"/>
        <v>70.520231213872833</v>
      </c>
      <c r="I180" s="18">
        <v>6.32</v>
      </c>
      <c r="J180" s="18">
        <v>3.56</v>
      </c>
      <c r="S180" s="37">
        <v>6</v>
      </c>
      <c r="T180" s="38">
        <v>3</v>
      </c>
      <c r="AE180" s="23">
        <f t="shared" si="13"/>
        <v>53.666666666666664</v>
      </c>
      <c r="AF180" s="24">
        <f t="shared" si="14"/>
        <v>1.2732919254658388</v>
      </c>
    </row>
    <row r="181" spans="1:32" ht="15.9" x14ac:dyDescent="0.45">
      <c r="A181" s="16">
        <v>44432</v>
      </c>
      <c r="B181" s="17">
        <v>66</v>
      </c>
      <c r="C181" s="17">
        <v>42</v>
      </c>
      <c r="D181" s="17">
        <v>-7</v>
      </c>
      <c r="E181" s="17">
        <v>-3</v>
      </c>
      <c r="F181" s="17">
        <v>-248</v>
      </c>
      <c r="G181" s="17">
        <v>-82</v>
      </c>
      <c r="H181" s="18">
        <f t="shared" si="12"/>
        <v>61.111111111111114</v>
      </c>
      <c r="I181" s="18">
        <v>2.57</v>
      </c>
      <c r="J181" s="18">
        <v>1.17</v>
      </c>
      <c r="S181" s="37">
        <v>3</v>
      </c>
      <c r="T181" s="38">
        <v>2</v>
      </c>
      <c r="AE181" s="23">
        <f t="shared" si="13"/>
        <v>71.333333333333329</v>
      </c>
      <c r="AF181" s="24">
        <f t="shared" si="14"/>
        <v>-7.4766355140186855E-2</v>
      </c>
    </row>
    <row r="182" spans="1:32" ht="15.9" x14ac:dyDescent="0.45">
      <c r="A182" s="16">
        <v>44433</v>
      </c>
      <c r="B182" s="17">
        <v>81</v>
      </c>
      <c r="C182" s="17">
        <v>29</v>
      </c>
      <c r="D182" s="17">
        <v>-8</v>
      </c>
      <c r="E182" s="17">
        <v>-3</v>
      </c>
      <c r="F182" s="17">
        <v>-249</v>
      </c>
      <c r="G182" s="17">
        <v>-77</v>
      </c>
      <c r="H182" s="18">
        <f t="shared" si="12"/>
        <v>73.636363636363626</v>
      </c>
      <c r="I182" s="18">
        <v>2.14</v>
      </c>
      <c r="J182" s="18">
        <v>-0.16</v>
      </c>
      <c r="S182" s="37">
        <v>4</v>
      </c>
      <c r="T182" s="38">
        <v>3</v>
      </c>
      <c r="AE182" s="23">
        <f t="shared" si="13"/>
        <v>78</v>
      </c>
      <c r="AF182" s="24">
        <f t="shared" si="14"/>
        <v>3.8461538461538464E-2</v>
      </c>
    </row>
    <row r="183" spans="1:32" ht="15.9" x14ac:dyDescent="0.45">
      <c r="A183" s="16">
        <v>44434</v>
      </c>
      <c r="B183" s="17">
        <v>54</v>
      </c>
      <c r="C183" s="17">
        <v>37</v>
      </c>
      <c r="D183" s="17">
        <v>-12</v>
      </c>
      <c r="E183" s="17">
        <v>-6</v>
      </c>
      <c r="F183" s="17">
        <v>-380</v>
      </c>
      <c r="G183" s="17">
        <v>-224</v>
      </c>
      <c r="H183" s="18">
        <f t="shared" si="12"/>
        <v>59.340659340659343</v>
      </c>
      <c r="I183" s="18">
        <v>1.17</v>
      </c>
      <c r="J183" s="18">
        <v>-0.46</v>
      </c>
      <c r="S183" s="37">
        <v>5</v>
      </c>
      <c r="T183" s="38">
        <v>3</v>
      </c>
      <c r="AE183" s="23">
        <f t="shared" si="13"/>
        <v>89.666666666666671</v>
      </c>
      <c r="AF183" s="24">
        <f t="shared" si="14"/>
        <v>-0.39776951672862459</v>
      </c>
    </row>
    <row r="184" spans="1:32" ht="15.9" x14ac:dyDescent="0.45">
      <c r="A184" s="16">
        <v>44435</v>
      </c>
      <c r="B184" s="17">
        <v>73</v>
      </c>
      <c r="C184" s="17">
        <v>26</v>
      </c>
      <c r="D184" s="17">
        <v>-27</v>
      </c>
      <c r="E184" s="17">
        <v>-10</v>
      </c>
      <c r="F184" s="17">
        <v>-430</v>
      </c>
      <c r="G184" s="17">
        <v>-175</v>
      </c>
      <c r="H184" s="18">
        <f t="shared" ref="H184:H247" si="15">B184/(B184+C184)*100</f>
        <v>73.73737373737373</v>
      </c>
      <c r="I184" s="18">
        <v>2.59</v>
      </c>
      <c r="J184" s="18">
        <v>0.36</v>
      </c>
      <c r="S184" s="37">
        <v>2</v>
      </c>
      <c r="T184" s="38">
        <v>1</v>
      </c>
      <c r="AE184" s="23">
        <f t="shared" si="13"/>
        <v>67</v>
      </c>
      <c r="AF184" s="24">
        <f t="shared" si="14"/>
        <v>8.9552238805970144E-2</v>
      </c>
    </row>
    <row r="185" spans="1:32" ht="15.9" x14ac:dyDescent="0.45">
      <c r="A185" s="16">
        <v>44438</v>
      </c>
      <c r="B185" s="17">
        <v>77</v>
      </c>
      <c r="C185" s="17">
        <v>45</v>
      </c>
      <c r="D185" s="17">
        <v>-34</v>
      </c>
      <c r="E185" s="17">
        <v>-17</v>
      </c>
      <c r="F185" s="17">
        <v>-407</v>
      </c>
      <c r="G185" s="17">
        <v>-180</v>
      </c>
      <c r="H185" s="18">
        <f t="shared" si="15"/>
        <v>63.114754098360656</v>
      </c>
      <c r="I185" s="18">
        <v>4.29</v>
      </c>
      <c r="J185" s="18">
        <v>2.59</v>
      </c>
      <c r="S185" s="37">
        <v>3</v>
      </c>
      <c r="T185" s="38">
        <v>2</v>
      </c>
      <c r="AE185" s="23">
        <f t="shared" si="13"/>
        <v>69.333333333333329</v>
      </c>
      <c r="AF185" s="24">
        <f t="shared" si="14"/>
        <v>0.11057692307692316</v>
      </c>
    </row>
    <row r="186" spans="1:32" ht="15.9" x14ac:dyDescent="0.45">
      <c r="A186" s="16">
        <v>44439</v>
      </c>
      <c r="B186" s="17">
        <v>79</v>
      </c>
      <c r="C186" s="17">
        <v>27</v>
      </c>
      <c r="D186" s="17">
        <v>-39</v>
      </c>
      <c r="E186" s="17">
        <v>-21</v>
      </c>
      <c r="F186" s="17">
        <v>-579</v>
      </c>
      <c r="G186" s="17">
        <v>-263</v>
      </c>
      <c r="H186" s="18">
        <f t="shared" si="15"/>
        <v>74.528301886792448</v>
      </c>
      <c r="I186" s="18">
        <v>0.9</v>
      </c>
      <c r="J186" s="18">
        <v>-0.3</v>
      </c>
      <c r="S186" s="37">
        <v>4</v>
      </c>
      <c r="T186" s="38">
        <v>3</v>
      </c>
      <c r="AE186" s="23">
        <f t="shared" si="13"/>
        <v>68</v>
      </c>
      <c r="AF186" s="24">
        <f t="shared" si="14"/>
        <v>0.16176470588235295</v>
      </c>
    </row>
    <row r="187" spans="1:32" ht="15.9" x14ac:dyDescent="0.45">
      <c r="A187" s="16">
        <v>44440</v>
      </c>
      <c r="B187" s="17">
        <v>65</v>
      </c>
      <c r="C187" s="17">
        <v>37</v>
      </c>
      <c r="D187" s="17">
        <v>-96</v>
      </c>
      <c r="E187" s="17">
        <v>-44</v>
      </c>
      <c r="F187" s="17">
        <v>-895</v>
      </c>
      <c r="G187" s="17">
        <v>-469</v>
      </c>
      <c r="H187" s="18">
        <f t="shared" si="15"/>
        <v>63.725490196078425</v>
      </c>
      <c r="I187" s="18">
        <v>0.77</v>
      </c>
      <c r="J187" s="18">
        <v>-0.4</v>
      </c>
      <c r="S187" s="37">
        <v>5</v>
      </c>
      <c r="T187" s="38">
        <v>4</v>
      </c>
      <c r="AE187" s="23">
        <f t="shared" si="13"/>
        <v>76.333333333333329</v>
      </c>
      <c r="AF187" s="24">
        <f t="shared" si="14"/>
        <v>-0.14847161572052398</v>
      </c>
    </row>
    <row r="188" spans="1:32" ht="15.9" x14ac:dyDescent="0.45">
      <c r="A188" s="16">
        <v>44441</v>
      </c>
      <c r="B188" s="17">
        <v>109</v>
      </c>
      <c r="C188" s="17">
        <v>40</v>
      </c>
      <c r="D188" s="17">
        <v>-2</v>
      </c>
      <c r="E188" s="17">
        <v>0</v>
      </c>
      <c r="F188" s="17">
        <v>-195</v>
      </c>
      <c r="G188" s="17">
        <v>-61</v>
      </c>
      <c r="H188" s="18">
        <f t="shared" si="15"/>
        <v>73.154362416107389</v>
      </c>
      <c r="I188" s="18">
        <v>2.78</v>
      </c>
      <c r="J188" s="18">
        <v>0.98</v>
      </c>
      <c r="S188" s="37">
        <v>4</v>
      </c>
      <c r="T188" s="38">
        <v>3</v>
      </c>
      <c r="AE188" s="23">
        <f t="shared" si="13"/>
        <v>73.666666666666671</v>
      </c>
      <c r="AF188" s="24">
        <f t="shared" si="14"/>
        <v>0.47963800904977366</v>
      </c>
    </row>
    <row r="189" spans="1:32" ht="15.9" x14ac:dyDescent="0.45">
      <c r="A189" s="16">
        <v>44442</v>
      </c>
      <c r="B189" s="17">
        <v>52</v>
      </c>
      <c r="C189" s="17">
        <v>61</v>
      </c>
      <c r="D189" s="17">
        <v>-48</v>
      </c>
      <c r="E189" s="17">
        <v>-20</v>
      </c>
      <c r="F189" s="17">
        <v>-468</v>
      </c>
      <c r="G189" s="17">
        <v>-237</v>
      </c>
      <c r="H189" s="18">
        <f t="shared" si="15"/>
        <v>46.017699115044245</v>
      </c>
      <c r="I189" s="18">
        <v>1.34</v>
      </c>
      <c r="J189" s="18">
        <v>0.28000000000000003</v>
      </c>
      <c r="S189" s="37">
        <v>4</v>
      </c>
      <c r="T189" s="38">
        <v>2</v>
      </c>
      <c r="AE189" s="23">
        <f t="shared" si="13"/>
        <v>84.333333333333329</v>
      </c>
      <c r="AF189" s="24">
        <f t="shared" si="14"/>
        <v>-0.38339920948616596</v>
      </c>
    </row>
    <row r="190" spans="1:32" ht="15.9" x14ac:dyDescent="0.45">
      <c r="A190" s="16">
        <v>44445</v>
      </c>
      <c r="B190" s="17">
        <v>79</v>
      </c>
      <c r="C190" s="17">
        <v>18</v>
      </c>
      <c r="D190" s="17">
        <v>-38</v>
      </c>
      <c r="E190" s="17">
        <v>-11</v>
      </c>
      <c r="F190" s="17">
        <v>-340</v>
      </c>
      <c r="G190" s="17">
        <v>-76</v>
      </c>
      <c r="H190" s="18">
        <f t="shared" si="15"/>
        <v>81.44329896907216</v>
      </c>
      <c r="I190" s="18">
        <v>3.03</v>
      </c>
      <c r="J190" s="18">
        <v>-1.48</v>
      </c>
      <c r="S190" s="37">
        <v>3</v>
      </c>
      <c r="T190" s="38">
        <v>2</v>
      </c>
      <c r="AE190" s="23">
        <f t="shared" si="13"/>
        <v>75.333333333333329</v>
      </c>
      <c r="AF190" s="24">
        <f t="shared" si="14"/>
        <v>4.8672566371681485E-2</v>
      </c>
    </row>
    <row r="191" spans="1:32" ht="15.9" x14ac:dyDescent="0.45">
      <c r="A191" s="16">
        <v>44446</v>
      </c>
      <c r="B191" s="17">
        <v>95</v>
      </c>
      <c r="C191" s="17">
        <v>32</v>
      </c>
      <c r="D191" s="17">
        <v>-5</v>
      </c>
      <c r="E191" s="17">
        <v>0</v>
      </c>
      <c r="F191" s="17">
        <v>-98</v>
      </c>
      <c r="G191" s="17">
        <v>-22</v>
      </c>
      <c r="H191" s="18">
        <f t="shared" si="15"/>
        <v>74.803149606299215</v>
      </c>
      <c r="I191" s="18">
        <v>2.29</v>
      </c>
      <c r="J191" s="18">
        <v>1.37</v>
      </c>
      <c r="S191" s="37">
        <v>4</v>
      </c>
      <c r="T191" s="38">
        <v>3</v>
      </c>
      <c r="AE191" s="23">
        <f t="shared" si="13"/>
        <v>80</v>
      </c>
      <c r="AF191" s="24">
        <f t="shared" si="14"/>
        <v>0.1875</v>
      </c>
    </row>
    <row r="192" spans="1:32" ht="15.9" x14ac:dyDescent="0.45">
      <c r="A192" s="16">
        <v>44447</v>
      </c>
      <c r="B192" s="17">
        <v>89</v>
      </c>
      <c r="C192" s="17">
        <v>29</v>
      </c>
      <c r="D192" s="17">
        <v>-2</v>
      </c>
      <c r="E192" s="17">
        <v>0</v>
      </c>
      <c r="F192" s="17">
        <v>-197</v>
      </c>
      <c r="G192" s="17">
        <v>-106</v>
      </c>
      <c r="H192" s="18">
        <f t="shared" si="15"/>
        <v>75.423728813559322</v>
      </c>
      <c r="I192" s="18">
        <v>3.2</v>
      </c>
      <c r="J192" s="18">
        <v>1.4</v>
      </c>
      <c r="S192" s="37">
        <v>5</v>
      </c>
      <c r="T192" s="38">
        <v>4</v>
      </c>
      <c r="AE192" s="23">
        <f>(B189+B190+B191)/3</f>
        <v>75.333333333333329</v>
      </c>
      <c r="AF192" s="24">
        <f t="shared" si="14"/>
        <v>0.18141592920353991</v>
      </c>
    </row>
    <row r="193" spans="1:32" ht="15.9" x14ac:dyDescent="0.45">
      <c r="A193" s="16">
        <v>44448</v>
      </c>
      <c r="B193" s="17">
        <v>71</v>
      </c>
      <c r="C193" s="17">
        <v>19</v>
      </c>
      <c r="D193" s="17">
        <v>-5</v>
      </c>
      <c r="E193" s="17">
        <v>-1</v>
      </c>
      <c r="F193" s="17">
        <v>-313</v>
      </c>
      <c r="G193" s="17">
        <v>-139</v>
      </c>
      <c r="H193" s="18">
        <f t="shared" si="15"/>
        <v>78.888888888888886</v>
      </c>
      <c r="I193" s="18">
        <v>1.05</v>
      </c>
      <c r="J193" s="18">
        <v>0.01</v>
      </c>
      <c r="S193" s="37">
        <v>5</v>
      </c>
      <c r="T193" s="38">
        <v>4</v>
      </c>
      <c r="AE193" s="23">
        <f t="shared" si="13"/>
        <v>87.666666666666671</v>
      </c>
      <c r="AF193" s="24">
        <f t="shared" si="14"/>
        <v>-0.19011406844106468</v>
      </c>
    </row>
    <row r="194" spans="1:32" ht="15.9" x14ac:dyDescent="0.45">
      <c r="A194" s="16">
        <v>44449</v>
      </c>
      <c r="B194" s="17">
        <v>53</v>
      </c>
      <c r="C194" s="17">
        <v>34</v>
      </c>
      <c r="D194" s="17">
        <v>-3</v>
      </c>
      <c r="E194" s="17">
        <v>-2</v>
      </c>
      <c r="F194" s="17">
        <v>-366</v>
      </c>
      <c r="G194" s="17">
        <v>-130</v>
      </c>
      <c r="H194" s="18">
        <f t="shared" si="15"/>
        <v>60.919540229885058</v>
      </c>
      <c r="I194" s="18">
        <v>0.21</v>
      </c>
      <c r="J194" s="18">
        <v>-1.1299999999999999</v>
      </c>
      <c r="S194" s="37">
        <v>6</v>
      </c>
      <c r="T194" s="38">
        <v>4</v>
      </c>
      <c r="AE194" s="23">
        <f t="shared" si="13"/>
        <v>85</v>
      </c>
      <c r="AF194" s="24">
        <f t="shared" si="14"/>
        <v>-0.37647058823529411</v>
      </c>
    </row>
    <row r="195" spans="1:32" ht="15.9" x14ac:dyDescent="0.45">
      <c r="A195" s="16">
        <v>44452</v>
      </c>
      <c r="B195" s="17">
        <v>85</v>
      </c>
      <c r="C195" s="17">
        <v>28</v>
      </c>
      <c r="D195" s="17">
        <v>-13</v>
      </c>
      <c r="E195" s="17">
        <v>-8</v>
      </c>
      <c r="F195" s="17">
        <v>-429</v>
      </c>
      <c r="G195" s="17">
        <v>-147</v>
      </c>
      <c r="H195" s="18">
        <f t="shared" si="15"/>
        <v>75.221238938053091</v>
      </c>
      <c r="I195" s="18">
        <v>3.38</v>
      </c>
      <c r="J195" s="18">
        <v>1.08</v>
      </c>
      <c r="S195" s="37">
        <v>6</v>
      </c>
      <c r="T195" s="38">
        <v>5</v>
      </c>
      <c r="AE195" s="23">
        <f t="shared" si="13"/>
        <v>71</v>
      </c>
      <c r="AF195" s="24">
        <f t="shared" si="14"/>
        <v>0.19718309859154928</v>
      </c>
    </row>
    <row r="196" spans="1:32" ht="15.9" x14ac:dyDescent="0.45">
      <c r="A196" s="16">
        <v>44453</v>
      </c>
      <c r="B196" s="17">
        <v>63</v>
      </c>
      <c r="C196" s="17">
        <v>36</v>
      </c>
      <c r="D196" s="17">
        <v>-13</v>
      </c>
      <c r="E196" s="17">
        <v>-6</v>
      </c>
      <c r="F196" s="17">
        <v>-526</v>
      </c>
      <c r="G196" s="17">
        <v>-200</v>
      </c>
      <c r="H196" s="18">
        <f t="shared" si="15"/>
        <v>63.636363636363633</v>
      </c>
      <c r="I196" s="18">
        <v>1.98</v>
      </c>
      <c r="J196" s="18">
        <v>0.19</v>
      </c>
      <c r="S196" s="37">
        <v>7</v>
      </c>
      <c r="T196" s="38">
        <v>5</v>
      </c>
      <c r="AE196" s="23">
        <f t="shared" si="13"/>
        <v>69.666666666666671</v>
      </c>
      <c r="AF196" s="24">
        <f t="shared" si="14"/>
        <v>-9.5693779904306275E-2</v>
      </c>
    </row>
    <row r="197" spans="1:32" ht="15.9" x14ac:dyDescent="0.45">
      <c r="A197" s="16">
        <v>44454</v>
      </c>
      <c r="B197" s="17">
        <v>90</v>
      </c>
      <c r="C197" s="17">
        <v>19</v>
      </c>
      <c r="D197" s="17">
        <v>-6</v>
      </c>
      <c r="E197" s="17">
        <v>-1</v>
      </c>
      <c r="F197" s="17">
        <v>-171</v>
      </c>
      <c r="G197" s="17">
        <v>-77</v>
      </c>
      <c r="H197" s="18">
        <f t="shared" si="15"/>
        <v>82.568807339449549</v>
      </c>
      <c r="I197" s="18">
        <v>0.54</v>
      </c>
      <c r="J197" s="18">
        <v>-0.61</v>
      </c>
      <c r="S197" s="37">
        <v>8</v>
      </c>
      <c r="T197" s="38">
        <v>4</v>
      </c>
      <c r="AE197" s="23">
        <f t="shared" si="13"/>
        <v>67</v>
      </c>
      <c r="AF197" s="24">
        <f t="shared" si="14"/>
        <v>0.34328358208955223</v>
      </c>
    </row>
    <row r="198" spans="1:32" ht="15.9" x14ac:dyDescent="0.45">
      <c r="A198" s="92">
        <v>44455</v>
      </c>
      <c r="B198" s="93">
        <v>46</v>
      </c>
      <c r="C198" s="93">
        <v>50</v>
      </c>
      <c r="D198" s="93">
        <v>-53</v>
      </c>
      <c r="E198" s="93">
        <v>29</v>
      </c>
      <c r="F198" s="93">
        <v>-476</v>
      </c>
      <c r="G198" s="93">
        <v>-439</v>
      </c>
      <c r="H198" s="94">
        <f t="shared" si="15"/>
        <v>47.916666666666671</v>
      </c>
      <c r="I198" s="94">
        <v>-0.06</v>
      </c>
      <c r="J198" s="94">
        <v>-1.07</v>
      </c>
      <c r="K198" s="94"/>
      <c r="L198" s="94"/>
      <c r="M198" s="94"/>
      <c r="N198" s="94"/>
      <c r="O198" s="94"/>
      <c r="P198" s="94"/>
      <c r="Q198" s="94"/>
      <c r="R198" s="94"/>
      <c r="S198" s="95">
        <v>9</v>
      </c>
      <c r="T198" s="96">
        <v>2</v>
      </c>
      <c r="U198" s="97"/>
      <c r="V198" s="96"/>
      <c r="W198" s="97"/>
      <c r="X198" s="96"/>
      <c r="Y198" s="96"/>
      <c r="Z198" s="96"/>
      <c r="AA198" s="96"/>
      <c r="AB198" s="96"/>
      <c r="AC198" s="98"/>
      <c r="AD198" s="98"/>
      <c r="AE198" s="99">
        <f t="shared" si="13"/>
        <v>79.333333333333329</v>
      </c>
      <c r="AF198" s="100">
        <f t="shared" si="14"/>
        <v>-0.42016806722689071</v>
      </c>
    </row>
    <row r="199" spans="1:32" ht="15.9" x14ac:dyDescent="0.45">
      <c r="A199" s="92">
        <v>44456</v>
      </c>
      <c r="B199" s="93">
        <v>47</v>
      </c>
      <c r="C199" s="93">
        <v>30</v>
      </c>
      <c r="D199" s="93">
        <v>-45</v>
      </c>
      <c r="E199" s="93">
        <v>-11</v>
      </c>
      <c r="F199" s="93">
        <v>-560</v>
      </c>
      <c r="G199" s="93">
        <v>-209</v>
      </c>
      <c r="H199" s="94">
        <f t="shared" si="15"/>
        <v>61.038961038961034</v>
      </c>
      <c r="I199" s="94">
        <v>0.46</v>
      </c>
      <c r="J199" s="94">
        <v>-2.87</v>
      </c>
      <c r="K199" s="94"/>
      <c r="L199" s="94"/>
      <c r="M199" s="94"/>
      <c r="N199" s="94"/>
      <c r="O199" s="94"/>
      <c r="P199" s="94"/>
      <c r="Q199" s="94"/>
      <c r="R199" s="94"/>
      <c r="S199" s="95">
        <v>10</v>
      </c>
      <c r="T199" s="96">
        <v>3</v>
      </c>
      <c r="U199" s="97"/>
      <c r="V199" s="96"/>
      <c r="W199" s="97"/>
      <c r="X199" s="96"/>
      <c r="Y199" s="96"/>
      <c r="Z199" s="96"/>
      <c r="AA199" s="96"/>
      <c r="AB199" s="96"/>
      <c r="AC199" s="98"/>
      <c r="AD199" s="98"/>
      <c r="AE199" s="99">
        <f t="shared" si="13"/>
        <v>66.333333333333329</v>
      </c>
      <c r="AF199" s="100">
        <f t="shared" si="14"/>
        <v>-0.29145728643216073</v>
      </c>
    </row>
    <row r="200" spans="1:32" ht="15.9" x14ac:dyDescent="0.45">
      <c r="A200" s="16">
        <v>44461</v>
      </c>
      <c r="B200" s="17">
        <v>96</v>
      </c>
      <c r="C200" s="17">
        <v>30</v>
      </c>
      <c r="D200" s="17">
        <v>-11</v>
      </c>
      <c r="E200" s="17">
        <v>-1</v>
      </c>
      <c r="F200" s="17">
        <v>-297</v>
      </c>
      <c r="G200" s="17">
        <v>-115</v>
      </c>
      <c r="H200" s="18">
        <f t="shared" si="15"/>
        <v>76.19047619047619</v>
      </c>
      <c r="I200" s="18">
        <v>5.21</v>
      </c>
      <c r="J200" s="18">
        <v>2.66</v>
      </c>
      <c r="S200" s="37">
        <v>11</v>
      </c>
      <c r="T200" s="38">
        <v>4</v>
      </c>
      <c r="AE200" s="23">
        <f t="shared" si="13"/>
        <v>61</v>
      </c>
      <c r="AF200" s="24">
        <f t="shared" si="14"/>
        <v>0.57377049180327866</v>
      </c>
    </row>
    <row r="201" spans="1:32" ht="15.9" x14ac:dyDescent="0.45">
      <c r="A201" s="16">
        <v>44462</v>
      </c>
      <c r="B201" s="17">
        <v>69</v>
      </c>
      <c r="C201" s="17">
        <v>48</v>
      </c>
      <c r="D201" s="17">
        <v>-27</v>
      </c>
      <c r="E201" s="17">
        <v>-20</v>
      </c>
      <c r="F201" s="17">
        <v>-277</v>
      </c>
      <c r="G201" s="17">
        <v>-152</v>
      </c>
      <c r="H201" s="18">
        <f t="shared" si="15"/>
        <v>58.974358974358978</v>
      </c>
      <c r="I201" s="18">
        <v>2.93</v>
      </c>
      <c r="J201" s="18">
        <v>1.51</v>
      </c>
      <c r="S201" s="37">
        <v>12</v>
      </c>
      <c r="T201" s="38">
        <v>3</v>
      </c>
      <c r="AE201" s="23">
        <f t="shared" si="13"/>
        <v>63</v>
      </c>
      <c r="AF201" s="24">
        <f t="shared" si="14"/>
        <v>9.5238095238095233E-2</v>
      </c>
    </row>
    <row r="202" spans="1:32" ht="15.9" x14ac:dyDescent="0.45">
      <c r="A202" s="16">
        <v>44463</v>
      </c>
      <c r="B202" s="17">
        <v>41</v>
      </c>
      <c r="C202" s="17">
        <v>23</v>
      </c>
      <c r="D202" s="17">
        <v>-80</v>
      </c>
      <c r="E202" s="17">
        <v>-52</v>
      </c>
      <c r="F202" s="17">
        <v>-703</v>
      </c>
      <c r="G202" s="17">
        <v>-476</v>
      </c>
      <c r="H202" s="18">
        <f t="shared" si="15"/>
        <v>64.0625</v>
      </c>
      <c r="I202" s="18">
        <v>-0.99</v>
      </c>
      <c r="J202" s="18">
        <v>-4.12</v>
      </c>
      <c r="S202" s="37">
        <v>13</v>
      </c>
      <c r="T202" s="38">
        <v>4</v>
      </c>
      <c r="AE202" s="23">
        <f t="shared" si="13"/>
        <v>70.666666666666671</v>
      </c>
      <c r="AF202" s="24">
        <f t="shared" si="14"/>
        <v>-0.419811320754717</v>
      </c>
    </row>
    <row r="203" spans="1:32" ht="15.9" x14ac:dyDescent="0.45">
      <c r="A203" s="92">
        <v>44466</v>
      </c>
      <c r="B203" s="93">
        <v>40</v>
      </c>
      <c r="C203" s="93">
        <v>20</v>
      </c>
      <c r="D203" s="93">
        <v>-256</v>
      </c>
      <c r="E203" s="93">
        <f>D203+109</f>
        <v>-147</v>
      </c>
      <c r="F203" s="93">
        <v>-1489</v>
      </c>
      <c r="G203" s="93">
        <v>-1043</v>
      </c>
      <c r="H203" s="94">
        <f t="shared" si="15"/>
        <v>66.666666666666657</v>
      </c>
      <c r="I203" s="94">
        <v>-0.43</v>
      </c>
      <c r="J203" s="94">
        <v>-3.22</v>
      </c>
      <c r="S203" s="95">
        <v>2</v>
      </c>
      <c r="T203" s="95">
        <v>1</v>
      </c>
      <c r="AE203" s="99">
        <f t="shared" ref="AE203:AE210" si="16">(B200+B201+B202)/3</f>
        <v>68.666666666666671</v>
      </c>
      <c r="AF203" s="100">
        <f t="shared" ref="AF203:AF220" si="17">(B203-AE203)/AE203</f>
        <v>-0.41747572815533984</v>
      </c>
    </row>
    <row r="204" spans="1:32" ht="15.9" x14ac:dyDescent="0.45">
      <c r="A204" s="16">
        <v>44467</v>
      </c>
      <c r="B204" s="17">
        <v>71</v>
      </c>
      <c r="C204" s="17">
        <v>20</v>
      </c>
      <c r="D204" s="17">
        <v>-53</v>
      </c>
      <c r="E204" s="17">
        <v>-13</v>
      </c>
      <c r="F204" s="17">
        <v>-297</v>
      </c>
      <c r="G204" s="17">
        <v>-142</v>
      </c>
      <c r="H204" s="18">
        <f t="shared" si="15"/>
        <v>78.021978021978029</v>
      </c>
      <c r="I204" s="18">
        <v>-7.0000000000000007E-2</v>
      </c>
      <c r="J204" s="18">
        <v>-1.71</v>
      </c>
      <c r="S204" s="37">
        <v>3</v>
      </c>
      <c r="T204" s="38">
        <v>2</v>
      </c>
      <c r="AE204" s="23">
        <f t="shared" si="16"/>
        <v>50</v>
      </c>
      <c r="AF204" s="24">
        <f t="shared" si="17"/>
        <v>0.42</v>
      </c>
    </row>
    <row r="205" spans="1:32" ht="15.9" x14ac:dyDescent="0.45">
      <c r="A205" s="92">
        <v>44468</v>
      </c>
      <c r="B205" s="93">
        <v>18</v>
      </c>
      <c r="C205" s="93">
        <v>5</v>
      </c>
      <c r="D205" s="93">
        <v>-92</v>
      </c>
      <c r="E205" s="93">
        <f>D205+32</f>
        <v>-60</v>
      </c>
      <c r="F205" s="93">
        <v>-950</v>
      </c>
      <c r="G205" s="93">
        <v>-852</v>
      </c>
      <c r="H205" s="94">
        <f t="shared" si="15"/>
        <v>78.260869565217391</v>
      </c>
      <c r="I205" s="94">
        <v>-3.73</v>
      </c>
      <c r="J205" s="94">
        <v>-3.96</v>
      </c>
      <c r="S205" s="95">
        <v>4</v>
      </c>
      <c r="T205" s="95">
        <v>2</v>
      </c>
      <c r="AE205" s="99">
        <f t="shared" si="16"/>
        <v>50.666666666666664</v>
      </c>
      <c r="AF205" s="100">
        <f t="shared" si="17"/>
        <v>-0.64473684210526316</v>
      </c>
    </row>
    <row r="206" spans="1:32" ht="15.9" x14ac:dyDescent="0.45">
      <c r="A206" s="16">
        <v>44469</v>
      </c>
      <c r="B206" s="17">
        <v>73</v>
      </c>
      <c r="C206" s="17">
        <v>21</v>
      </c>
      <c r="D206" s="17">
        <v>-13</v>
      </c>
      <c r="E206" s="17">
        <v>0</v>
      </c>
      <c r="F206" s="17">
        <v>-81</v>
      </c>
      <c r="G206" s="17">
        <v>-15</v>
      </c>
      <c r="H206" s="18">
        <f t="shared" si="15"/>
        <v>77.659574468085097</v>
      </c>
      <c r="I206" s="18">
        <v>0.96</v>
      </c>
      <c r="J206" s="18">
        <v>7.0000000000000007E-2</v>
      </c>
      <c r="S206" s="37">
        <v>5</v>
      </c>
      <c r="T206" s="38">
        <v>2</v>
      </c>
      <c r="AE206" s="23">
        <f t="shared" si="16"/>
        <v>43</v>
      </c>
      <c r="AF206" s="24">
        <f t="shared" si="17"/>
        <v>0.69767441860465118</v>
      </c>
    </row>
    <row r="207" spans="1:32" ht="15.9" x14ac:dyDescent="0.45">
      <c r="A207" s="16">
        <v>44477</v>
      </c>
      <c r="B207" s="17">
        <v>64</v>
      </c>
      <c r="C207" s="17">
        <v>38</v>
      </c>
      <c r="D207" s="17">
        <v>-35</v>
      </c>
      <c r="E207" s="17">
        <v>-15</v>
      </c>
      <c r="F207" s="17">
        <v>-274</v>
      </c>
      <c r="G207" s="17">
        <v>-274</v>
      </c>
      <c r="H207" s="18">
        <f t="shared" si="15"/>
        <v>62.745098039215684</v>
      </c>
      <c r="I207" s="18">
        <v>0.82</v>
      </c>
      <c r="J207" s="18">
        <v>-0.62</v>
      </c>
      <c r="S207" s="37">
        <v>3</v>
      </c>
      <c r="T207" s="38">
        <v>2</v>
      </c>
      <c r="AE207" s="23">
        <f t="shared" si="16"/>
        <v>54</v>
      </c>
      <c r="AF207" s="24">
        <f t="shared" si="17"/>
        <v>0.18518518518518517</v>
      </c>
    </row>
    <row r="208" spans="1:32" ht="15.9" x14ac:dyDescent="0.45">
      <c r="A208" s="16">
        <v>44480</v>
      </c>
      <c r="B208" s="17">
        <v>46</v>
      </c>
      <c r="C208" s="17">
        <v>18</v>
      </c>
      <c r="D208" s="17">
        <v>-57</v>
      </c>
      <c r="E208" s="17">
        <v>-28</v>
      </c>
      <c r="F208" s="17">
        <v>-374</v>
      </c>
      <c r="G208" s="17">
        <v>-211</v>
      </c>
      <c r="H208" s="18">
        <f t="shared" si="15"/>
        <v>71.875</v>
      </c>
      <c r="I208" s="18">
        <v>2.59</v>
      </c>
      <c r="J208" s="18">
        <v>-1.2</v>
      </c>
      <c r="S208" s="37">
        <v>3</v>
      </c>
      <c r="T208" s="38">
        <v>2</v>
      </c>
      <c r="AE208" s="23">
        <f t="shared" si="16"/>
        <v>51.666666666666664</v>
      </c>
      <c r="AF208" s="24">
        <f t="shared" si="17"/>
        <v>-0.10967741935483867</v>
      </c>
    </row>
    <row r="209" spans="1:32" ht="15.9" x14ac:dyDescent="0.45">
      <c r="A209" s="16">
        <v>44481</v>
      </c>
      <c r="B209" s="17">
        <v>35</v>
      </c>
      <c r="C209" s="17">
        <v>12</v>
      </c>
      <c r="D209" s="17">
        <v>-47</v>
      </c>
      <c r="E209" s="17">
        <v>-11</v>
      </c>
      <c r="F209" s="17">
        <v>-892</v>
      </c>
      <c r="G209" s="17">
        <v>-295</v>
      </c>
      <c r="H209" s="18">
        <f t="shared" si="15"/>
        <v>74.468085106382972</v>
      </c>
      <c r="I209" s="18">
        <v>1.59</v>
      </c>
      <c r="J209" s="18">
        <v>-1.27</v>
      </c>
      <c r="S209" s="37">
        <v>4</v>
      </c>
      <c r="T209" s="38">
        <v>3</v>
      </c>
      <c r="AE209" s="23">
        <f t="shared" si="16"/>
        <v>61</v>
      </c>
      <c r="AF209" s="24">
        <f t="shared" si="17"/>
        <v>-0.42622950819672129</v>
      </c>
    </row>
    <row r="210" spans="1:32" ht="15.9" x14ac:dyDescent="0.45">
      <c r="A210" s="16">
        <v>44482</v>
      </c>
      <c r="B210" s="17">
        <v>57</v>
      </c>
      <c r="C210" s="17">
        <v>9</v>
      </c>
      <c r="D210" s="17">
        <v>-53</v>
      </c>
      <c r="E210" s="17">
        <v>-27</v>
      </c>
      <c r="F210" s="17">
        <v>-353</v>
      </c>
      <c r="G210" s="17">
        <v>-285</v>
      </c>
      <c r="H210" s="18">
        <f t="shared" si="15"/>
        <v>86.36363636363636</v>
      </c>
      <c r="I210" s="18">
        <v>0.82</v>
      </c>
      <c r="J210" s="18">
        <v>-0.93</v>
      </c>
      <c r="S210" s="37">
        <v>4</v>
      </c>
      <c r="T210" s="38">
        <v>2</v>
      </c>
      <c r="AE210" s="23">
        <f t="shared" si="16"/>
        <v>48.333333333333336</v>
      </c>
      <c r="AF210" s="24">
        <f t="shared" si="17"/>
        <v>0.17931034482758615</v>
      </c>
    </row>
    <row r="211" spans="1:32" ht="15.9" x14ac:dyDescent="0.45">
      <c r="A211" s="16">
        <v>44483</v>
      </c>
      <c r="B211" s="17">
        <v>74</v>
      </c>
      <c r="C211" s="17">
        <v>17</v>
      </c>
      <c r="D211" s="17">
        <v>-16</v>
      </c>
      <c r="E211" s="17">
        <v>-5</v>
      </c>
      <c r="F211" s="17">
        <v>-222</v>
      </c>
      <c r="G211" s="17">
        <v>-63</v>
      </c>
      <c r="H211" s="18">
        <f t="shared" si="15"/>
        <v>81.318681318681314</v>
      </c>
      <c r="I211" s="18">
        <v>2.29</v>
      </c>
      <c r="J211" s="18">
        <v>0.79</v>
      </c>
      <c r="S211" s="37">
        <v>2</v>
      </c>
      <c r="T211" s="38">
        <v>1</v>
      </c>
      <c r="AE211" s="23">
        <f t="shared" ref="AE211:AE220" si="18">(B208+B209+B210)/3</f>
        <v>46</v>
      </c>
      <c r="AF211" s="24">
        <f t="shared" si="17"/>
        <v>0.60869565217391308</v>
      </c>
    </row>
    <row r="212" spans="1:32" ht="15.9" x14ac:dyDescent="0.45">
      <c r="A212" s="16">
        <v>44484</v>
      </c>
      <c r="B212" s="17">
        <v>29</v>
      </c>
      <c r="C212" s="17">
        <v>30</v>
      </c>
      <c r="D212" s="17">
        <v>-39</v>
      </c>
      <c r="E212" s="17">
        <v>-26</v>
      </c>
      <c r="F212" s="17">
        <v>-388</v>
      </c>
      <c r="G212" s="17">
        <v>-190</v>
      </c>
      <c r="H212" s="18">
        <f t="shared" si="15"/>
        <v>49.152542372881356</v>
      </c>
      <c r="I212" s="18">
        <v>-0.8</v>
      </c>
      <c r="J212" s="18">
        <v>-1.5</v>
      </c>
      <c r="S212" s="37">
        <v>3</v>
      </c>
      <c r="T212" s="38">
        <v>1</v>
      </c>
      <c r="AE212" s="23">
        <f t="shared" si="18"/>
        <v>55.333333333333336</v>
      </c>
      <c r="AF212" s="24">
        <f t="shared" si="17"/>
        <v>-0.47590361445783136</v>
      </c>
    </row>
    <row r="213" spans="1:32" ht="15.9" x14ac:dyDescent="0.45">
      <c r="A213" s="16">
        <v>44487</v>
      </c>
      <c r="B213" s="17">
        <v>75</v>
      </c>
      <c r="C213" s="17">
        <v>19</v>
      </c>
      <c r="D213" s="17">
        <v>-25</v>
      </c>
      <c r="E213" s="17">
        <v>-10</v>
      </c>
      <c r="F213" s="17">
        <v>-212</v>
      </c>
      <c r="G213" s="17">
        <v>-96</v>
      </c>
      <c r="H213" s="18">
        <f t="shared" si="15"/>
        <v>79.787234042553195</v>
      </c>
      <c r="I213" s="18">
        <v>4.05</v>
      </c>
      <c r="J213" s="18">
        <v>-1</v>
      </c>
      <c r="S213" s="37">
        <v>4</v>
      </c>
      <c r="T213" s="38">
        <v>2</v>
      </c>
      <c r="AE213" s="23">
        <f t="shared" si="18"/>
        <v>53.333333333333336</v>
      </c>
      <c r="AF213" s="24">
        <f t="shared" si="17"/>
        <v>0.40624999999999994</v>
      </c>
    </row>
    <row r="214" spans="1:32" ht="14.6" x14ac:dyDescent="0.4">
      <c r="A214" s="16">
        <v>44488</v>
      </c>
      <c r="B214" s="17">
        <v>66</v>
      </c>
      <c r="C214" s="17">
        <v>22</v>
      </c>
      <c r="D214" s="17">
        <v>-5</v>
      </c>
      <c r="E214" s="17">
        <v>-4</v>
      </c>
      <c r="F214" s="17">
        <v>-95</v>
      </c>
      <c r="G214" s="17">
        <v>-30</v>
      </c>
      <c r="H214" s="18">
        <f t="shared" si="15"/>
        <v>75</v>
      </c>
      <c r="I214" s="18">
        <v>2.98</v>
      </c>
      <c r="J214" s="18">
        <v>1.77</v>
      </c>
      <c r="S214" s="38">
        <v>2</v>
      </c>
      <c r="T214" s="38">
        <v>1</v>
      </c>
      <c r="AE214" s="23">
        <f t="shared" si="18"/>
        <v>59.333333333333336</v>
      </c>
      <c r="AF214" s="24">
        <f t="shared" si="17"/>
        <v>0.11235955056179771</v>
      </c>
    </row>
    <row r="215" spans="1:32" x14ac:dyDescent="0.4">
      <c r="A215" s="16">
        <v>44489</v>
      </c>
      <c r="B215" s="17">
        <v>48</v>
      </c>
      <c r="C215" s="17">
        <v>22</v>
      </c>
      <c r="D215" s="17">
        <v>-31</v>
      </c>
      <c r="E215" s="17">
        <v>-13</v>
      </c>
      <c r="F215" s="17">
        <v>-161</v>
      </c>
      <c r="G215" s="17">
        <v>-78</v>
      </c>
      <c r="H215" s="18">
        <f t="shared" si="15"/>
        <v>68.571428571428569</v>
      </c>
      <c r="I215" s="18">
        <v>0.62</v>
      </c>
      <c r="J215" s="18">
        <v>-1.31</v>
      </c>
      <c r="S215" s="19">
        <v>3</v>
      </c>
      <c r="T215" s="38">
        <v>2</v>
      </c>
      <c r="AE215" s="23">
        <f t="shared" si="18"/>
        <v>56.666666666666664</v>
      </c>
      <c r="AF215" s="24">
        <f t="shared" si="17"/>
        <v>-0.15294117647058819</v>
      </c>
    </row>
    <row r="216" spans="1:32" x14ac:dyDescent="0.4">
      <c r="A216" s="16">
        <v>44490</v>
      </c>
      <c r="B216" s="17">
        <v>40</v>
      </c>
      <c r="C216" s="17">
        <v>23</v>
      </c>
      <c r="D216" s="17">
        <v>-4</v>
      </c>
      <c r="E216" s="17">
        <v>-2</v>
      </c>
      <c r="F216" s="17">
        <v>-129</v>
      </c>
      <c r="G216" s="17">
        <v>-76</v>
      </c>
      <c r="H216" s="18">
        <f t="shared" si="15"/>
        <v>63.492063492063487</v>
      </c>
      <c r="I216" s="18">
        <v>1.91</v>
      </c>
      <c r="J216" s="18">
        <v>-0.28999999999999998</v>
      </c>
      <c r="S216" s="19">
        <v>4</v>
      </c>
      <c r="T216" s="38">
        <v>2</v>
      </c>
      <c r="AE216" s="23">
        <f t="shared" si="18"/>
        <v>63</v>
      </c>
      <c r="AF216" s="24">
        <f t="shared" si="17"/>
        <v>-0.36507936507936506</v>
      </c>
    </row>
    <row r="217" spans="1:32" x14ac:dyDescent="0.4">
      <c r="A217" s="16">
        <v>44491</v>
      </c>
      <c r="B217" s="17">
        <v>39</v>
      </c>
      <c r="C217" s="17">
        <v>20</v>
      </c>
      <c r="D217" s="17">
        <v>-16</v>
      </c>
      <c r="E217" s="17">
        <v>-8</v>
      </c>
      <c r="F217" s="17">
        <v>-281</v>
      </c>
      <c r="G217" s="17">
        <v>-247</v>
      </c>
      <c r="H217" s="18">
        <f t="shared" si="15"/>
        <v>66.101694915254242</v>
      </c>
      <c r="I217" s="18">
        <v>0.23</v>
      </c>
      <c r="J217" s="18">
        <v>-2.4700000000000002</v>
      </c>
      <c r="S217" s="19">
        <v>2</v>
      </c>
      <c r="T217" s="38">
        <v>1</v>
      </c>
      <c r="AE217" s="23">
        <f t="shared" si="18"/>
        <v>51.333333333333336</v>
      </c>
      <c r="AF217" s="24">
        <f t="shared" si="17"/>
        <v>-0.24025974025974028</v>
      </c>
    </row>
    <row r="218" spans="1:32" x14ac:dyDescent="0.4">
      <c r="A218" s="16">
        <v>44494</v>
      </c>
      <c r="B218" s="17">
        <v>64</v>
      </c>
      <c r="C218" s="17">
        <v>30</v>
      </c>
      <c r="D218" s="17">
        <v>-12</v>
      </c>
      <c r="E218" s="17">
        <v>-2</v>
      </c>
      <c r="F218" s="17">
        <v>-154</v>
      </c>
      <c r="G218" s="17">
        <v>-56</v>
      </c>
      <c r="H218" s="18">
        <f t="shared" si="15"/>
        <v>68.085106382978722</v>
      </c>
      <c r="I218" s="18">
        <v>3.22</v>
      </c>
      <c r="J218" s="18">
        <v>0.65349999999999997</v>
      </c>
      <c r="S218" s="19">
        <v>3</v>
      </c>
      <c r="T218" s="38">
        <v>2</v>
      </c>
      <c r="AE218" s="23">
        <f t="shared" si="18"/>
        <v>42.333333333333336</v>
      </c>
      <c r="AF218" s="24">
        <f t="shared" si="17"/>
        <v>0.51181102362204711</v>
      </c>
    </row>
    <row r="219" spans="1:32" x14ac:dyDescent="0.4">
      <c r="A219" s="16">
        <v>44495</v>
      </c>
      <c r="B219" s="17">
        <v>31</v>
      </c>
      <c r="C219" s="17">
        <v>30</v>
      </c>
      <c r="D219" s="17">
        <v>-15</v>
      </c>
      <c r="E219" s="17">
        <v>-8</v>
      </c>
      <c r="F219" s="17">
        <v>-189</v>
      </c>
      <c r="G219" s="17">
        <v>-131</v>
      </c>
      <c r="H219" s="18">
        <f t="shared" si="15"/>
        <v>50.819672131147541</v>
      </c>
      <c r="I219" s="18">
        <v>1.71</v>
      </c>
      <c r="J219" s="18">
        <v>-0.05</v>
      </c>
      <c r="S219" s="19">
        <v>3</v>
      </c>
      <c r="T219" s="38">
        <v>1</v>
      </c>
      <c r="AE219" s="23">
        <f t="shared" si="18"/>
        <v>47.666666666666664</v>
      </c>
      <c r="AF219" s="24">
        <f t="shared" si="17"/>
        <v>-0.34965034965034963</v>
      </c>
    </row>
    <row r="220" spans="1:32" x14ac:dyDescent="0.4">
      <c r="A220" s="16">
        <v>44496</v>
      </c>
      <c r="B220" s="17">
        <v>41</v>
      </c>
      <c r="C220" s="17">
        <v>8</v>
      </c>
      <c r="D220" s="17">
        <v>-27</v>
      </c>
      <c r="E220" s="17">
        <v>-10</v>
      </c>
      <c r="F220" s="17">
        <v>-525</v>
      </c>
      <c r="G220" s="17">
        <v>-350</v>
      </c>
      <c r="H220" s="18">
        <f t="shared" si="15"/>
        <v>83.673469387755105</v>
      </c>
      <c r="I220" s="18">
        <v>2.16</v>
      </c>
      <c r="J220" s="18">
        <v>-1.52</v>
      </c>
      <c r="S220" s="19">
        <v>4</v>
      </c>
      <c r="T220" s="38">
        <v>2</v>
      </c>
      <c r="AE220" s="23">
        <f t="shared" si="18"/>
        <v>44.666666666666664</v>
      </c>
      <c r="AF220" s="24">
        <f t="shared" si="17"/>
        <v>-8.2089552238805916E-2</v>
      </c>
    </row>
    <row r="221" spans="1:32" x14ac:dyDescent="0.4">
      <c r="A221" s="16">
        <v>44497</v>
      </c>
      <c r="B221" s="17">
        <v>39</v>
      </c>
      <c r="C221" s="17">
        <v>17</v>
      </c>
      <c r="D221" s="17">
        <v>-90</v>
      </c>
      <c r="E221" s="17">
        <v>-39</v>
      </c>
      <c r="F221" s="17">
        <v>-780</v>
      </c>
      <c r="G221" s="17">
        <v>-610</v>
      </c>
      <c r="H221" s="18">
        <f t="shared" si="15"/>
        <v>69.642857142857139</v>
      </c>
      <c r="I221" s="18">
        <v>1.19</v>
      </c>
      <c r="J221" s="18">
        <v>0.16</v>
      </c>
      <c r="S221" s="19">
        <v>3</v>
      </c>
      <c r="T221" s="38">
        <v>2</v>
      </c>
      <c r="AE221" s="23">
        <f t="shared" ref="AE221:AE284" si="19">(B218+B219+B220)/3</f>
        <v>45.333333333333336</v>
      </c>
      <c r="AF221" s="24">
        <f t="shared" ref="AF221:AF284" si="20">(B221-AE221)/AE221</f>
        <v>-0.13970588235294124</v>
      </c>
    </row>
    <row r="222" spans="1:32" x14ac:dyDescent="0.4">
      <c r="A222" s="16">
        <v>44498</v>
      </c>
      <c r="B222" s="17">
        <v>68</v>
      </c>
      <c r="C222" s="17">
        <v>21</v>
      </c>
      <c r="D222" s="17">
        <v>-19</v>
      </c>
      <c r="E222" s="17">
        <v>-7</v>
      </c>
      <c r="F222" s="17">
        <v>-300</v>
      </c>
      <c r="G222" s="17">
        <v>-96</v>
      </c>
      <c r="H222" s="18">
        <f t="shared" si="15"/>
        <v>76.404494382022463</v>
      </c>
      <c r="I222" s="18">
        <v>1.52</v>
      </c>
      <c r="J222" s="18">
        <v>0.37</v>
      </c>
      <c r="S222" s="19">
        <v>3</v>
      </c>
      <c r="T222" s="38">
        <v>2</v>
      </c>
      <c r="AE222" s="23">
        <f t="shared" si="19"/>
        <v>37</v>
      </c>
      <c r="AF222" s="24">
        <f t="shared" si="20"/>
        <v>0.83783783783783783</v>
      </c>
    </row>
    <row r="223" spans="1:32" x14ac:dyDescent="0.4">
      <c r="A223" s="16">
        <v>44501</v>
      </c>
      <c r="B223" s="17">
        <v>91</v>
      </c>
      <c r="C223" s="17">
        <v>41</v>
      </c>
      <c r="D223" s="17">
        <v>-17</v>
      </c>
      <c r="E223" s="17">
        <v>-6</v>
      </c>
      <c r="F223" s="17">
        <v>-233</v>
      </c>
      <c r="G223" s="17">
        <v>-99</v>
      </c>
      <c r="H223" s="18">
        <f t="shared" si="15"/>
        <v>68.939393939393938</v>
      </c>
      <c r="I223" s="18">
        <v>3.35</v>
      </c>
      <c r="J223" s="18">
        <v>2.33</v>
      </c>
      <c r="S223" s="19">
        <v>3</v>
      </c>
      <c r="T223" s="38">
        <v>2</v>
      </c>
      <c r="AE223" s="23">
        <f t="shared" si="19"/>
        <v>49.333333333333336</v>
      </c>
      <c r="AF223" s="24">
        <f t="shared" si="20"/>
        <v>0.84459459459459452</v>
      </c>
    </row>
    <row r="224" spans="1:32" x14ac:dyDescent="0.4">
      <c r="A224" s="16">
        <v>44502</v>
      </c>
      <c r="B224" s="17">
        <v>44</v>
      </c>
      <c r="C224" s="17">
        <v>16</v>
      </c>
      <c r="D224" s="17">
        <v>-29</v>
      </c>
      <c r="E224" s="17">
        <v>-12</v>
      </c>
      <c r="F224" s="17">
        <v>-459</v>
      </c>
      <c r="G224" s="17">
        <v>-241</v>
      </c>
      <c r="H224" s="18">
        <f t="shared" si="15"/>
        <v>73.333333333333329</v>
      </c>
      <c r="I224" s="18">
        <v>1.17</v>
      </c>
      <c r="J224" s="18">
        <v>-0.4</v>
      </c>
      <c r="S224" s="19">
        <v>3</v>
      </c>
      <c r="T224" s="38">
        <v>2</v>
      </c>
      <c r="AE224" s="23">
        <f t="shared" si="19"/>
        <v>66</v>
      </c>
      <c r="AF224" s="24">
        <f t="shared" si="20"/>
        <v>-0.33333333333333331</v>
      </c>
    </row>
    <row r="225" spans="1:32" x14ac:dyDescent="0.4">
      <c r="A225" s="16">
        <v>44503</v>
      </c>
      <c r="B225" s="17">
        <v>47</v>
      </c>
      <c r="C225" s="17">
        <v>15</v>
      </c>
      <c r="D225" s="17">
        <v>-15</v>
      </c>
      <c r="E225" s="17">
        <v>-4</v>
      </c>
      <c r="F225" s="17">
        <v>-182</v>
      </c>
      <c r="G225" s="17">
        <v>-69</v>
      </c>
      <c r="H225" s="18">
        <f t="shared" si="15"/>
        <v>75.806451612903231</v>
      </c>
      <c r="I225" s="18">
        <v>0.82</v>
      </c>
      <c r="J225" s="18">
        <v>-0.68</v>
      </c>
      <c r="S225" s="19">
        <v>4</v>
      </c>
      <c r="T225" s="38">
        <v>3</v>
      </c>
      <c r="AE225" s="23">
        <f t="shared" si="19"/>
        <v>67.666666666666671</v>
      </c>
      <c r="AF225" s="24">
        <f t="shared" si="20"/>
        <v>-0.30541871921182273</v>
      </c>
    </row>
    <row r="226" spans="1:32" x14ac:dyDescent="0.4">
      <c r="A226" s="16">
        <v>44504</v>
      </c>
      <c r="B226" s="17">
        <v>97</v>
      </c>
      <c r="C226" s="17">
        <v>29</v>
      </c>
      <c r="D226" s="17">
        <v>-2</v>
      </c>
      <c r="E226" s="17">
        <v>-1</v>
      </c>
      <c r="F226" s="17">
        <v>-44</v>
      </c>
      <c r="G226" s="17">
        <v>-19</v>
      </c>
      <c r="H226" s="18">
        <f t="shared" si="15"/>
        <v>76.984126984126988</v>
      </c>
      <c r="I226" s="18">
        <v>4.08</v>
      </c>
      <c r="J226" s="18">
        <v>2.29</v>
      </c>
      <c r="S226" s="19">
        <v>5</v>
      </c>
      <c r="T226" s="38">
        <v>4</v>
      </c>
      <c r="AE226" s="23">
        <f t="shared" si="19"/>
        <v>60.666666666666664</v>
      </c>
      <c r="AF226" s="24">
        <f t="shared" si="20"/>
        <v>0.59890109890109899</v>
      </c>
    </row>
    <row r="227" spans="1:32" x14ac:dyDescent="0.4">
      <c r="A227" s="16">
        <v>44505</v>
      </c>
      <c r="B227" s="17">
        <v>50</v>
      </c>
      <c r="C227" s="17">
        <v>22</v>
      </c>
      <c r="D227" s="17">
        <v>-34</v>
      </c>
      <c r="E227" s="17">
        <v>-20</v>
      </c>
      <c r="F227" s="17">
        <v>-287</v>
      </c>
      <c r="G227" s="17">
        <v>-261</v>
      </c>
      <c r="H227" s="18">
        <f t="shared" si="15"/>
        <v>69.444444444444443</v>
      </c>
      <c r="I227" s="18">
        <v>0.91</v>
      </c>
      <c r="J227" s="18">
        <v>-0.54</v>
      </c>
      <c r="S227" s="19">
        <v>4</v>
      </c>
      <c r="T227" s="38">
        <v>3</v>
      </c>
      <c r="AE227" s="23">
        <f t="shared" si="19"/>
        <v>62.666666666666664</v>
      </c>
      <c r="AF227" s="24">
        <f t="shared" si="20"/>
        <v>-0.20212765957446804</v>
      </c>
    </row>
    <row r="228" spans="1:32" x14ac:dyDescent="0.4">
      <c r="A228" s="16">
        <v>44508</v>
      </c>
      <c r="B228" s="17">
        <v>57</v>
      </c>
      <c r="C228" s="17">
        <v>24</v>
      </c>
      <c r="D228" s="17">
        <v>-18</v>
      </c>
      <c r="E228" s="17">
        <v>-4</v>
      </c>
      <c r="F228" s="17">
        <v>-201</v>
      </c>
      <c r="G228" s="17">
        <v>-74</v>
      </c>
      <c r="H228" s="18">
        <f t="shared" si="15"/>
        <v>70.370370370370367</v>
      </c>
      <c r="I228" s="18">
        <v>2.62</v>
      </c>
      <c r="J228" s="18">
        <v>7.0000000000000007E-2</v>
      </c>
      <c r="S228" s="19">
        <v>5</v>
      </c>
      <c r="T228" s="38">
        <v>4</v>
      </c>
      <c r="AE228" s="23">
        <f t="shared" si="19"/>
        <v>64.666666666666671</v>
      </c>
      <c r="AF228" s="24">
        <f t="shared" si="20"/>
        <v>-0.1185567010309279</v>
      </c>
    </row>
    <row r="229" spans="1:32" x14ac:dyDescent="0.4">
      <c r="A229" s="16">
        <v>44509</v>
      </c>
      <c r="B229" s="17">
        <v>60</v>
      </c>
      <c r="C229" s="17">
        <v>21</v>
      </c>
      <c r="D229" s="17">
        <v>-3</v>
      </c>
      <c r="E229" s="17">
        <v>-3</v>
      </c>
      <c r="F229" s="17">
        <v>-54</v>
      </c>
      <c r="G229" s="17">
        <v>-18</v>
      </c>
      <c r="H229" s="18">
        <f t="shared" si="15"/>
        <v>74.074074074074076</v>
      </c>
      <c r="I229" s="18">
        <v>3.33</v>
      </c>
      <c r="J229" s="18">
        <v>1.04</v>
      </c>
      <c r="S229" s="19">
        <v>3</v>
      </c>
      <c r="T229" s="38">
        <v>2</v>
      </c>
      <c r="AE229" s="23">
        <f t="shared" si="19"/>
        <v>68</v>
      </c>
      <c r="AF229" s="24">
        <f t="shared" si="20"/>
        <v>-0.11764705882352941</v>
      </c>
    </row>
    <row r="230" spans="1:32" x14ac:dyDescent="0.4">
      <c r="A230" s="16">
        <v>44510</v>
      </c>
      <c r="B230" s="17">
        <v>47</v>
      </c>
      <c r="C230" s="17">
        <v>20</v>
      </c>
      <c r="D230" s="17">
        <v>-3</v>
      </c>
      <c r="E230" s="17">
        <v>-1</v>
      </c>
      <c r="F230" s="17">
        <v>-171</v>
      </c>
      <c r="G230" s="17">
        <v>-36</v>
      </c>
      <c r="H230" s="18">
        <f t="shared" si="15"/>
        <v>70.149253731343293</v>
      </c>
      <c r="I230" s="18">
        <v>2.2999999999999998</v>
      </c>
      <c r="J230" s="18">
        <v>0.61</v>
      </c>
      <c r="S230" s="19">
        <v>4</v>
      </c>
      <c r="T230" s="38">
        <v>3</v>
      </c>
      <c r="AE230" s="23">
        <f t="shared" si="19"/>
        <v>55.666666666666664</v>
      </c>
      <c r="AF230" s="24">
        <f t="shared" si="20"/>
        <v>-0.15568862275449097</v>
      </c>
    </row>
    <row r="231" spans="1:32" x14ac:dyDescent="0.4">
      <c r="A231" s="16">
        <v>44511</v>
      </c>
      <c r="B231" s="17">
        <v>71</v>
      </c>
      <c r="C231" s="17">
        <v>28</v>
      </c>
      <c r="D231" s="17">
        <v>-6</v>
      </c>
      <c r="E231" s="17">
        <v>-1</v>
      </c>
      <c r="F231" s="17">
        <v>-87</v>
      </c>
      <c r="G231" s="17">
        <v>-47</v>
      </c>
      <c r="H231" s="18">
        <f t="shared" si="15"/>
        <v>71.717171717171709</v>
      </c>
      <c r="I231" s="18">
        <v>3.06</v>
      </c>
      <c r="J231" s="18">
        <v>0.65</v>
      </c>
      <c r="S231" s="19">
        <v>5</v>
      </c>
      <c r="T231" s="38">
        <v>4</v>
      </c>
      <c r="AE231" s="23">
        <f t="shared" si="19"/>
        <v>54.666666666666664</v>
      </c>
      <c r="AF231" s="24">
        <f t="shared" si="20"/>
        <v>0.29878048780487809</v>
      </c>
    </row>
    <row r="232" spans="1:32" x14ac:dyDescent="0.4">
      <c r="A232" s="16">
        <v>44512</v>
      </c>
      <c r="B232" s="17">
        <v>84</v>
      </c>
      <c r="C232" s="17">
        <v>24</v>
      </c>
      <c r="D232" s="17">
        <v>-1</v>
      </c>
      <c r="E232" s="17">
        <v>-1</v>
      </c>
      <c r="F232" s="17">
        <v>-78</v>
      </c>
      <c r="G232" s="17">
        <v>-29</v>
      </c>
      <c r="H232" s="18">
        <f t="shared" si="15"/>
        <v>77.777777777777786</v>
      </c>
      <c r="I232" s="18">
        <v>2.78</v>
      </c>
      <c r="J232" s="18">
        <v>1.6</v>
      </c>
      <c r="S232" s="19">
        <v>6</v>
      </c>
      <c r="T232" s="38">
        <v>2</v>
      </c>
      <c r="AE232" s="23">
        <f t="shared" si="19"/>
        <v>59.333333333333336</v>
      </c>
      <c r="AF232" s="24">
        <f t="shared" si="20"/>
        <v>0.41573033707865165</v>
      </c>
    </row>
    <row r="233" spans="1:32" x14ac:dyDescent="0.4">
      <c r="A233" s="16">
        <v>44515</v>
      </c>
      <c r="B233" s="17">
        <v>77</v>
      </c>
      <c r="C233" s="17">
        <v>38</v>
      </c>
      <c r="D233" s="17">
        <v>-30</v>
      </c>
      <c r="E233" s="17">
        <v>-14</v>
      </c>
      <c r="F233" s="17">
        <v>-266</v>
      </c>
      <c r="G233" s="17">
        <v>-172</v>
      </c>
      <c r="H233" s="18">
        <f t="shared" si="15"/>
        <v>66.956521739130437</v>
      </c>
      <c r="I233" s="18">
        <v>0.47</v>
      </c>
      <c r="J233" s="18">
        <v>-0.7</v>
      </c>
      <c r="S233" s="19">
        <v>7</v>
      </c>
      <c r="T233" s="38">
        <v>3</v>
      </c>
      <c r="AE233" s="23">
        <f t="shared" si="19"/>
        <v>67.333333333333329</v>
      </c>
      <c r="AF233" s="24">
        <f t="shared" si="20"/>
        <v>0.14356435643564364</v>
      </c>
    </row>
    <row r="234" spans="1:32" x14ac:dyDescent="0.4">
      <c r="A234" s="16">
        <v>44516</v>
      </c>
      <c r="B234" s="17">
        <v>60</v>
      </c>
      <c r="C234" s="17">
        <v>18</v>
      </c>
      <c r="D234" s="17">
        <v>-11</v>
      </c>
      <c r="E234" s="17">
        <v>-4</v>
      </c>
      <c r="F234" s="17">
        <v>-275</v>
      </c>
      <c r="G234" s="17">
        <v>-200</v>
      </c>
      <c r="H234" s="18">
        <f t="shared" si="15"/>
        <v>76.923076923076934</v>
      </c>
      <c r="I234" s="18">
        <v>0.46</v>
      </c>
      <c r="J234" s="18">
        <v>-1.17</v>
      </c>
      <c r="S234" s="19">
        <v>4</v>
      </c>
      <c r="T234" s="38">
        <v>3</v>
      </c>
      <c r="AE234" s="23">
        <f t="shared" si="19"/>
        <v>77.333333333333329</v>
      </c>
      <c r="AF234" s="24">
        <f t="shared" si="20"/>
        <v>-0.22413793103448271</v>
      </c>
    </row>
    <row r="235" spans="1:32" x14ac:dyDescent="0.4">
      <c r="A235" s="16">
        <v>44517</v>
      </c>
      <c r="B235" s="17">
        <v>94</v>
      </c>
      <c r="C235" s="17">
        <v>18</v>
      </c>
      <c r="D235" s="17">
        <v>-2</v>
      </c>
      <c r="E235" s="17">
        <v>-1</v>
      </c>
      <c r="F235" s="17">
        <v>-70</v>
      </c>
      <c r="G235" s="17">
        <v>-16</v>
      </c>
      <c r="H235" s="18">
        <f t="shared" si="15"/>
        <v>83.928571428571431</v>
      </c>
      <c r="I235" s="18">
        <v>1.64</v>
      </c>
      <c r="J235" s="18">
        <v>0.72</v>
      </c>
      <c r="S235" s="19">
        <v>4</v>
      </c>
      <c r="T235" s="38">
        <v>3</v>
      </c>
      <c r="AE235" s="23">
        <f t="shared" si="19"/>
        <v>73.666666666666671</v>
      </c>
      <c r="AF235" s="24">
        <f t="shared" si="20"/>
        <v>0.27601809954751122</v>
      </c>
    </row>
    <row r="236" spans="1:32" x14ac:dyDescent="0.4">
      <c r="A236" s="16">
        <v>44518</v>
      </c>
      <c r="B236" s="17">
        <v>51</v>
      </c>
      <c r="C236" s="17">
        <v>25</v>
      </c>
      <c r="D236" s="17">
        <v>-11</v>
      </c>
      <c r="E236" s="17">
        <v>-3</v>
      </c>
      <c r="F236" s="17">
        <v>-226</v>
      </c>
      <c r="G236" s="17">
        <v>-157</v>
      </c>
      <c r="H236" s="18">
        <f t="shared" si="15"/>
        <v>67.10526315789474</v>
      </c>
      <c r="I236" s="18">
        <v>1.24</v>
      </c>
      <c r="J236" s="18">
        <v>0.32</v>
      </c>
      <c r="S236" s="19">
        <v>4</v>
      </c>
      <c r="T236" s="38">
        <v>2</v>
      </c>
      <c r="AE236" s="23">
        <f t="shared" si="19"/>
        <v>77</v>
      </c>
      <c r="AF236" s="24">
        <f t="shared" si="20"/>
        <v>-0.33766233766233766</v>
      </c>
    </row>
    <row r="237" spans="1:32" x14ac:dyDescent="0.4">
      <c r="A237" s="16">
        <v>44519</v>
      </c>
      <c r="B237" s="17">
        <v>69</v>
      </c>
      <c r="C237" s="17">
        <v>23</v>
      </c>
      <c r="D237" s="17">
        <v>-6</v>
      </c>
      <c r="E237" s="17">
        <v>-1</v>
      </c>
      <c r="F237" s="17">
        <v>-94</v>
      </c>
      <c r="G237" s="17">
        <v>-26</v>
      </c>
      <c r="H237" s="18">
        <f t="shared" si="15"/>
        <v>75</v>
      </c>
      <c r="I237" s="18">
        <v>1.65</v>
      </c>
      <c r="J237" s="18">
        <v>-0.32</v>
      </c>
      <c r="S237" s="19">
        <v>5</v>
      </c>
      <c r="T237" s="38">
        <v>3</v>
      </c>
      <c r="AE237" s="23">
        <f t="shared" si="19"/>
        <v>68.333333333333329</v>
      </c>
      <c r="AF237" s="24">
        <f t="shared" si="20"/>
        <v>9.7560975609756791E-3</v>
      </c>
    </row>
    <row r="238" spans="1:32" x14ac:dyDescent="0.4">
      <c r="A238" s="16">
        <v>44522</v>
      </c>
      <c r="B238" s="17">
        <v>87</v>
      </c>
      <c r="C238" s="17">
        <v>19</v>
      </c>
      <c r="D238" s="17">
        <v>-3</v>
      </c>
      <c r="E238" s="17">
        <v>0</v>
      </c>
      <c r="F238" s="17">
        <v>-80</v>
      </c>
      <c r="G238" s="17">
        <v>-31</v>
      </c>
      <c r="H238" s="18">
        <f t="shared" si="15"/>
        <v>82.075471698113205</v>
      </c>
      <c r="I238" s="18">
        <v>3.78</v>
      </c>
      <c r="J238" s="18">
        <v>2.0699999999999998</v>
      </c>
      <c r="S238" s="19">
        <v>6</v>
      </c>
      <c r="T238" s="38">
        <v>3</v>
      </c>
      <c r="AE238" s="23">
        <f t="shared" si="19"/>
        <v>71.333333333333329</v>
      </c>
      <c r="AF238" s="24">
        <f t="shared" si="20"/>
        <v>0.21962616822429915</v>
      </c>
    </row>
    <row r="239" spans="1:32" x14ac:dyDescent="0.4">
      <c r="A239" s="16">
        <v>44523</v>
      </c>
      <c r="B239" s="17">
        <v>59</v>
      </c>
      <c r="C239" s="17">
        <v>28</v>
      </c>
      <c r="D239" s="17">
        <v>-4</v>
      </c>
      <c r="E239" s="17">
        <v>-1</v>
      </c>
      <c r="F239" s="17">
        <v>-118</v>
      </c>
      <c r="G239" s="17">
        <v>-57</v>
      </c>
      <c r="H239" s="18">
        <f t="shared" si="15"/>
        <v>67.81609195402298</v>
      </c>
      <c r="I239" s="18">
        <v>2.2200000000000002</v>
      </c>
      <c r="J239" s="18">
        <v>1.37</v>
      </c>
      <c r="S239" s="19">
        <v>7</v>
      </c>
      <c r="T239" s="38">
        <v>4</v>
      </c>
      <c r="AE239" s="23">
        <f t="shared" si="19"/>
        <v>69</v>
      </c>
      <c r="AF239" s="24">
        <f t="shared" si="20"/>
        <v>-0.14492753623188406</v>
      </c>
    </row>
    <row r="240" spans="1:32" x14ac:dyDescent="0.4">
      <c r="A240" s="16">
        <v>44524</v>
      </c>
      <c r="B240" s="17">
        <v>78</v>
      </c>
      <c r="C240" s="17">
        <v>20</v>
      </c>
      <c r="D240" s="17">
        <v>-3</v>
      </c>
      <c r="E240" s="17">
        <v>-3</v>
      </c>
      <c r="F240" s="17">
        <v>-111</v>
      </c>
      <c r="G240" s="17">
        <v>-57</v>
      </c>
      <c r="H240" s="18">
        <f t="shared" si="15"/>
        <v>79.591836734693871</v>
      </c>
      <c r="I240" s="18">
        <v>2.17</v>
      </c>
      <c r="J240" s="18">
        <v>0.34</v>
      </c>
      <c r="S240" s="19">
        <v>8</v>
      </c>
      <c r="T240" s="38">
        <v>5</v>
      </c>
      <c r="AE240" s="23">
        <f t="shared" si="19"/>
        <v>71.666666666666671</v>
      </c>
      <c r="AF240" s="24">
        <f t="shared" si="20"/>
        <v>8.8372093023255743E-2</v>
      </c>
    </row>
    <row r="241" spans="1:32" x14ac:dyDescent="0.4">
      <c r="A241" s="16">
        <v>44525</v>
      </c>
      <c r="B241" s="17">
        <v>58</v>
      </c>
      <c r="C241" s="17">
        <v>28</v>
      </c>
      <c r="D241" s="17">
        <v>-16</v>
      </c>
      <c r="E241" s="17">
        <v>-10</v>
      </c>
      <c r="F241" s="17">
        <v>-154</v>
      </c>
      <c r="G241" s="17">
        <v>-111</v>
      </c>
      <c r="H241" s="18">
        <f t="shared" si="15"/>
        <v>67.441860465116278</v>
      </c>
      <c r="I241" s="18">
        <v>0.23</v>
      </c>
      <c r="J241" s="18">
        <v>-1.05</v>
      </c>
      <c r="S241" s="19">
        <v>9</v>
      </c>
      <c r="T241" s="38">
        <v>6</v>
      </c>
      <c r="AE241" s="23">
        <f t="shared" si="19"/>
        <v>74.666666666666671</v>
      </c>
      <c r="AF241" s="24">
        <f t="shared" si="20"/>
        <v>-0.22321428571428575</v>
      </c>
    </row>
    <row r="242" spans="1:32" x14ac:dyDescent="0.4">
      <c r="A242" s="16">
        <v>44526</v>
      </c>
      <c r="B242" s="17">
        <v>51</v>
      </c>
      <c r="C242" s="17">
        <v>27</v>
      </c>
      <c r="D242" s="17">
        <v>-6</v>
      </c>
      <c r="E242" s="17">
        <v>-2</v>
      </c>
      <c r="F242" s="17">
        <v>-146</v>
      </c>
      <c r="G242" s="17">
        <v>-69</v>
      </c>
      <c r="H242" s="18">
        <f t="shared" si="15"/>
        <v>65.384615384615387</v>
      </c>
      <c r="I242" s="18">
        <v>1.38</v>
      </c>
      <c r="J242" s="18">
        <v>-0.6</v>
      </c>
      <c r="S242" s="19">
        <v>4</v>
      </c>
      <c r="T242" s="38">
        <v>3</v>
      </c>
      <c r="AE242" s="23">
        <f t="shared" si="19"/>
        <v>65</v>
      </c>
      <c r="AF242" s="24">
        <f t="shared" si="20"/>
        <v>-0.2153846153846154</v>
      </c>
    </row>
    <row r="243" spans="1:32" x14ac:dyDescent="0.4">
      <c r="A243" s="16">
        <v>44529</v>
      </c>
      <c r="B243" s="17">
        <v>70</v>
      </c>
      <c r="C243" s="17">
        <v>28</v>
      </c>
      <c r="D243" s="17">
        <v>-9</v>
      </c>
      <c r="E243" s="17">
        <v>-1</v>
      </c>
      <c r="F243" s="17">
        <v>-169</v>
      </c>
      <c r="G243" s="17">
        <v>-63</v>
      </c>
      <c r="H243" s="18">
        <f t="shared" si="15"/>
        <v>71.428571428571431</v>
      </c>
      <c r="I243" s="18">
        <v>2.42</v>
      </c>
      <c r="J243" s="18">
        <v>0.59</v>
      </c>
      <c r="S243" s="19">
        <v>5</v>
      </c>
      <c r="T243" s="38">
        <v>4</v>
      </c>
      <c r="AE243" s="23">
        <f t="shared" si="19"/>
        <v>62.333333333333336</v>
      </c>
      <c r="AF243" s="24">
        <f t="shared" si="20"/>
        <v>0.12299465240641708</v>
      </c>
    </row>
    <row r="244" spans="1:32" x14ac:dyDescent="0.4">
      <c r="A244" s="16">
        <v>44530</v>
      </c>
      <c r="B244" s="17">
        <v>70</v>
      </c>
      <c r="C244" s="17">
        <v>33</v>
      </c>
      <c r="D244" s="17">
        <v>-7</v>
      </c>
      <c r="E244" s="17">
        <v>-2</v>
      </c>
      <c r="F244" s="17">
        <v>-113</v>
      </c>
      <c r="G244" s="17">
        <v>-68</v>
      </c>
      <c r="H244" s="18">
        <f t="shared" si="15"/>
        <v>67.961165048543691</v>
      </c>
      <c r="I244" s="18">
        <v>4.07</v>
      </c>
      <c r="J244" s="18">
        <v>1.57</v>
      </c>
      <c r="S244" s="19">
        <v>5</v>
      </c>
      <c r="T244" s="38">
        <v>4</v>
      </c>
      <c r="AE244" s="23">
        <f t="shared" si="19"/>
        <v>59.666666666666664</v>
      </c>
      <c r="AF244" s="24">
        <f t="shared" si="20"/>
        <v>0.17318435754189948</v>
      </c>
    </row>
    <row r="245" spans="1:32" x14ac:dyDescent="0.4">
      <c r="A245" s="16">
        <v>44531</v>
      </c>
      <c r="B245" s="17">
        <v>85</v>
      </c>
      <c r="C245" s="17">
        <v>16</v>
      </c>
      <c r="D245" s="17">
        <v>-6</v>
      </c>
      <c r="E245" s="17">
        <v>-3</v>
      </c>
      <c r="F245" s="17">
        <v>-170</v>
      </c>
      <c r="G245" s="17">
        <v>-83</v>
      </c>
      <c r="H245" s="18">
        <f t="shared" si="15"/>
        <v>84.158415841584159</v>
      </c>
      <c r="I245" s="18">
        <v>2.64</v>
      </c>
      <c r="J245" s="18">
        <v>0.86</v>
      </c>
      <c r="S245" s="19">
        <v>4</v>
      </c>
      <c r="T245" s="38">
        <v>3</v>
      </c>
      <c r="AE245" s="23">
        <f t="shared" si="19"/>
        <v>63.666666666666664</v>
      </c>
      <c r="AF245" s="24">
        <f t="shared" si="20"/>
        <v>0.33507853403141369</v>
      </c>
    </row>
    <row r="246" spans="1:32" x14ac:dyDescent="0.4">
      <c r="A246" s="16">
        <v>44532</v>
      </c>
      <c r="B246" s="17">
        <v>52</v>
      </c>
      <c r="C246" s="17">
        <v>26</v>
      </c>
      <c r="D246" s="17">
        <v>-16</v>
      </c>
      <c r="E246" s="17">
        <v>-5</v>
      </c>
      <c r="F246" s="17">
        <v>-333</v>
      </c>
      <c r="G246" s="17">
        <v>-275</v>
      </c>
      <c r="H246" s="18">
        <f t="shared" si="15"/>
        <v>66.666666666666657</v>
      </c>
      <c r="I246" s="18">
        <v>1.1499999999999999</v>
      </c>
      <c r="J246" s="18">
        <v>-0.05</v>
      </c>
      <c r="S246" s="19">
        <v>5</v>
      </c>
      <c r="T246" s="38">
        <v>4</v>
      </c>
      <c r="AE246" s="23">
        <f t="shared" si="19"/>
        <v>75</v>
      </c>
      <c r="AF246" s="24">
        <f t="shared" si="20"/>
        <v>-0.30666666666666664</v>
      </c>
    </row>
    <row r="247" spans="1:32" x14ac:dyDescent="0.4">
      <c r="A247" s="16">
        <v>44533</v>
      </c>
      <c r="B247" s="17">
        <v>55</v>
      </c>
      <c r="C247" s="17">
        <v>32</v>
      </c>
      <c r="D247" s="17">
        <v>-16</v>
      </c>
      <c r="E247" s="17">
        <v>-7</v>
      </c>
      <c r="F247" s="17">
        <v>-170</v>
      </c>
      <c r="G247" s="17">
        <v>-98</v>
      </c>
      <c r="H247" s="18">
        <f t="shared" si="15"/>
        <v>63.218390804597703</v>
      </c>
      <c r="I247" s="18">
        <v>-0.06</v>
      </c>
      <c r="J247" s="18">
        <v>-2.99</v>
      </c>
      <c r="S247" s="19">
        <v>5</v>
      </c>
      <c r="T247" s="38">
        <v>3</v>
      </c>
      <c r="AE247" s="23">
        <f t="shared" si="19"/>
        <v>69</v>
      </c>
      <c r="AF247" s="24">
        <f t="shared" si="20"/>
        <v>-0.20289855072463769</v>
      </c>
    </row>
    <row r="248" spans="1:32" x14ac:dyDescent="0.4">
      <c r="A248" s="16">
        <v>44536</v>
      </c>
      <c r="B248" s="17">
        <v>39</v>
      </c>
      <c r="C248" s="17">
        <v>31</v>
      </c>
      <c r="D248" s="17">
        <v>-14</v>
      </c>
      <c r="E248" s="17">
        <v>-6</v>
      </c>
      <c r="F248" s="17">
        <v>-387</v>
      </c>
      <c r="G248" s="17">
        <v>-323</v>
      </c>
      <c r="H248" s="18">
        <f t="shared" ref="H248:H311" si="21">B248/(B248+C248)*100</f>
        <v>55.714285714285715</v>
      </c>
      <c r="I248" s="18">
        <v>0.63</v>
      </c>
      <c r="J248" s="18">
        <v>-1.85</v>
      </c>
      <c r="S248" s="19">
        <v>6</v>
      </c>
      <c r="T248" s="38">
        <v>4</v>
      </c>
      <c r="AE248" s="23">
        <f t="shared" si="19"/>
        <v>64</v>
      </c>
      <c r="AF248" s="24">
        <f t="shared" si="20"/>
        <v>-0.390625</v>
      </c>
    </row>
    <row r="249" spans="1:32" x14ac:dyDescent="0.4">
      <c r="A249" s="16">
        <v>44537</v>
      </c>
      <c r="B249" s="17">
        <v>51</v>
      </c>
      <c r="C249" s="17">
        <v>19</v>
      </c>
      <c r="D249" s="17">
        <v>-33</v>
      </c>
      <c r="E249" s="17">
        <v>-11</v>
      </c>
      <c r="F249" s="17">
        <v>-526</v>
      </c>
      <c r="G249" s="17">
        <v>-288</v>
      </c>
      <c r="H249" s="18">
        <f t="shared" si="21"/>
        <v>72.857142857142847</v>
      </c>
      <c r="I249" s="18">
        <v>1.7</v>
      </c>
      <c r="J249" s="18">
        <v>-0.86</v>
      </c>
      <c r="S249" s="19">
        <v>5</v>
      </c>
      <c r="T249" s="38">
        <v>4</v>
      </c>
      <c r="AE249" s="23">
        <f t="shared" si="19"/>
        <v>48.666666666666664</v>
      </c>
      <c r="AF249" s="24">
        <f t="shared" si="20"/>
        <v>4.7945205479452108E-2</v>
      </c>
    </row>
    <row r="250" spans="1:32" x14ac:dyDescent="0.4">
      <c r="A250" s="16">
        <v>44538</v>
      </c>
      <c r="B250" s="17">
        <v>82</v>
      </c>
      <c r="C250" s="17">
        <v>29</v>
      </c>
      <c r="D250" s="17">
        <v>-7</v>
      </c>
      <c r="E250" s="17">
        <v>-1</v>
      </c>
      <c r="F250" s="17">
        <v>-63</v>
      </c>
      <c r="G250" s="17">
        <v>-22</v>
      </c>
      <c r="H250" s="18">
        <f t="shared" si="21"/>
        <v>73.873873873873876</v>
      </c>
      <c r="I250" s="18">
        <v>2.5499999999999998</v>
      </c>
      <c r="J250" s="18">
        <v>0.15</v>
      </c>
      <c r="S250" s="19">
        <v>6</v>
      </c>
      <c r="T250" s="38">
        <v>3</v>
      </c>
      <c r="AE250" s="23">
        <f t="shared" si="19"/>
        <v>48.333333333333336</v>
      </c>
      <c r="AF250" s="24">
        <f t="shared" si="20"/>
        <v>0.69655172413793098</v>
      </c>
    </row>
    <row r="251" spans="1:32" x14ac:dyDescent="0.4">
      <c r="A251" s="16">
        <v>44539</v>
      </c>
      <c r="B251" s="17">
        <v>68</v>
      </c>
      <c r="C251" s="17">
        <v>35</v>
      </c>
      <c r="D251" s="17">
        <v>-5</v>
      </c>
      <c r="E251" s="17">
        <v>-2</v>
      </c>
      <c r="F251" s="17">
        <v>-90</v>
      </c>
      <c r="G251" s="17">
        <v>-57</v>
      </c>
      <c r="H251" s="18">
        <f t="shared" si="21"/>
        <v>66.019417475728162</v>
      </c>
      <c r="I251" s="18">
        <v>1.8</v>
      </c>
      <c r="J251" s="18">
        <v>-0.04</v>
      </c>
      <c r="S251" s="19">
        <v>7</v>
      </c>
      <c r="T251" s="38">
        <v>4</v>
      </c>
      <c r="AE251" s="23">
        <f t="shared" si="19"/>
        <v>57.333333333333336</v>
      </c>
      <c r="AF251" s="24">
        <f t="shared" si="20"/>
        <v>0.18604651162790692</v>
      </c>
    </row>
    <row r="252" spans="1:32" x14ac:dyDescent="0.4">
      <c r="A252" s="16">
        <v>44540</v>
      </c>
      <c r="B252" s="17">
        <v>68</v>
      </c>
      <c r="C252" s="17">
        <v>27</v>
      </c>
      <c r="D252" s="17">
        <v>-3</v>
      </c>
      <c r="E252" s="17">
        <v>-1</v>
      </c>
      <c r="F252" s="17">
        <v>-84</v>
      </c>
      <c r="G252" s="17">
        <v>-42</v>
      </c>
      <c r="H252" s="18">
        <f t="shared" si="21"/>
        <v>71.578947368421055</v>
      </c>
      <c r="I252" s="18">
        <v>2.78</v>
      </c>
      <c r="J252" s="18">
        <v>-0.13</v>
      </c>
      <c r="S252" s="19">
        <v>5</v>
      </c>
      <c r="T252" s="38">
        <v>4</v>
      </c>
      <c r="AE252" s="23">
        <f t="shared" si="19"/>
        <v>67</v>
      </c>
      <c r="AF252" s="24">
        <f t="shared" si="20"/>
        <v>1.4925373134328358E-2</v>
      </c>
    </row>
    <row r="253" spans="1:32" x14ac:dyDescent="0.4">
      <c r="A253" s="16">
        <v>44543</v>
      </c>
      <c r="B253" s="17">
        <v>79</v>
      </c>
      <c r="C253" s="17">
        <v>36</v>
      </c>
      <c r="D253" s="17">
        <v>-3</v>
      </c>
      <c r="E253" s="17">
        <v>0</v>
      </c>
      <c r="F253" s="17">
        <v>-117</v>
      </c>
      <c r="G253" s="17">
        <v>-60</v>
      </c>
      <c r="H253" s="18">
        <f t="shared" si="21"/>
        <v>68.695652173913047</v>
      </c>
      <c r="I253" s="18">
        <v>3.38</v>
      </c>
      <c r="J253" s="18">
        <v>1.38</v>
      </c>
      <c r="S253" s="19">
        <v>6</v>
      </c>
      <c r="T253" s="38">
        <v>5</v>
      </c>
      <c r="AE253" s="23">
        <f t="shared" si="19"/>
        <v>72.666666666666671</v>
      </c>
      <c r="AF253" s="24">
        <f t="shared" si="20"/>
        <v>8.7155963302752229E-2</v>
      </c>
    </row>
    <row r="254" spans="1:32" x14ac:dyDescent="0.4">
      <c r="A254" s="16">
        <v>44544</v>
      </c>
      <c r="B254" s="17">
        <v>93</v>
      </c>
      <c r="C254" s="17">
        <v>32</v>
      </c>
      <c r="D254" s="17">
        <v>-5</v>
      </c>
      <c r="E254" s="17">
        <v>-1</v>
      </c>
      <c r="F254" s="17">
        <v>-86</v>
      </c>
      <c r="G254" s="17">
        <v>-49</v>
      </c>
      <c r="H254" s="18">
        <f t="shared" si="21"/>
        <v>74.400000000000006</v>
      </c>
      <c r="I254" s="18">
        <v>4.32</v>
      </c>
      <c r="J254" s="18">
        <v>1.59</v>
      </c>
      <c r="S254" s="19">
        <v>7</v>
      </c>
      <c r="T254" s="38">
        <v>6</v>
      </c>
      <c r="AE254" s="23">
        <f t="shared" si="19"/>
        <v>71.666666666666671</v>
      </c>
      <c r="AF254" s="24">
        <f t="shared" si="20"/>
        <v>0.2976744186046511</v>
      </c>
    </row>
    <row r="255" spans="1:32" x14ac:dyDescent="0.4">
      <c r="A255" s="16">
        <v>44545</v>
      </c>
      <c r="B255" s="17">
        <v>79</v>
      </c>
      <c r="C255" s="17">
        <v>48</v>
      </c>
      <c r="D255" s="17">
        <v>-3</v>
      </c>
      <c r="E255" s="17">
        <v>-1</v>
      </c>
      <c r="F255" s="17">
        <v>-109</v>
      </c>
      <c r="G255" s="17">
        <v>-79</v>
      </c>
      <c r="H255" s="18">
        <f t="shared" si="21"/>
        <v>62.204724409448822</v>
      </c>
      <c r="I255" s="18">
        <v>1.85</v>
      </c>
      <c r="J255" s="18">
        <v>0.22</v>
      </c>
      <c r="S255" s="19">
        <v>7</v>
      </c>
      <c r="T255" s="38">
        <v>5</v>
      </c>
      <c r="AE255" s="23">
        <f t="shared" si="19"/>
        <v>80</v>
      </c>
      <c r="AF255" s="24">
        <f t="shared" si="20"/>
        <v>-1.2500000000000001E-2</v>
      </c>
    </row>
    <row r="256" spans="1:32" x14ac:dyDescent="0.4">
      <c r="A256" s="16">
        <v>44546</v>
      </c>
      <c r="B256" s="17">
        <v>88</v>
      </c>
      <c r="C256" s="17">
        <v>25</v>
      </c>
      <c r="D256" s="17">
        <v>-2</v>
      </c>
      <c r="E256" s="17">
        <v>-1</v>
      </c>
      <c r="F256" s="17">
        <v>-95</v>
      </c>
      <c r="G256" s="17">
        <v>-33</v>
      </c>
      <c r="H256" s="18">
        <f t="shared" si="21"/>
        <v>77.876106194690266</v>
      </c>
      <c r="I256" s="18">
        <v>4.07</v>
      </c>
      <c r="J256" s="18">
        <v>0.77</v>
      </c>
      <c r="S256" s="19">
        <v>8</v>
      </c>
      <c r="T256" s="38">
        <v>6</v>
      </c>
      <c r="AE256" s="23">
        <f t="shared" si="19"/>
        <v>83.666666666666671</v>
      </c>
      <c r="AF256" s="24">
        <f t="shared" si="20"/>
        <v>5.1792828685258904E-2</v>
      </c>
    </row>
    <row r="257" spans="1:32" x14ac:dyDescent="0.4">
      <c r="A257" s="16">
        <v>44547</v>
      </c>
      <c r="B257" s="17">
        <v>85</v>
      </c>
      <c r="C257" s="17">
        <v>30</v>
      </c>
      <c r="D257" s="17">
        <v>-5</v>
      </c>
      <c r="E257" s="17">
        <v>-2</v>
      </c>
      <c r="F257" s="17">
        <v>-230</v>
      </c>
      <c r="G257" s="17">
        <v>-152</v>
      </c>
      <c r="H257" s="18">
        <f t="shared" si="21"/>
        <v>73.91304347826086</v>
      </c>
      <c r="I257" s="18">
        <v>2.97</v>
      </c>
      <c r="J257" s="18">
        <v>0.99</v>
      </c>
      <c r="S257" s="19">
        <v>9</v>
      </c>
      <c r="T257" s="38">
        <v>7</v>
      </c>
      <c r="AE257" s="23">
        <f>(B254+B255+B256)/3</f>
        <v>86.666666666666671</v>
      </c>
      <c r="AF257" s="24">
        <f t="shared" si="20"/>
        <v>-1.9230769230769284E-2</v>
      </c>
    </row>
    <row r="258" spans="1:32" x14ac:dyDescent="0.4">
      <c r="A258" s="16">
        <v>44550</v>
      </c>
      <c r="B258" s="17">
        <v>99</v>
      </c>
      <c r="C258" s="17">
        <v>38</v>
      </c>
      <c r="D258" s="17">
        <v>-25</v>
      </c>
      <c r="E258" s="17">
        <v>-11</v>
      </c>
      <c r="F258" s="17">
        <v>-404</v>
      </c>
      <c r="G258" s="17">
        <v>-342</v>
      </c>
      <c r="H258" s="18">
        <f t="shared" si="21"/>
        <v>72.262773722627742</v>
      </c>
      <c r="I258" s="18">
        <v>3.65</v>
      </c>
      <c r="J258" s="18">
        <v>0.59</v>
      </c>
      <c r="S258" s="19">
        <v>10</v>
      </c>
      <c r="T258" s="38">
        <v>8</v>
      </c>
      <c r="AE258" s="23">
        <f>(B255+B256+B257)/3</f>
        <v>84</v>
      </c>
      <c r="AF258" s="24">
        <f t="shared" si="20"/>
        <v>0.17857142857142858</v>
      </c>
    </row>
    <row r="259" spans="1:32" x14ac:dyDescent="0.4">
      <c r="A259" s="16">
        <v>44551</v>
      </c>
      <c r="B259" s="17">
        <v>136</v>
      </c>
      <c r="C259" s="17">
        <v>28</v>
      </c>
      <c r="D259" s="17">
        <v>-25</v>
      </c>
      <c r="E259" s="17">
        <v>-9</v>
      </c>
      <c r="F259" s="17">
        <v>-137</v>
      </c>
      <c r="G259" s="17">
        <v>-54</v>
      </c>
      <c r="H259" s="18">
        <f t="shared" si="21"/>
        <v>82.926829268292678</v>
      </c>
      <c r="I259" s="18">
        <v>4.12</v>
      </c>
      <c r="J259" s="18">
        <v>1.33</v>
      </c>
      <c r="S259" s="19">
        <v>11</v>
      </c>
      <c r="T259" s="38">
        <v>7</v>
      </c>
      <c r="AE259" s="23">
        <f t="shared" si="19"/>
        <v>90.666666666666671</v>
      </c>
      <c r="AF259" s="24">
        <f t="shared" si="20"/>
        <v>0.49999999999999994</v>
      </c>
    </row>
    <row r="260" spans="1:32" x14ac:dyDescent="0.4">
      <c r="A260" s="16">
        <v>44552</v>
      </c>
      <c r="B260" s="17">
        <v>77</v>
      </c>
      <c r="C260" s="17">
        <v>55</v>
      </c>
      <c r="D260" s="17">
        <v>-17</v>
      </c>
      <c r="E260" s="17">
        <v>-8</v>
      </c>
      <c r="F260" s="17">
        <v>-135</v>
      </c>
      <c r="G260" s="17">
        <v>-93</v>
      </c>
      <c r="H260" s="18">
        <f t="shared" si="21"/>
        <v>58.333333333333336</v>
      </c>
      <c r="I260" s="18">
        <v>-0.3</v>
      </c>
      <c r="J260" s="18">
        <v>-1.59</v>
      </c>
      <c r="S260" s="19">
        <v>8</v>
      </c>
      <c r="T260" s="38">
        <v>6</v>
      </c>
      <c r="AE260" s="23">
        <f t="shared" si="19"/>
        <v>106.66666666666667</v>
      </c>
      <c r="AF260" s="24">
        <f t="shared" si="20"/>
        <v>-0.27812500000000001</v>
      </c>
    </row>
    <row r="261" spans="1:32" x14ac:dyDescent="0.4">
      <c r="A261" s="16">
        <v>44553</v>
      </c>
      <c r="B261" s="17">
        <v>70</v>
      </c>
      <c r="C261" s="17">
        <v>25</v>
      </c>
      <c r="D261" s="17">
        <v>-40</v>
      </c>
      <c r="E261" s="17">
        <v>-24</v>
      </c>
      <c r="F261" s="17">
        <v>-164</v>
      </c>
      <c r="G261" s="17">
        <v>-122</v>
      </c>
      <c r="H261" s="18">
        <f t="shared" si="21"/>
        <v>73.68421052631578</v>
      </c>
      <c r="I261" s="18">
        <v>-0.42</v>
      </c>
      <c r="J261" s="18">
        <v>-5.63</v>
      </c>
      <c r="S261" s="19">
        <v>5</v>
      </c>
      <c r="T261" s="38">
        <v>4</v>
      </c>
      <c r="AE261" s="23">
        <f t="shared" si="19"/>
        <v>104</v>
      </c>
      <c r="AF261" s="24">
        <f t="shared" si="20"/>
        <v>-0.32692307692307693</v>
      </c>
    </row>
    <row r="262" spans="1:32" x14ac:dyDescent="0.4">
      <c r="A262" s="16">
        <v>44554</v>
      </c>
      <c r="B262" s="17">
        <v>51</v>
      </c>
      <c r="C262" s="17">
        <v>25</v>
      </c>
      <c r="D262" s="17">
        <v>-42</v>
      </c>
      <c r="E262" s="17">
        <v>-25</v>
      </c>
      <c r="F262" s="17">
        <v>-555</v>
      </c>
      <c r="G262" s="17">
        <v>-477</v>
      </c>
      <c r="H262" s="18">
        <f t="shared" si="21"/>
        <v>67.10526315789474</v>
      </c>
      <c r="I262" s="18">
        <v>-0.43</v>
      </c>
      <c r="J262" s="18">
        <v>-3.14</v>
      </c>
      <c r="S262" s="19">
        <v>6</v>
      </c>
      <c r="T262" s="38">
        <v>4</v>
      </c>
      <c r="AE262" s="23">
        <f t="shared" si="19"/>
        <v>94.333333333333329</v>
      </c>
      <c r="AF262" s="24">
        <f t="shared" si="20"/>
        <v>-0.45936395759717313</v>
      </c>
    </row>
    <row r="263" spans="1:32" x14ac:dyDescent="0.4">
      <c r="A263" s="16">
        <v>44557</v>
      </c>
      <c r="B263" s="17">
        <v>62</v>
      </c>
      <c r="C263" s="17">
        <v>30</v>
      </c>
      <c r="D263" s="17">
        <v>-29</v>
      </c>
      <c r="E263" s="17">
        <v>-12</v>
      </c>
      <c r="F263" s="17">
        <v>-250</v>
      </c>
      <c r="G263" s="17">
        <v>-134</v>
      </c>
      <c r="H263" s="18">
        <f t="shared" si="21"/>
        <v>67.391304347826093</v>
      </c>
      <c r="I263" s="18">
        <v>0.77</v>
      </c>
      <c r="J263" s="18">
        <v>-1.36</v>
      </c>
      <c r="S263" s="19">
        <v>4</v>
      </c>
      <c r="T263" s="38">
        <v>3</v>
      </c>
      <c r="AE263" s="23">
        <f t="shared" si="19"/>
        <v>66</v>
      </c>
      <c r="AF263" s="24">
        <f t="shared" si="20"/>
        <v>-6.0606060606060608E-2</v>
      </c>
    </row>
    <row r="264" spans="1:32" x14ac:dyDescent="0.4">
      <c r="A264" s="16">
        <v>44558</v>
      </c>
      <c r="B264" s="17">
        <v>59</v>
      </c>
      <c r="C264" s="17">
        <v>20</v>
      </c>
      <c r="D264" s="17">
        <v>-27</v>
      </c>
      <c r="E264" s="17">
        <v>-9</v>
      </c>
      <c r="F264" s="17">
        <v>-153</v>
      </c>
      <c r="G264" s="17">
        <v>-91</v>
      </c>
      <c r="H264" s="18">
        <f t="shared" si="21"/>
        <v>74.683544303797461</v>
      </c>
      <c r="I264" s="18">
        <v>0.87</v>
      </c>
      <c r="J264" s="18">
        <v>-1.58</v>
      </c>
      <c r="S264" s="19">
        <v>5</v>
      </c>
      <c r="T264" s="38">
        <v>2</v>
      </c>
      <c r="AE264" s="23">
        <f t="shared" si="19"/>
        <v>61</v>
      </c>
      <c r="AF264" s="24">
        <f t="shared" si="20"/>
        <v>-3.2786885245901641E-2</v>
      </c>
    </row>
    <row r="265" spans="1:32" x14ac:dyDescent="0.4">
      <c r="A265" s="16">
        <v>44559</v>
      </c>
      <c r="B265" s="17">
        <v>63</v>
      </c>
      <c r="C265" s="17">
        <v>21</v>
      </c>
      <c r="D265" s="17">
        <v>-16</v>
      </c>
      <c r="E265" s="17">
        <v>-6</v>
      </c>
      <c r="F265" s="17">
        <v>-160</v>
      </c>
      <c r="G265" s="17">
        <v>-85</v>
      </c>
      <c r="H265" s="18">
        <f t="shared" si="21"/>
        <v>75</v>
      </c>
      <c r="I265" s="18">
        <v>2.78</v>
      </c>
      <c r="J265" s="18">
        <v>0.95</v>
      </c>
      <c r="S265" s="19">
        <v>12</v>
      </c>
      <c r="T265" s="38">
        <v>6</v>
      </c>
      <c r="AE265" s="23">
        <f t="shared" si="19"/>
        <v>57.333333333333336</v>
      </c>
      <c r="AF265" s="24">
        <f t="shared" si="20"/>
        <v>9.8837209302325535E-2</v>
      </c>
    </row>
    <row r="266" spans="1:32" x14ac:dyDescent="0.4">
      <c r="A266" s="16">
        <v>44560</v>
      </c>
      <c r="B266" s="17">
        <v>86</v>
      </c>
      <c r="C266" s="17">
        <v>32</v>
      </c>
      <c r="D266" s="17">
        <v>-10</v>
      </c>
      <c r="E266" s="17">
        <v>-3</v>
      </c>
      <c r="F266" s="17">
        <v>-72</v>
      </c>
      <c r="G266" s="17">
        <v>-30</v>
      </c>
      <c r="H266" s="18">
        <f t="shared" si="21"/>
        <v>72.881355932203391</v>
      </c>
      <c r="I266" s="18">
        <v>4.25</v>
      </c>
      <c r="J266" s="18">
        <v>1.84</v>
      </c>
      <c r="S266" s="19">
        <v>7</v>
      </c>
      <c r="T266" s="38">
        <v>5</v>
      </c>
      <c r="AE266" s="23">
        <f t="shared" si="19"/>
        <v>61.333333333333336</v>
      </c>
      <c r="AF266" s="24">
        <f t="shared" si="20"/>
        <v>0.40217391304347822</v>
      </c>
    </row>
    <row r="267" spans="1:32" x14ac:dyDescent="0.4">
      <c r="A267" s="16">
        <v>44561</v>
      </c>
      <c r="B267" s="17">
        <v>58</v>
      </c>
      <c r="C267" s="17">
        <v>36</v>
      </c>
      <c r="D267" s="17">
        <v>-18</v>
      </c>
      <c r="E267" s="17">
        <v>-7</v>
      </c>
      <c r="F267" s="17">
        <v>-107</v>
      </c>
      <c r="G267" s="17">
        <v>-74</v>
      </c>
      <c r="H267" s="18">
        <f t="shared" si="21"/>
        <v>61.702127659574465</v>
      </c>
      <c r="I267" s="18">
        <v>1.75</v>
      </c>
      <c r="J267" s="18">
        <v>-0.44</v>
      </c>
      <c r="S267" s="19">
        <v>8</v>
      </c>
      <c r="T267" s="38">
        <v>4</v>
      </c>
      <c r="AE267" s="23">
        <f t="shared" si="19"/>
        <v>69.333333333333329</v>
      </c>
      <c r="AF267" s="24">
        <f t="shared" si="20"/>
        <v>-0.16346153846153841</v>
      </c>
    </row>
    <row r="268" spans="1:32" x14ac:dyDescent="0.4">
      <c r="A268" s="16">
        <v>44565</v>
      </c>
      <c r="B268" s="17">
        <v>93</v>
      </c>
      <c r="C268" s="17">
        <v>45</v>
      </c>
      <c r="D268" s="17">
        <v>-29</v>
      </c>
      <c r="E268" s="17">
        <v>-18</v>
      </c>
      <c r="F268" s="17">
        <v>-300</v>
      </c>
      <c r="G268" s="17">
        <v>-201</v>
      </c>
      <c r="H268" s="18">
        <f t="shared" si="21"/>
        <v>67.391304347826093</v>
      </c>
      <c r="I268" s="18">
        <v>5.48</v>
      </c>
      <c r="J268" s="18">
        <v>1.88</v>
      </c>
      <c r="S268" s="19">
        <v>9</v>
      </c>
      <c r="T268" s="38">
        <v>4</v>
      </c>
      <c r="AE268" s="23">
        <f t="shared" si="19"/>
        <v>69</v>
      </c>
      <c r="AF268" s="24">
        <f t="shared" si="20"/>
        <v>0.34782608695652173</v>
      </c>
    </row>
    <row r="269" spans="1:32" x14ac:dyDescent="0.4">
      <c r="A269" s="16">
        <v>44566</v>
      </c>
      <c r="B269" s="17">
        <v>48</v>
      </c>
      <c r="C269" s="17">
        <v>45</v>
      </c>
      <c r="D269" s="17">
        <v>-51</v>
      </c>
      <c r="E269" s="17">
        <v>-31</v>
      </c>
      <c r="F269" s="17">
        <v>-700</v>
      </c>
      <c r="G269" s="17">
        <v>-416</v>
      </c>
      <c r="H269" s="18">
        <f t="shared" si="21"/>
        <v>51.612903225806448</v>
      </c>
      <c r="I269" s="18">
        <v>1.26</v>
      </c>
      <c r="J269" s="18">
        <v>-1.31</v>
      </c>
      <c r="S269" s="19">
        <v>10</v>
      </c>
      <c r="T269" s="38">
        <v>5</v>
      </c>
      <c r="AE269" s="23">
        <f t="shared" si="19"/>
        <v>79</v>
      </c>
      <c r="AF269" s="24">
        <f t="shared" si="20"/>
        <v>-0.39240506329113922</v>
      </c>
    </row>
    <row r="270" spans="1:32" x14ac:dyDescent="0.4">
      <c r="A270" s="16">
        <v>44567</v>
      </c>
      <c r="B270" s="17">
        <v>83</v>
      </c>
      <c r="C270" s="17">
        <v>40</v>
      </c>
      <c r="D270" s="17">
        <v>-20</v>
      </c>
      <c r="E270" s="17">
        <v>-3</v>
      </c>
      <c r="F270" s="17">
        <v>-195</v>
      </c>
      <c r="G270" s="17">
        <v>-77</v>
      </c>
      <c r="H270" s="18">
        <f t="shared" si="21"/>
        <v>67.479674796747972</v>
      </c>
      <c r="I270" s="18">
        <v>2.36</v>
      </c>
      <c r="J270" s="18">
        <v>-1.59</v>
      </c>
      <c r="S270" s="19">
        <v>6</v>
      </c>
      <c r="T270" s="38">
        <v>4</v>
      </c>
      <c r="AE270" s="23">
        <f t="shared" si="19"/>
        <v>66.333333333333329</v>
      </c>
      <c r="AF270" s="24">
        <f t="shared" si="20"/>
        <v>0.25125628140703526</v>
      </c>
    </row>
    <row r="271" spans="1:32" x14ac:dyDescent="0.4">
      <c r="A271" s="16">
        <v>44568</v>
      </c>
      <c r="B271" s="17">
        <v>43</v>
      </c>
      <c r="C271" s="17">
        <v>44</v>
      </c>
      <c r="D271" s="17">
        <v>-30</v>
      </c>
      <c r="E271" s="17">
        <v>-20</v>
      </c>
      <c r="F271" s="17">
        <v>-426</v>
      </c>
      <c r="G271" s="17">
        <v>-353</v>
      </c>
      <c r="H271" s="18">
        <f t="shared" si="21"/>
        <v>49.425287356321839</v>
      </c>
      <c r="I271" s="18">
        <v>-0.27</v>
      </c>
      <c r="J271" s="18">
        <v>-2.5</v>
      </c>
      <c r="S271" s="19">
        <v>7</v>
      </c>
      <c r="T271" s="38">
        <v>5</v>
      </c>
      <c r="AE271" s="23">
        <f t="shared" si="19"/>
        <v>74.666666666666671</v>
      </c>
      <c r="AF271" s="24">
        <f t="shared" si="20"/>
        <v>-0.4241071428571429</v>
      </c>
    </row>
    <row r="272" spans="1:32" x14ac:dyDescent="0.4">
      <c r="A272" s="16">
        <v>44571</v>
      </c>
      <c r="B272" s="17">
        <v>70</v>
      </c>
      <c r="C272" s="17">
        <v>16</v>
      </c>
      <c r="D272" s="17">
        <v>-27</v>
      </c>
      <c r="E272" s="17">
        <v>-8</v>
      </c>
      <c r="F272" s="17">
        <v>-237</v>
      </c>
      <c r="G272" s="17">
        <v>-64</v>
      </c>
      <c r="H272" s="18">
        <f t="shared" si="21"/>
        <v>81.395348837209298</v>
      </c>
      <c r="I272" s="18">
        <v>2.7</v>
      </c>
      <c r="J272" s="18">
        <v>-2</v>
      </c>
      <c r="S272" s="19">
        <v>6</v>
      </c>
      <c r="T272" s="38">
        <v>5</v>
      </c>
      <c r="AE272" s="23">
        <f t="shared" si="19"/>
        <v>58</v>
      </c>
      <c r="AF272" s="24">
        <f t="shared" si="20"/>
        <v>0.20689655172413793</v>
      </c>
    </row>
    <row r="273" spans="1:32" x14ac:dyDescent="0.4">
      <c r="A273" s="16">
        <v>44572</v>
      </c>
      <c r="B273" s="17">
        <v>56</v>
      </c>
      <c r="C273" s="17">
        <v>28</v>
      </c>
      <c r="D273" s="17">
        <v>-14</v>
      </c>
      <c r="E273" s="17">
        <v>-6</v>
      </c>
      <c r="F273" s="17">
        <v>-233</v>
      </c>
      <c r="G273" s="17">
        <v>-160</v>
      </c>
      <c r="H273" s="18">
        <f t="shared" si="21"/>
        <v>66.666666666666657</v>
      </c>
      <c r="I273" s="18">
        <v>1.44</v>
      </c>
      <c r="J273" s="18">
        <v>0.11</v>
      </c>
      <c r="S273" s="19">
        <v>7</v>
      </c>
      <c r="T273" s="38">
        <v>4</v>
      </c>
      <c r="AE273" s="23">
        <f t="shared" si="19"/>
        <v>65.333333333333329</v>
      </c>
      <c r="AF273" s="24">
        <f t="shared" si="20"/>
        <v>-0.14285714285714279</v>
      </c>
    </row>
    <row r="274" spans="1:32" x14ac:dyDescent="0.4">
      <c r="A274" s="16">
        <v>44573</v>
      </c>
      <c r="B274" s="17">
        <v>92</v>
      </c>
      <c r="C274" s="17">
        <v>28</v>
      </c>
      <c r="D274" s="17">
        <v>-6</v>
      </c>
      <c r="E274" s="17">
        <v>0</v>
      </c>
      <c r="F274" s="17">
        <v>-89</v>
      </c>
      <c r="G274" s="17">
        <v>-26</v>
      </c>
      <c r="H274" s="18">
        <f t="shared" si="21"/>
        <v>76.666666666666671</v>
      </c>
      <c r="I274" s="18">
        <v>3.67</v>
      </c>
      <c r="J274" s="18">
        <v>0.01</v>
      </c>
      <c r="S274" s="19">
        <v>8</v>
      </c>
      <c r="T274" s="38">
        <v>5</v>
      </c>
      <c r="AE274" s="23">
        <f t="shared" si="19"/>
        <v>56.333333333333336</v>
      </c>
      <c r="AF274" s="24">
        <f t="shared" si="20"/>
        <v>0.63313609467455612</v>
      </c>
    </row>
    <row r="275" spans="1:32" x14ac:dyDescent="0.4">
      <c r="A275" s="16">
        <v>44574</v>
      </c>
      <c r="B275" s="17">
        <v>56</v>
      </c>
      <c r="C275" s="17">
        <v>36</v>
      </c>
      <c r="D275" s="17">
        <v>-17</v>
      </c>
      <c r="E275" s="17">
        <v>-6</v>
      </c>
      <c r="F275" s="17">
        <v>-263</v>
      </c>
      <c r="G275" s="17">
        <v>-192</v>
      </c>
      <c r="H275" s="18">
        <f t="shared" si="21"/>
        <v>60.869565217391312</v>
      </c>
      <c r="I275" s="18">
        <v>3.51</v>
      </c>
      <c r="J275" s="18">
        <v>1.4</v>
      </c>
      <c r="S275" s="19">
        <v>6</v>
      </c>
      <c r="T275" s="38">
        <v>5</v>
      </c>
      <c r="AE275" s="23">
        <f t="shared" si="19"/>
        <v>72.666666666666671</v>
      </c>
      <c r="AF275" s="24">
        <f t="shared" si="20"/>
        <v>-0.22935779816513766</v>
      </c>
    </row>
    <row r="276" spans="1:32" x14ac:dyDescent="0.4">
      <c r="A276" s="16">
        <v>44575</v>
      </c>
      <c r="B276" s="17">
        <v>74</v>
      </c>
      <c r="C276" s="17">
        <v>36</v>
      </c>
      <c r="D276" s="17">
        <v>-10</v>
      </c>
      <c r="E276" s="17">
        <v>-1</v>
      </c>
      <c r="F276" s="17">
        <v>-151</v>
      </c>
      <c r="G276" s="17">
        <v>-94</v>
      </c>
      <c r="H276" s="18">
        <f t="shared" si="21"/>
        <v>67.272727272727266</v>
      </c>
      <c r="I276" s="18">
        <v>3.78</v>
      </c>
      <c r="J276" s="18">
        <v>-0.7</v>
      </c>
      <c r="S276" s="19">
        <v>5</v>
      </c>
      <c r="T276" s="38">
        <v>4</v>
      </c>
      <c r="AE276" s="23">
        <f t="shared" si="19"/>
        <v>68</v>
      </c>
      <c r="AF276" s="24">
        <f t="shared" si="20"/>
        <v>8.8235294117647065E-2</v>
      </c>
    </row>
    <row r="277" spans="1:32" x14ac:dyDescent="0.4">
      <c r="A277" s="16">
        <v>44578</v>
      </c>
      <c r="B277" s="17">
        <v>109</v>
      </c>
      <c r="C277" s="17">
        <v>27</v>
      </c>
      <c r="D277" s="17">
        <v>-17</v>
      </c>
      <c r="E277" s="17">
        <v>-4</v>
      </c>
      <c r="F277" s="17">
        <v>-133</v>
      </c>
      <c r="G277" s="17">
        <v>-77</v>
      </c>
      <c r="H277" s="18">
        <f t="shared" si="21"/>
        <v>80.14705882352942</v>
      </c>
      <c r="I277" s="18">
        <v>4.4800000000000004</v>
      </c>
      <c r="J277" s="18">
        <v>2.2000000000000002</v>
      </c>
      <c r="S277" s="19">
        <v>6</v>
      </c>
      <c r="T277" s="38">
        <v>5</v>
      </c>
      <c r="AE277" s="23">
        <f t="shared" si="19"/>
        <v>74</v>
      </c>
      <c r="AF277" s="24">
        <f t="shared" si="20"/>
        <v>0.47297297297297297</v>
      </c>
    </row>
    <row r="278" spans="1:32" x14ac:dyDescent="0.4">
      <c r="A278" s="16">
        <v>44579</v>
      </c>
      <c r="B278" s="17">
        <v>41</v>
      </c>
      <c r="C278" s="17">
        <v>45</v>
      </c>
      <c r="D278" s="17">
        <v>-61</v>
      </c>
      <c r="E278" s="17">
        <v>-41</v>
      </c>
      <c r="F278" s="17">
        <v>-486</v>
      </c>
      <c r="G278" s="17">
        <v>-412</v>
      </c>
      <c r="H278" s="18">
        <f t="shared" si="21"/>
        <v>47.674418604651166</v>
      </c>
      <c r="I278" s="18">
        <v>-0.42</v>
      </c>
      <c r="J278" s="18">
        <v>-1.96</v>
      </c>
      <c r="S278" s="19">
        <v>5</v>
      </c>
      <c r="T278" s="20">
        <v>4</v>
      </c>
      <c r="AE278" s="23">
        <f t="shared" si="19"/>
        <v>79.666666666666671</v>
      </c>
      <c r="AF278" s="24">
        <f t="shared" si="20"/>
        <v>-0.4853556485355649</v>
      </c>
    </row>
    <row r="279" spans="1:32" x14ac:dyDescent="0.4">
      <c r="A279" s="16">
        <v>44580</v>
      </c>
      <c r="B279" s="17">
        <v>56</v>
      </c>
      <c r="C279" s="17">
        <v>21</v>
      </c>
      <c r="D279" s="17">
        <v>-32</v>
      </c>
      <c r="E279" s="17">
        <v>-9</v>
      </c>
      <c r="F279" s="17">
        <v>-265</v>
      </c>
      <c r="G279" s="17">
        <v>-137</v>
      </c>
      <c r="H279" s="18">
        <f t="shared" si="21"/>
        <v>72.727272727272734</v>
      </c>
      <c r="I279" s="18">
        <v>1.58</v>
      </c>
      <c r="J279" s="18">
        <v>-2.36</v>
      </c>
      <c r="S279" s="19">
        <v>6</v>
      </c>
      <c r="T279" s="20">
        <v>5</v>
      </c>
      <c r="AE279" s="23">
        <f t="shared" si="19"/>
        <v>74.666666666666671</v>
      </c>
      <c r="AF279" s="24">
        <f t="shared" si="20"/>
        <v>-0.25000000000000006</v>
      </c>
    </row>
    <row r="280" spans="1:32" x14ac:dyDescent="0.4">
      <c r="A280" s="16">
        <v>44581</v>
      </c>
      <c r="B280" s="17">
        <v>42</v>
      </c>
      <c r="C280" s="17">
        <v>27</v>
      </c>
      <c r="D280" s="17">
        <v>-26</v>
      </c>
      <c r="E280" s="17">
        <v>-13</v>
      </c>
      <c r="F280" s="17">
        <v>-777</v>
      </c>
      <c r="G280" s="17">
        <v>-633</v>
      </c>
      <c r="H280" s="18">
        <f t="shared" si="21"/>
        <v>60.869565217391312</v>
      </c>
      <c r="I280" s="18">
        <v>2.61</v>
      </c>
      <c r="J280" s="18">
        <v>-1.1100000000000001</v>
      </c>
      <c r="S280" s="19">
        <v>7</v>
      </c>
      <c r="T280" s="20">
        <v>6</v>
      </c>
      <c r="AE280" s="23">
        <f t="shared" si="19"/>
        <v>68.666666666666671</v>
      </c>
      <c r="AF280" s="24">
        <f t="shared" si="20"/>
        <v>-0.38834951456310685</v>
      </c>
    </row>
    <row r="281" spans="1:32" x14ac:dyDescent="0.4">
      <c r="A281" s="16">
        <v>44582</v>
      </c>
      <c r="B281" s="17">
        <v>48</v>
      </c>
      <c r="C281" s="17">
        <v>27</v>
      </c>
      <c r="D281" s="17">
        <v>-62</v>
      </c>
      <c r="E281" s="17">
        <v>-40</v>
      </c>
      <c r="F281" s="17">
        <v>-448</v>
      </c>
      <c r="G281" s="17">
        <v>-362</v>
      </c>
      <c r="H281" s="18">
        <f t="shared" si="21"/>
        <v>64</v>
      </c>
      <c r="I281" s="18">
        <v>-1.39</v>
      </c>
      <c r="J281" s="18">
        <v>-6.25</v>
      </c>
      <c r="S281" s="19">
        <v>7</v>
      </c>
      <c r="T281" s="20">
        <v>3</v>
      </c>
      <c r="AE281" s="23">
        <f t="shared" si="19"/>
        <v>46.333333333333336</v>
      </c>
      <c r="AF281" s="24">
        <f t="shared" si="20"/>
        <v>3.5971223021582684E-2</v>
      </c>
    </row>
    <row r="282" spans="1:32" x14ac:dyDescent="0.4">
      <c r="A282" s="16">
        <v>44585</v>
      </c>
      <c r="B282" s="17">
        <v>54</v>
      </c>
      <c r="C282" s="17">
        <v>22</v>
      </c>
      <c r="D282" s="17">
        <v>-55</v>
      </c>
      <c r="E282" s="17">
        <v>-31</v>
      </c>
      <c r="F282" s="17">
        <v>-258</v>
      </c>
      <c r="G282" s="17">
        <v>-148</v>
      </c>
      <c r="H282" s="18">
        <f t="shared" si="21"/>
        <v>71.05263157894737</v>
      </c>
      <c r="I282" s="18">
        <v>0.85</v>
      </c>
      <c r="J282" s="18">
        <v>-2.54</v>
      </c>
      <c r="S282" s="19">
        <v>4</v>
      </c>
      <c r="T282" s="20">
        <v>3</v>
      </c>
      <c r="AE282" s="23">
        <f t="shared" si="19"/>
        <v>48.666666666666664</v>
      </c>
      <c r="AF282" s="24">
        <f t="shared" si="20"/>
        <v>0.10958904109589046</v>
      </c>
    </row>
    <row r="283" spans="1:32" x14ac:dyDescent="0.4">
      <c r="A283" s="16">
        <v>44586</v>
      </c>
      <c r="B283" s="17">
        <v>25</v>
      </c>
      <c r="C283" s="17">
        <v>14</v>
      </c>
      <c r="D283" s="17">
        <v>-76</v>
      </c>
      <c r="E283" s="17">
        <v>-49</v>
      </c>
      <c r="F283" s="17">
        <v>-1831</v>
      </c>
      <c r="G283" s="17">
        <v>-1532</v>
      </c>
      <c r="H283" s="18">
        <f t="shared" si="21"/>
        <v>64.102564102564102</v>
      </c>
      <c r="I283" s="18">
        <v>-0.98</v>
      </c>
      <c r="J283" s="18">
        <v>-3.22</v>
      </c>
      <c r="S283" s="19">
        <v>5</v>
      </c>
      <c r="T283" s="20">
        <v>4</v>
      </c>
      <c r="AE283" s="23">
        <f t="shared" si="19"/>
        <v>48</v>
      </c>
      <c r="AF283" s="24">
        <f t="shared" si="20"/>
        <v>-0.47916666666666669</v>
      </c>
    </row>
    <row r="284" spans="1:32" x14ac:dyDescent="0.4">
      <c r="A284" s="16">
        <v>44587</v>
      </c>
      <c r="B284" s="17">
        <v>51</v>
      </c>
      <c r="C284" s="17">
        <v>22</v>
      </c>
      <c r="D284" s="17">
        <v>-48</v>
      </c>
      <c r="E284" s="17">
        <v>-31</v>
      </c>
      <c r="F284" s="17">
        <v>-307</v>
      </c>
      <c r="G284" s="17">
        <v>-141</v>
      </c>
      <c r="H284" s="18">
        <f t="shared" si="21"/>
        <v>69.863013698630141</v>
      </c>
      <c r="I284" s="18">
        <v>-0.35</v>
      </c>
      <c r="J284" s="18">
        <v>-3.69</v>
      </c>
      <c r="S284" s="19">
        <v>4</v>
      </c>
      <c r="T284" s="20">
        <v>2</v>
      </c>
      <c r="AE284" s="23">
        <f t="shared" si="19"/>
        <v>42.333333333333336</v>
      </c>
      <c r="AF284" s="24">
        <f t="shared" si="20"/>
        <v>0.20472440944881884</v>
      </c>
    </row>
    <row r="285" spans="1:32" x14ac:dyDescent="0.4">
      <c r="A285" s="16">
        <v>44588</v>
      </c>
      <c r="B285" s="17">
        <v>13</v>
      </c>
      <c r="C285" s="17">
        <v>15</v>
      </c>
      <c r="D285" s="17">
        <v>-97</v>
      </c>
      <c r="E285" s="17">
        <v>-70</v>
      </c>
      <c r="F285" s="17">
        <v>-989</v>
      </c>
      <c r="G285" s="17">
        <v>-782</v>
      </c>
      <c r="H285" s="18">
        <f t="shared" si="21"/>
        <v>46.428571428571431</v>
      </c>
      <c r="I285" s="18">
        <v>-3.42</v>
      </c>
      <c r="J285" s="18">
        <v>-6.34</v>
      </c>
      <c r="S285" s="19">
        <v>2</v>
      </c>
      <c r="T285" s="20">
        <v>1</v>
      </c>
      <c r="AE285" s="23">
        <f t="shared" ref="AE285:AE348" si="22">(B282+B283+B284)/3</f>
        <v>43.333333333333336</v>
      </c>
      <c r="AF285" s="24">
        <f t="shared" ref="AF285:AF348" si="23">(B285-AE285)/AE285</f>
        <v>-0.70000000000000007</v>
      </c>
    </row>
    <row r="286" spans="1:32" x14ac:dyDescent="0.4">
      <c r="A286" s="16">
        <v>44589</v>
      </c>
      <c r="B286" s="17">
        <v>56</v>
      </c>
      <c r="C286" s="17">
        <v>22</v>
      </c>
      <c r="D286" s="17">
        <v>-59</v>
      </c>
      <c r="E286" s="17">
        <v>-20</v>
      </c>
      <c r="F286" s="17">
        <v>-318</v>
      </c>
      <c r="G286" s="17">
        <v>-121</v>
      </c>
      <c r="H286" s="18">
        <f t="shared" si="21"/>
        <v>71.794871794871796</v>
      </c>
      <c r="I286" s="18">
        <v>2.62</v>
      </c>
      <c r="J286" s="18">
        <v>-5.34</v>
      </c>
      <c r="S286" s="19">
        <v>3</v>
      </c>
      <c r="T286" s="20">
        <v>2</v>
      </c>
      <c r="AE286" s="23">
        <f t="shared" si="22"/>
        <v>29.666666666666668</v>
      </c>
      <c r="AF286" s="24">
        <f t="shared" si="23"/>
        <v>0.88764044943820219</v>
      </c>
    </row>
    <row r="287" spans="1:32" x14ac:dyDescent="0.4">
      <c r="A287" s="16">
        <v>44599</v>
      </c>
      <c r="B287" s="17">
        <v>86</v>
      </c>
      <c r="C287" s="17">
        <v>32</v>
      </c>
      <c r="D287" s="17">
        <v>-65</v>
      </c>
      <c r="E287" s="17">
        <v>-20</v>
      </c>
      <c r="F287" s="17">
        <v>-343</v>
      </c>
      <c r="G287" s="17">
        <v>-152</v>
      </c>
      <c r="H287" s="18">
        <f t="shared" si="21"/>
        <v>72.881355932203391</v>
      </c>
      <c r="I287" s="18">
        <v>2.0699999999999998</v>
      </c>
      <c r="J287" s="18">
        <v>0.09</v>
      </c>
      <c r="S287" s="19">
        <v>4</v>
      </c>
      <c r="T287" s="20">
        <v>2</v>
      </c>
      <c r="AE287" s="23">
        <f t="shared" si="22"/>
        <v>40</v>
      </c>
      <c r="AF287" s="24">
        <f t="shared" si="23"/>
        <v>1.1499999999999999</v>
      </c>
    </row>
    <row r="288" spans="1:32" x14ac:dyDescent="0.4">
      <c r="A288" s="16">
        <v>44600</v>
      </c>
      <c r="B288" s="17">
        <v>74</v>
      </c>
      <c r="C288" s="17">
        <v>26</v>
      </c>
      <c r="D288" s="17">
        <v>-26</v>
      </c>
      <c r="E288" s="17">
        <v>-5</v>
      </c>
      <c r="F288" s="17">
        <v>-337</v>
      </c>
      <c r="G288" s="17">
        <v>-115</v>
      </c>
      <c r="H288" s="18">
        <f t="shared" si="21"/>
        <v>74</v>
      </c>
      <c r="I288" s="18">
        <v>3.87</v>
      </c>
      <c r="J288" s="18">
        <v>2.15</v>
      </c>
      <c r="S288" s="19">
        <v>5</v>
      </c>
      <c r="T288" s="20">
        <v>3</v>
      </c>
      <c r="AE288" s="23">
        <f t="shared" si="22"/>
        <v>51.666666666666664</v>
      </c>
      <c r="AF288" s="24">
        <f t="shared" si="23"/>
        <v>0.43225806451612908</v>
      </c>
    </row>
    <row r="289" spans="1:32" x14ac:dyDescent="0.4">
      <c r="A289" s="16">
        <v>44601</v>
      </c>
      <c r="B289" s="17">
        <v>96</v>
      </c>
      <c r="C289" s="17">
        <v>25</v>
      </c>
      <c r="D289" s="17">
        <v>-4</v>
      </c>
      <c r="E289" s="17">
        <v>0</v>
      </c>
      <c r="F289" s="17">
        <v>-95</v>
      </c>
      <c r="G289" s="17">
        <v>-12</v>
      </c>
      <c r="H289" s="18">
        <f t="shared" si="21"/>
        <v>79.338842975206617</v>
      </c>
      <c r="I289" s="18">
        <v>4.2699999999999996</v>
      </c>
      <c r="J289" s="18">
        <v>2.35</v>
      </c>
      <c r="S289" s="19">
        <v>6</v>
      </c>
      <c r="T289" s="20">
        <v>4</v>
      </c>
      <c r="AE289" s="23">
        <f t="shared" si="22"/>
        <v>72</v>
      </c>
      <c r="AF289" s="24">
        <f t="shared" si="23"/>
        <v>0.33333333333333331</v>
      </c>
    </row>
    <row r="290" spans="1:32" x14ac:dyDescent="0.4">
      <c r="A290" s="16">
        <v>44602</v>
      </c>
      <c r="B290" s="17">
        <v>55</v>
      </c>
      <c r="C290" s="17">
        <v>28</v>
      </c>
      <c r="D290" s="17">
        <v>-4</v>
      </c>
      <c r="E290" s="17">
        <v>-2</v>
      </c>
      <c r="F290" s="17">
        <v>-262</v>
      </c>
      <c r="G290" s="17">
        <v>-123</v>
      </c>
      <c r="H290" s="18">
        <f t="shared" si="21"/>
        <v>66.265060240963862</v>
      </c>
      <c r="I290" s="18">
        <v>2.2000000000000002</v>
      </c>
      <c r="J290" s="18">
        <v>0.91</v>
      </c>
      <c r="S290" s="19">
        <v>7</v>
      </c>
      <c r="T290" s="20">
        <v>5</v>
      </c>
      <c r="AE290" s="23">
        <f t="shared" si="22"/>
        <v>85.333333333333329</v>
      </c>
      <c r="AF290" s="24">
        <f t="shared" si="23"/>
        <v>-0.35546874999999994</v>
      </c>
    </row>
    <row r="291" spans="1:32" x14ac:dyDescent="0.4">
      <c r="A291" s="16">
        <v>44603</v>
      </c>
      <c r="B291" s="17">
        <v>51</v>
      </c>
      <c r="C291" s="17">
        <v>24</v>
      </c>
      <c r="D291" s="17">
        <v>-23</v>
      </c>
      <c r="E291" s="17">
        <v>-9</v>
      </c>
      <c r="F291" s="17">
        <v>-603</v>
      </c>
      <c r="G291" s="17">
        <v>-380</v>
      </c>
      <c r="H291" s="18">
        <f t="shared" si="21"/>
        <v>68</v>
      </c>
      <c r="I291" s="18">
        <v>2.23</v>
      </c>
      <c r="J291" s="18">
        <v>-0.64</v>
      </c>
      <c r="S291" s="19">
        <v>8</v>
      </c>
      <c r="T291" s="20">
        <v>6</v>
      </c>
      <c r="AE291" s="23">
        <f t="shared" si="22"/>
        <v>75</v>
      </c>
      <c r="AF291" s="24">
        <f t="shared" si="23"/>
        <v>-0.32</v>
      </c>
    </row>
    <row r="292" spans="1:32" ht="15.9" x14ac:dyDescent="0.45">
      <c r="A292" s="16">
        <v>44606</v>
      </c>
      <c r="B292" s="17">
        <v>84</v>
      </c>
      <c r="C292" s="17">
        <v>33</v>
      </c>
      <c r="D292" s="17">
        <v>-24</v>
      </c>
      <c r="E292" s="17">
        <v>-9</v>
      </c>
      <c r="F292" s="17">
        <v>-256</v>
      </c>
      <c r="G292" s="17">
        <v>-107</v>
      </c>
      <c r="H292" s="18">
        <f t="shared" si="21"/>
        <v>71.794871794871796</v>
      </c>
      <c r="I292" s="18">
        <v>1.66</v>
      </c>
      <c r="J292" s="18">
        <v>-1.27</v>
      </c>
      <c r="S292" s="37">
        <v>6</v>
      </c>
      <c r="T292" s="38">
        <v>3</v>
      </c>
      <c r="AE292" s="23">
        <f t="shared" si="22"/>
        <v>67.333333333333329</v>
      </c>
      <c r="AF292" s="24">
        <f t="shared" si="23"/>
        <v>0.24752475247524761</v>
      </c>
    </row>
    <row r="293" spans="1:32" x14ac:dyDescent="0.4">
      <c r="A293" s="16">
        <v>44607</v>
      </c>
      <c r="B293" s="17">
        <v>56</v>
      </c>
      <c r="C293" s="17">
        <v>38</v>
      </c>
      <c r="D293" s="17">
        <v>-23</v>
      </c>
      <c r="E293" s="17">
        <v>-13</v>
      </c>
      <c r="F293" s="17">
        <v>-161</v>
      </c>
      <c r="G293" s="17">
        <v>-68</v>
      </c>
      <c r="H293" s="18">
        <f t="shared" si="21"/>
        <v>59.574468085106382</v>
      </c>
      <c r="I293" s="18">
        <v>0.74</v>
      </c>
      <c r="J293" s="18">
        <v>-1.51</v>
      </c>
      <c r="S293" s="19">
        <v>4</v>
      </c>
      <c r="T293" s="20">
        <v>2</v>
      </c>
      <c r="AE293" s="23">
        <f t="shared" si="22"/>
        <v>63.333333333333336</v>
      </c>
      <c r="AF293" s="24">
        <f t="shared" si="23"/>
        <v>-0.11578947368421055</v>
      </c>
    </row>
    <row r="294" spans="1:32" x14ac:dyDescent="0.4">
      <c r="A294" s="16">
        <v>44608</v>
      </c>
      <c r="B294" s="17">
        <v>70</v>
      </c>
      <c r="C294" s="17">
        <v>33</v>
      </c>
      <c r="D294" s="17">
        <v>-4</v>
      </c>
      <c r="E294" s="17">
        <v>0</v>
      </c>
      <c r="F294" s="17">
        <v>-88</v>
      </c>
      <c r="G294" s="17">
        <v>-28</v>
      </c>
      <c r="H294" s="18">
        <f t="shared" si="21"/>
        <v>67.961165048543691</v>
      </c>
      <c r="I294" s="18">
        <v>3.71</v>
      </c>
      <c r="J294" s="18">
        <v>-0.52</v>
      </c>
      <c r="S294" s="19">
        <v>5</v>
      </c>
      <c r="T294" s="20">
        <v>3</v>
      </c>
      <c r="AE294" s="23">
        <f t="shared" si="22"/>
        <v>63.666666666666664</v>
      </c>
      <c r="AF294" s="24">
        <f t="shared" si="23"/>
        <v>9.9476439790575952E-2</v>
      </c>
    </row>
    <row r="295" spans="1:32" ht="15.9" x14ac:dyDescent="0.45">
      <c r="A295" s="16">
        <v>44609</v>
      </c>
      <c r="B295" s="17">
        <v>43</v>
      </c>
      <c r="C295" s="17">
        <v>49</v>
      </c>
      <c r="D295" s="17">
        <v>-21</v>
      </c>
      <c r="E295" s="17">
        <v>-11</v>
      </c>
      <c r="F295" s="17">
        <v>-154</v>
      </c>
      <c r="G295" s="17">
        <v>-92</v>
      </c>
      <c r="H295" s="18">
        <f t="shared" si="21"/>
        <v>46.739130434782609</v>
      </c>
      <c r="I295" s="18">
        <v>-0.11</v>
      </c>
      <c r="J295" s="18">
        <v>-2.36</v>
      </c>
      <c r="S295" s="37">
        <v>4</v>
      </c>
      <c r="T295" s="20">
        <v>2</v>
      </c>
      <c r="AE295" s="23">
        <f t="shared" si="22"/>
        <v>70</v>
      </c>
      <c r="AF295" s="24">
        <f t="shared" si="23"/>
        <v>-0.38571428571428573</v>
      </c>
    </row>
    <row r="296" spans="1:32" ht="15.9" x14ac:dyDescent="0.45">
      <c r="A296" s="16">
        <v>44610</v>
      </c>
      <c r="B296" s="17">
        <v>49</v>
      </c>
      <c r="C296" s="17">
        <v>26</v>
      </c>
      <c r="D296" s="17">
        <v>-8</v>
      </c>
      <c r="E296" s="17">
        <v>-1</v>
      </c>
      <c r="F296" s="17">
        <v>-134</v>
      </c>
      <c r="G296" s="17">
        <v>-25</v>
      </c>
      <c r="H296" s="18">
        <f t="shared" si="21"/>
        <v>65.333333333333329</v>
      </c>
      <c r="I296" s="18">
        <v>1.4</v>
      </c>
      <c r="J296" s="18">
        <v>-2.9</v>
      </c>
      <c r="S296" s="37">
        <v>5</v>
      </c>
      <c r="T296" s="38">
        <v>3</v>
      </c>
      <c r="AE296" s="23">
        <f t="shared" si="22"/>
        <v>56.333333333333336</v>
      </c>
      <c r="AF296" s="24">
        <f t="shared" si="23"/>
        <v>-0.13017751479289943</v>
      </c>
    </row>
    <row r="297" spans="1:32" ht="15.9" x14ac:dyDescent="0.45">
      <c r="A297" s="16">
        <v>44613</v>
      </c>
      <c r="B297" s="17">
        <v>98</v>
      </c>
      <c r="C297" s="17">
        <v>27</v>
      </c>
      <c r="D297" s="17">
        <v>-2</v>
      </c>
      <c r="E297" s="17">
        <v>0</v>
      </c>
      <c r="F297" s="17">
        <v>-62</v>
      </c>
      <c r="G297" s="17">
        <v>-13</v>
      </c>
      <c r="H297" s="18">
        <f t="shared" si="21"/>
        <v>78.400000000000006</v>
      </c>
      <c r="I297" s="18">
        <v>7.2</v>
      </c>
      <c r="J297" s="18">
        <v>4.04</v>
      </c>
      <c r="S297" s="37">
        <v>6</v>
      </c>
      <c r="T297" s="38">
        <v>4</v>
      </c>
      <c r="AE297" s="23">
        <f t="shared" si="22"/>
        <v>54</v>
      </c>
      <c r="AF297" s="24">
        <f t="shared" si="23"/>
        <v>0.81481481481481477</v>
      </c>
    </row>
    <row r="298" spans="1:32" ht="15.9" x14ac:dyDescent="0.45">
      <c r="A298" s="16">
        <v>44614</v>
      </c>
      <c r="B298" s="17">
        <v>46</v>
      </c>
      <c r="C298" s="17">
        <v>28</v>
      </c>
      <c r="D298" s="17">
        <v>-10</v>
      </c>
      <c r="E298" s="17">
        <v>-2</v>
      </c>
      <c r="F298" s="17">
        <v>-343</v>
      </c>
      <c r="G298" s="17">
        <v>-123</v>
      </c>
      <c r="H298" s="18">
        <f t="shared" si="21"/>
        <v>62.162162162162161</v>
      </c>
      <c r="I298" s="18">
        <v>1.84</v>
      </c>
      <c r="J298" s="18">
        <v>0.55000000000000004</v>
      </c>
      <c r="S298" s="37">
        <v>7</v>
      </c>
      <c r="T298" s="38">
        <v>5</v>
      </c>
      <c r="AE298" s="23">
        <f t="shared" si="22"/>
        <v>63.333333333333336</v>
      </c>
      <c r="AF298" s="24">
        <f t="shared" si="23"/>
        <v>-0.27368421052631581</v>
      </c>
    </row>
    <row r="299" spans="1:32" ht="15.9" x14ac:dyDescent="0.45">
      <c r="A299" s="16">
        <v>44615</v>
      </c>
      <c r="B299" s="17">
        <v>85</v>
      </c>
      <c r="C299" s="17">
        <v>28</v>
      </c>
      <c r="D299" s="17">
        <v>-12</v>
      </c>
      <c r="E299" s="17">
        <v>-3</v>
      </c>
      <c r="F299" s="17">
        <v>-91</v>
      </c>
      <c r="G299" s="17">
        <v>-42</v>
      </c>
      <c r="H299" s="18">
        <f t="shared" si="21"/>
        <v>75.221238938053091</v>
      </c>
      <c r="I299" s="18">
        <v>3.67</v>
      </c>
      <c r="J299" s="18">
        <v>-0.24</v>
      </c>
      <c r="S299" s="37">
        <v>6</v>
      </c>
      <c r="T299" s="38">
        <v>4</v>
      </c>
      <c r="AE299" s="23">
        <f t="shared" si="22"/>
        <v>64.333333333333329</v>
      </c>
      <c r="AF299" s="24">
        <f t="shared" si="23"/>
        <v>0.32124352331606226</v>
      </c>
    </row>
    <row r="300" spans="1:32" ht="15.9" x14ac:dyDescent="0.45">
      <c r="A300" s="16">
        <v>44616</v>
      </c>
      <c r="B300" s="17">
        <v>35</v>
      </c>
      <c r="C300" s="17">
        <v>54</v>
      </c>
      <c r="D300" s="17">
        <v>-81</v>
      </c>
      <c r="E300" s="17">
        <v>-30</v>
      </c>
      <c r="F300" s="17">
        <v>-1139</v>
      </c>
      <c r="G300" s="17">
        <v>-503</v>
      </c>
      <c r="H300" s="18">
        <f t="shared" si="21"/>
        <v>39.325842696629216</v>
      </c>
      <c r="I300" s="18">
        <v>-0.49</v>
      </c>
      <c r="J300" s="18">
        <v>-2.37</v>
      </c>
      <c r="S300" s="37">
        <v>7</v>
      </c>
      <c r="T300" s="38">
        <v>5</v>
      </c>
      <c r="AE300" s="23">
        <f t="shared" si="22"/>
        <v>76.333333333333329</v>
      </c>
      <c r="AF300" s="24">
        <f t="shared" si="23"/>
        <v>-0.54148471615720517</v>
      </c>
    </row>
    <row r="301" spans="1:32" x14ac:dyDescent="0.4">
      <c r="A301" s="16">
        <v>44617</v>
      </c>
      <c r="B301" s="17">
        <v>57</v>
      </c>
      <c r="C301" s="17">
        <v>28</v>
      </c>
      <c r="D301" s="17">
        <v>-16</v>
      </c>
      <c r="E301" s="17">
        <v>-6</v>
      </c>
      <c r="F301" s="17">
        <v>-126</v>
      </c>
      <c r="G301" s="17">
        <v>-48</v>
      </c>
      <c r="H301" s="18">
        <f t="shared" si="21"/>
        <v>67.058823529411754</v>
      </c>
      <c r="I301" s="18">
        <v>2.0699999999999998</v>
      </c>
      <c r="J301" s="18">
        <v>-2.86</v>
      </c>
      <c r="S301" s="19">
        <v>6</v>
      </c>
      <c r="T301" s="20">
        <v>5</v>
      </c>
      <c r="AE301" s="23">
        <f t="shared" si="22"/>
        <v>55.333333333333336</v>
      </c>
      <c r="AF301" s="24">
        <f t="shared" si="23"/>
        <v>3.0120481927710798E-2</v>
      </c>
    </row>
    <row r="302" spans="1:32" ht="15.9" x14ac:dyDescent="0.45">
      <c r="A302" s="16">
        <v>44620</v>
      </c>
      <c r="B302" s="17">
        <v>43</v>
      </c>
      <c r="C302" s="17">
        <v>23</v>
      </c>
      <c r="D302" s="17">
        <v>-25</v>
      </c>
      <c r="E302" s="17">
        <v>-13</v>
      </c>
      <c r="F302" s="17">
        <v>-217</v>
      </c>
      <c r="G302" s="17">
        <v>-81</v>
      </c>
      <c r="H302" s="18">
        <f t="shared" si="21"/>
        <v>65.151515151515156</v>
      </c>
      <c r="I302" s="18">
        <v>0.6</v>
      </c>
      <c r="J302" s="18">
        <v>-1.46</v>
      </c>
      <c r="S302" s="37">
        <v>7</v>
      </c>
      <c r="T302" s="38">
        <v>3</v>
      </c>
      <c r="AE302" s="23">
        <f t="shared" si="22"/>
        <v>59</v>
      </c>
      <c r="AF302" s="24">
        <f t="shared" si="23"/>
        <v>-0.2711864406779661</v>
      </c>
    </row>
    <row r="303" spans="1:32" x14ac:dyDescent="0.4">
      <c r="A303" s="16">
        <v>44621</v>
      </c>
      <c r="B303" s="17">
        <v>51</v>
      </c>
      <c r="C303" s="17">
        <v>17</v>
      </c>
      <c r="D303" s="17">
        <v>-11</v>
      </c>
      <c r="E303" s="17">
        <v>-5</v>
      </c>
      <c r="F303" s="17">
        <v>-110</v>
      </c>
      <c r="G303" s="17">
        <v>-37</v>
      </c>
      <c r="H303" s="18">
        <f t="shared" si="21"/>
        <v>75</v>
      </c>
      <c r="I303" s="18">
        <v>3.12</v>
      </c>
      <c r="J303" s="18">
        <v>-1</v>
      </c>
      <c r="S303" s="19">
        <v>4</v>
      </c>
      <c r="T303" s="20">
        <v>3</v>
      </c>
      <c r="AE303" s="23">
        <f t="shared" si="22"/>
        <v>45</v>
      </c>
      <c r="AF303" s="24">
        <f t="shared" si="23"/>
        <v>0.13333333333333333</v>
      </c>
    </row>
    <row r="304" spans="1:32" x14ac:dyDescent="0.4">
      <c r="A304" s="16">
        <v>44622</v>
      </c>
      <c r="B304" s="17">
        <v>62</v>
      </c>
      <c r="C304" s="17">
        <v>20</v>
      </c>
      <c r="D304" s="17">
        <v>-4</v>
      </c>
      <c r="E304" s="17">
        <v>0</v>
      </c>
      <c r="F304" s="17">
        <v>-109</v>
      </c>
      <c r="G304" s="17">
        <v>-23</v>
      </c>
      <c r="H304" s="18">
        <f t="shared" si="21"/>
        <v>75.609756097560975</v>
      </c>
      <c r="I304" s="18">
        <v>3.49</v>
      </c>
      <c r="J304" s="18">
        <v>1.48</v>
      </c>
      <c r="S304" s="19">
        <v>5</v>
      </c>
      <c r="T304" s="20">
        <v>4</v>
      </c>
      <c r="AE304" s="23">
        <f t="shared" si="22"/>
        <v>50.333333333333336</v>
      </c>
      <c r="AF304" s="24">
        <f t="shared" si="23"/>
        <v>0.23178807947019861</v>
      </c>
    </row>
    <row r="305" spans="1:32" x14ac:dyDescent="0.4">
      <c r="A305" s="16">
        <v>44623</v>
      </c>
      <c r="B305" s="17">
        <v>75</v>
      </c>
      <c r="C305" s="17">
        <v>28</v>
      </c>
      <c r="D305" s="17">
        <v>-3</v>
      </c>
      <c r="E305" s="17">
        <v>-1</v>
      </c>
      <c r="F305" s="17">
        <v>-179</v>
      </c>
      <c r="G305" s="17">
        <v>-98</v>
      </c>
      <c r="H305" s="18">
        <f t="shared" si="21"/>
        <v>72.815533980582529</v>
      </c>
      <c r="I305" s="18">
        <v>5.08</v>
      </c>
      <c r="J305" s="18">
        <v>3.15</v>
      </c>
      <c r="S305" s="19">
        <v>6</v>
      </c>
      <c r="T305" s="20">
        <v>5</v>
      </c>
      <c r="AE305" s="23">
        <f t="shared" si="22"/>
        <v>52</v>
      </c>
      <c r="AF305" s="24">
        <f t="shared" si="23"/>
        <v>0.44230769230769229</v>
      </c>
    </row>
    <row r="306" spans="1:32" x14ac:dyDescent="0.4">
      <c r="A306" s="16">
        <v>44624</v>
      </c>
      <c r="B306" s="17">
        <v>44</v>
      </c>
      <c r="C306" s="17">
        <v>26</v>
      </c>
      <c r="D306" s="17">
        <v>-32</v>
      </c>
      <c r="E306" s="17">
        <v>-15</v>
      </c>
      <c r="F306" s="17">
        <v>-304</v>
      </c>
      <c r="G306" s="17">
        <v>-179</v>
      </c>
      <c r="H306" s="18">
        <f t="shared" si="21"/>
        <v>62.857142857142854</v>
      </c>
      <c r="I306" s="18">
        <v>-1.77</v>
      </c>
      <c r="J306" s="18">
        <v>-2.98</v>
      </c>
      <c r="S306" s="19">
        <v>7</v>
      </c>
      <c r="T306" s="20">
        <v>6</v>
      </c>
      <c r="AE306" s="23">
        <f t="shared" si="22"/>
        <v>62.666666666666664</v>
      </c>
      <c r="AF306" s="24">
        <f t="shared" si="23"/>
        <v>-0.2978723404255319</v>
      </c>
    </row>
    <row r="307" spans="1:32" x14ac:dyDescent="0.4">
      <c r="A307" s="16">
        <v>44627</v>
      </c>
      <c r="B307" s="17">
        <v>52</v>
      </c>
      <c r="C307" s="17">
        <v>27</v>
      </c>
      <c r="D307" s="17">
        <v>-35</v>
      </c>
      <c r="E307" s="17">
        <v>-9</v>
      </c>
      <c r="F307" s="17">
        <v>-569</v>
      </c>
      <c r="G307" s="17">
        <v>-279</v>
      </c>
      <c r="H307" s="18">
        <f t="shared" si="21"/>
        <v>65.822784810126578</v>
      </c>
      <c r="I307" s="18">
        <v>3.51</v>
      </c>
      <c r="J307" s="18">
        <v>-0.49</v>
      </c>
      <c r="S307" s="19">
        <v>7</v>
      </c>
      <c r="T307" s="20">
        <v>5</v>
      </c>
      <c r="AE307" s="23">
        <f t="shared" si="22"/>
        <v>60.333333333333336</v>
      </c>
      <c r="AF307" s="24">
        <f t="shared" si="23"/>
        <v>-0.138121546961326</v>
      </c>
    </row>
    <row r="308" spans="1:32" x14ac:dyDescent="0.4">
      <c r="A308" s="16">
        <v>44628</v>
      </c>
      <c r="B308" s="17">
        <v>21</v>
      </c>
      <c r="C308" s="17">
        <v>34</v>
      </c>
      <c r="D308" s="17">
        <v>-99</v>
      </c>
      <c r="E308" s="17">
        <v>-54</v>
      </c>
      <c r="F308" s="17">
        <v>-1321</v>
      </c>
      <c r="G308" s="17">
        <v>-837</v>
      </c>
      <c r="H308" s="18">
        <f t="shared" si="21"/>
        <v>38.181818181818187</v>
      </c>
      <c r="I308" s="18">
        <v>-3.37</v>
      </c>
      <c r="J308" s="18">
        <v>-5.85</v>
      </c>
      <c r="S308" s="19">
        <v>6</v>
      </c>
      <c r="T308" s="20">
        <v>3</v>
      </c>
      <c r="AE308" s="23">
        <f t="shared" si="22"/>
        <v>57</v>
      </c>
      <c r="AF308" s="24">
        <f t="shared" si="23"/>
        <v>-0.63157894736842102</v>
      </c>
    </row>
    <row r="309" spans="1:32" x14ac:dyDescent="0.4">
      <c r="A309" s="16">
        <v>44629</v>
      </c>
      <c r="B309" s="17">
        <v>46</v>
      </c>
      <c r="C309" s="17">
        <v>26</v>
      </c>
      <c r="D309" s="17">
        <v>-121</v>
      </c>
      <c r="E309" s="17">
        <v>-10</v>
      </c>
      <c r="F309" s="17">
        <v>-3150</v>
      </c>
      <c r="G309" s="17">
        <v>-230</v>
      </c>
      <c r="H309" s="18">
        <f t="shared" si="21"/>
        <v>63.888888888888886</v>
      </c>
      <c r="I309" s="18">
        <v>6.43</v>
      </c>
      <c r="J309" s="18">
        <v>-2.98</v>
      </c>
      <c r="S309" s="19">
        <v>4</v>
      </c>
      <c r="T309" s="20">
        <v>3</v>
      </c>
      <c r="AE309" s="23">
        <f t="shared" si="22"/>
        <v>39</v>
      </c>
      <c r="AF309" s="24">
        <f t="shared" si="23"/>
        <v>0.17948717948717949</v>
      </c>
    </row>
    <row r="310" spans="1:32" x14ac:dyDescent="0.4">
      <c r="A310" s="16">
        <v>44630</v>
      </c>
      <c r="B310" s="17">
        <v>83</v>
      </c>
      <c r="C310" s="17">
        <v>44</v>
      </c>
      <c r="D310" s="17">
        <v>-6</v>
      </c>
      <c r="E310" s="17">
        <v>-3</v>
      </c>
      <c r="F310" s="17">
        <v>-113</v>
      </c>
      <c r="G310" s="17">
        <v>-33</v>
      </c>
      <c r="H310" s="18">
        <f t="shared" si="21"/>
        <v>65.354330708661408</v>
      </c>
      <c r="I310" s="18">
        <v>3.22</v>
      </c>
      <c r="J310" s="18">
        <v>1.23</v>
      </c>
      <c r="S310" s="19">
        <v>5</v>
      </c>
      <c r="T310" s="20">
        <v>4</v>
      </c>
      <c r="AE310" s="23">
        <f t="shared" si="22"/>
        <v>39.666666666666664</v>
      </c>
      <c r="AF310" s="24">
        <f t="shared" si="23"/>
        <v>1.0924369747899161</v>
      </c>
    </row>
    <row r="311" spans="1:32" x14ac:dyDescent="0.4">
      <c r="A311" s="16">
        <v>44631</v>
      </c>
      <c r="B311" s="17">
        <v>68</v>
      </c>
      <c r="C311" s="17">
        <v>22</v>
      </c>
      <c r="D311" s="17">
        <v>-30</v>
      </c>
      <c r="E311" s="17">
        <v>-5</v>
      </c>
      <c r="F311" s="17">
        <v>-580</v>
      </c>
      <c r="G311" s="17">
        <v>-82</v>
      </c>
      <c r="H311" s="18">
        <f t="shared" si="21"/>
        <v>75.555555555555557</v>
      </c>
      <c r="I311" s="18">
        <v>2.15</v>
      </c>
      <c r="J311" s="18">
        <v>-0.03</v>
      </c>
      <c r="S311" s="19">
        <v>6</v>
      </c>
      <c r="T311" s="20">
        <v>5</v>
      </c>
      <c r="AE311" s="23">
        <f t="shared" si="22"/>
        <v>50</v>
      </c>
      <c r="AF311" s="24">
        <f t="shared" si="23"/>
        <v>0.36</v>
      </c>
    </row>
    <row r="312" spans="1:32" x14ac:dyDescent="0.4">
      <c r="A312" s="16">
        <v>44634</v>
      </c>
      <c r="B312" s="17">
        <v>41</v>
      </c>
      <c r="C312" s="17">
        <v>28</v>
      </c>
      <c r="D312" s="17">
        <v>-28</v>
      </c>
      <c r="E312" s="17">
        <v>-16</v>
      </c>
      <c r="F312" s="17">
        <v>-729</v>
      </c>
      <c r="G312" s="17">
        <v>-587</v>
      </c>
      <c r="H312" s="18">
        <f t="shared" ref="H312:H375" si="24">B312/(B312+C312)*100</f>
        <v>59.420289855072461</v>
      </c>
      <c r="I312" s="18">
        <v>0.06</v>
      </c>
      <c r="J312" s="18">
        <v>-1.47</v>
      </c>
      <c r="S312" s="19">
        <v>4</v>
      </c>
      <c r="T312" s="20">
        <v>3</v>
      </c>
      <c r="AE312" s="23">
        <f t="shared" si="22"/>
        <v>65.666666666666671</v>
      </c>
      <c r="AF312" s="24">
        <f t="shared" si="23"/>
        <v>-0.37563451776649753</v>
      </c>
    </row>
    <row r="313" spans="1:32" x14ac:dyDescent="0.4">
      <c r="A313" s="16">
        <v>44635</v>
      </c>
      <c r="B313" s="17">
        <v>27</v>
      </c>
      <c r="C313" s="17">
        <v>22</v>
      </c>
      <c r="D313" s="17">
        <v>-141</v>
      </c>
      <c r="E313" s="17">
        <v>-78</v>
      </c>
      <c r="F313" s="17">
        <v>-3057</v>
      </c>
      <c r="G313" s="17">
        <v>-2813</v>
      </c>
      <c r="H313" s="18">
        <f t="shared" si="24"/>
        <v>55.102040816326522</v>
      </c>
      <c r="I313" s="18">
        <v>-0.86</v>
      </c>
      <c r="J313" s="18">
        <v>-4.6900000000000004</v>
      </c>
      <c r="S313" s="19">
        <v>5</v>
      </c>
      <c r="T313" s="20">
        <v>3</v>
      </c>
      <c r="AE313" s="23">
        <f t="shared" si="22"/>
        <v>64</v>
      </c>
      <c r="AF313" s="24">
        <f t="shared" si="23"/>
        <v>-0.578125</v>
      </c>
    </row>
    <row r="314" spans="1:32" x14ac:dyDescent="0.4">
      <c r="A314" s="16">
        <v>44636</v>
      </c>
      <c r="B314" s="17">
        <v>127</v>
      </c>
      <c r="C314" s="17">
        <v>34</v>
      </c>
      <c r="D314" s="17">
        <v>-21</v>
      </c>
      <c r="E314" s="17">
        <v>-3</v>
      </c>
      <c r="F314" s="17">
        <v>-468</v>
      </c>
      <c r="G314" s="17">
        <v>-31</v>
      </c>
      <c r="H314" s="18">
        <f t="shared" si="24"/>
        <v>78.881987577639762</v>
      </c>
      <c r="I314" s="18">
        <v>7.97</v>
      </c>
      <c r="J314" s="18">
        <v>3.2</v>
      </c>
      <c r="S314" s="19">
        <v>6</v>
      </c>
      <c r="T314" s="20">
        <v>4</v>
      </c>
      <c r="AE314" s="23">
        <f t="shared" si="22"/>
        <v>45.333333333333336</v>
      </c>
      <c r="AF314" s="24">
        <f t="shared" si="23"/>
        <v>1.8014705882352937</v>
      </c>
    </row>
    <row r="315" spans="1:32" x14ac:dyDescent="0.4">
      <c r="A315" s="16">
        <v>44637</v>
      </c>
      <c r="B315" s="17">
        <v>96</v>
      </c>
      <c r="C315" s="17">
        <v>80</v>
      </c>
      <c r="D315" s="17">
        <v>-2</v>
      </c>
      <c r="E315" s="17">
        <v>0</v>
      </c>
      <c r="F315" s="17">
        <v>-71</v>
      </c>
      <c r="G315" s="17">
        <v>-26</v>
      </c>
      <c r="H315" s="18">
        <f t="shared" si="24"/>
        <v>54.54545454545454</v>
      </c>
      <c r="I315" s="18">
        <v>2.65</v>
      </c>
      <c r="J315" s="18">
        <v>1.18</v>
      </c>
      <c r="S315" s="19">
        <v>5</v>
      </c>
      <c r="T315" s="20">
        <v>4</v>
      </c>
      <c r="AE315" s="23">
        <f t="shared" si="22"/>
        <v>65</v>
      </c>
      <c r="AF315" s="24">
        <f t="shared" si="23"/>
        <v>0.47692307692307695</v>
      </c>
    </row>
    <row r="316" spans="1:32" x14ac:dyDescent="0.4">
      <c r="A316" s="16">
        <v>44638</v>
      </c>
      <c r="B316" s="17">
        <v>103</v>
      </c>
      <c r="C316" s="17">
        <v>15</v>
      </c>
      <c r="D316" s="17">
        <v>-9</v>
      </c>
      <c r="E316" s="17">
        <v>-2</v>
      </c>
      <c r="F316" s="17">
        <v>-165</v>
      </c>
      <c r="G316" s="17">
        <v>-57</v>
      </c>
      <c r="H316" s="18">
        <f t="shared" si="24"/>
        <v>87.288135593220346</v>
      </c>
      <c r="I316" s="18">
        <v>2.84</v>
      </c>
      <c r="J316" s="18">
        <v>-0.35</v>
      </c>
      <c r="S316" s="19">
        <v>6</v>
      </c>
      <c r="T316" s="20">
        <v>5</v>
      </c>
      <c r="AE316" s="23">
        <f t="shared" si="22"/>
        <v>83.333333333333329</v>
      </c>
      <c r="AF316" s="24">
        <f t="shared" si="23"/>
        <v>0.23600000000000007</v>
      </c>
    </row>
    <row r="317" spans="1:32" x14ac:dyDescent="0.4">
      <c r="A317" s="16">
        <v>44641</v>
      </c>
      <c r="B317" s="17">
        <v>114</v>
      </c>
      <c r="C317" s="17">
        <v>36</v>
      </c>
      <c r="D317" s="17">
        <v>-2</v>
      </c>
      <c r="E317" s="17">
        <v>0</v>
      </c>
      <c r="F317" s="17">
        <v>-56</v>
      </c>
      <c r="G317" s="17">
        <v>-8</v>
      </c>
      <c r="H317" s="18">
        <f t="shared" si="24"/>
        <v>76</v>
      </c>
      <c r="I317" s="18">
        <v>5.5</v>
      </c>
      <c r="J317" s="18">
        <v>4.47</v>
      </c>
      <c r="S317" s="19">
        <v>6</v>
      </c>
      <c r="T317" s="20">
        <v>5</v>
      </c>
      <c r="AE317" s="23">
        <f t="shared" si="22"/>
        <v>108.66666666666667</v>
      </c>
      <c r="AF317" s="24">
        <f t="shared" si="23"/>
        <v>4.9079754601226946E-2</v>
      </c>
    </row>
    <row r="318" spans="1:32" x14ac:dyDescent="0.4">
      <c r="A318" s="16">
        <v>44642</v>
      </c>
      <c r="B318" s="17">
        <v>77</v>
      </c>
      <c r="C318" s="17">
        <v>36</v>
      </c>
      <c r="D318" s="17">
        <v>-14</v>
      </c>
      <c r="E318" s="17">
        <v>-8</v>
      </c>
      <c r="F318" s="17">
        <v>-275</v>
      </c>
      <c r="G318" s="17">
        <v>-171</v>
      </c>
      <c r="H318" s="18">
        <f t="shared" si="24"/>
        <v>68.141592920353972</v>
      </c>
      <c r="I318" s="18">
        <v>1.1200000000000001</v>
      </c>
      <c r="J318" s="18">
        <v>-0.94</v>
      </c>
      <c r="S318" s="19">
        <v>7</v>
      </c>
      <c r="T318" s="20">
        <v>6</v>
      </c>
      <c r="AE318" s="23">
        <f t="shared" si="22"/>
        <v>104.33333333333333</v>
      </c>
      <c r="AF318" s="24">
        <f t="shared" si="23"/>
        <v>-0.26198083067092648</v>
      </c>
    </row>
    <row r="319" spans="1:32" x14ac:dyDescent="0.4">
      <c r="A319" s="16">
        <v>44643</v>
      </c>
      <c r="B319" s="17">
        <v>68</v>
      </c>
      <c r="C319" s="17">
        <v>45</v>
      </c>
      <c r="D319" s="17">
        <v>-12</v>
      </c>
      <c r="E319" s="17">
        <v>-8</v>
      </c>
      <c r="F319" s="17">
        <v>-167</v>
      </c>
      <c r="G319" s="17">
        <v>-93</v>
      </c>
      <c r="H319" s="18">
        <f t="shared" si="24"/>
        <v>60.176991150442483</v>
      </c>
      <c r="I319" s="18">
        <v>0.99</v>
      </c>
      <c r="J319" s="18">
        <v>-1.88</v>
      </c>
      <c r="S319" s="19">
        <v>7</v>
      </c>
      <c r="T319" s="20">
        <v>6</v>
      </c>
      <c r="AE319" s="23">
        <f t="shared" si="22"/>
        <v>98</v>
      </c>
      <c r="AF319" s="24">
        <f t="shared" si="23"/>
        <v>-0.30612244897959184</v>
      </c>
    </row>
    <row r="320" spans="1:32" x14ac:dyDescent="0.4">
      <c r="A320" s="16">
        <v>44644</v>
      </c>
      <c r="B320" s="17">
        <v>61</v>
      </c>
      <c r="C320" s="17">
        <v>34</v>
      </c>
      <c r="D320" s="17">
        <v>-13</v>
      </c>
      <c r="E320" s="17">
        <v>-4</v>
      </c>
      <c r="F320" s="17">
        <v>-307</v>
      </c>
      <c r="G320" s="17">
        <v>-150</v>
      </c>
      <c r="H320" s="18">
        <f t="shared" si="24"/>
        <v>64.21052631578948</v>
      </c>
      <c r="I320" s="18">
        <v>0.48</v>
      </c>
      <c r="J320" s="18">
        <v>-2.75</v>
      </c>
      <c r="S320" s="19">
        <v>8</v>
      </c>
      <c r="T320" s="20">
        <v>7</v>
      </c>
      <c r="AE320" s="23">
        <f t="shared" si="22"/>
        <v>86.333333333333329</v>
      </c>
      <c r="AF320" s="24">
        <f t="shared" si="23"/>
        <v>-0.29343629343629341</v>
      </c>
    </row>
    <row r="321" spans="1:32" x14ac:dyDescent="0.4">
      <c r="A321" s="16">
        <v>44645</v>
      </c>
      <c r="B321" s="17">
        <v>72</v>
      </c>
      <c r="C321" s="17">
        <v>47</v>
      </c>
      <c r="D321" s="17">
        <v>-18</v>
      </c>
      <c r="E321" s="17">
        <v>-9</v>
      </c>
      <c r="F321" s="17">
        <v>-265</v>
      </c>
      <c r="G321" s="17">
        <v>-187</v>
      </c>
      <c r="H321" s="18">
        <f t="shared" si="24"/>
        <v>60.504201680672267</v>
      </c>
      <c r="I321" s="18">
        <v>2.4500000000000002</v>
      </c>
      <c r="J321" s="18">
        <v>-0.74</v>
      </c>
      <c r="S321" s="19">
        <v>9</v>
      </c>
      <c r="T321" s="20">
        <v>8</v>
      </c>
      <c r="AE321" s="23">
        <f t="shared" si="22"/>
        <v>68.666666666666671</v>
      </c>
      <c r="AF321" s="24">
        <f t="shared" si="23"/>
        <v>4.8543689320388279E-2</v>
      </c>
    </row>
    <row r="322" spans="1:32" x14ac:dyDescent="0.4">
      <c r="A322" s="16">
        <v>44648</v>
      </c>
      <c r="B322" s="17">
        <v>60</v>
      </c>
      <c r="C322" s="17">
        <v>32</v>
      </c>
      <c r="D322" s="17">
        <v>-28</v>
      </c>
      <c r="E322" s="17">
        <v>-16</v>
      </c>
      <c r="F322" s="17">
        <v>-370</v>
      </c>
      <c r="G322" s="17">
        <v>-158</v>
      </c>
      <c r="H322" s="18">
        <f t="shared" si="24"/>
        <v>65.217391304347828</v>
      </c>
      <c r="I322" s="18">
        <v>-0.18</v>
      </c>
      <c r="J322" s="18">
        <v>-3.41</v>
      </c>
      <c r="S322" s="19">
        <v>9</v>
      </c>
      <c r="T322" s="20">
        <v>4</v>
      </c>
      <c r="AE322" s="23">
        <f t="shared" si="22"/>
        <v>67</v>
      </c>
      <c r="AF322" s="24">
        <f t="shared" si="23"/>
        <v>-0.1044776119402985</v>
      </c>
    </row>
    <row r="323" spans="1:32" x14ac:dyDescent="0.4">
      <c r="A323" s="16">
        <v>44649</v>
      </c>
      <c r="B323" s="17">
        <v>54</v>
      </c>
      <c r="C323" s="17">
        <v>32</v>
      </c>
      <c r="D323" s="17">
        <v>-22</v>
      </c>
      <c r="E323" s="17">
        <v>-17</v>
      </c>
      <c r="F323" s="17">
        <v>-268</v>
      </c>
      <c r="G323" s="17">
        <v>-135</v>
      </c>
      <c r="H323" s="18">
        <f t="shared" si="24"/>
        <v>62.790697674418603</v>
      </c>
      <c r="I323" s="18">
        <v>1.17</v>
      </c>
      <c r="J323" s="18">
        <v>-2.94</v>
      </c>
      <c r="S323" s="19">
        <v>5</v>
      </c>
      <c r="T323" s="20">
        <v>4</v>
      </c>
      <c r="AE323" s="23">
        <f t="shared" si="22"/>
        <v>64.333333333333329</v>
      </c>
      <c r="AF323" s="24">
        <f t="shared" si="23"/>
        <v>-0.16062176165803102</v>
      </c>
    </row>
    <row r="324" spans="1:32" x14ac:dyDescent="0.4">
      <c r="A324" s="16">
        <v>44650</v>
      </c>
      <c r="B324" s="17">
        <v>79</v>
      </c>
      <c r="C324" s="17">
        <v>33</v>
      </c>
      <c r="D324" s="17">
        <v>-13</v>
      </c>
      <c r="E324" s="17">
        <v>-1</v>
      </c>
      <c r="F324" s="17">
        <v>-165</v>
      </c>
      <c r="G324" s="17">
        <v>-42</v>
      </c>
      <c r="H324" s="18">
        <f t="shared" si="24"/>
        <v>70.535714285714292</v>
      </c>
      <c r="I324" s="18">
        <v>1.81</v>
      </c>
      <c r="J324" s="18">
        <v>-0.92</v>
      </c>
      <c r="S324" s="19">
        <v>5</v>
      </c>
      <c r="T324" s="20">
        <v>4</v>
      </c>
      <c r="AE324" s="23">
        <f t="shared" si="22"/>
        <v>62</v>
      </c>
      <c r="AF324" s="24">
        <f t="shared" si="23"/>
        <v>0.27419354838709675</v>
      </c>
    </row>
    <row r="325" spans="1:32" x14ac:dyDescent="0.4">
      <c r="A325" s="16">
        <v>44651</v>
      </c>
      <c r="B325" s="17">
        <v>54</v>
      </c>
      <c r="C325" s="17">
        <v>59</v>
      </c>
      <c r="D325" s="17">
        <v>-15</v>
      </c>
      <c r="E325" s="17">
        <v>-5</v>
      </c>
      <c r="F325" s="17">
        <v>-275</v>
      </c>
      <c r="G325" s="17">
        <v>-154</v>
      </c>
      <c r="H325" s="18">
        <f t="shared" si="24"/>
        <v>47.787610619469028</v>
      </c>
      <c r="I325" s="18">
        <v>1.89</v>
      </c>
      <c r="J325" s="18">
        <v>-0.03</v>
      </c>
      <c r="S325" s="19">
        <v>6</v>
      </c>
      <c r="T325" s="20">
        <v>5</v>
      </c>
      <c r="AE325" s="23">
        <f t="shared" si="22"/>
        <v>64.333333333333329</v>
      </c>
      <c r="AF325" s="24">
        <f t="shared" si="23"/>
        <v>-0.16062176165803102</v>
      </c>
    </row>
    <row r="326" spans="1:32" x14ac:dyDescent="0.4">
      <c r="A326" s="16">
        <v>44652</v>
      </c>
      <c r="B326" s="17">
        <v>70</v>
      </c>
      <c r="C326" s="17">
        <v>16</v>
      </c>
      <c r="D326" s="17">
        <v>-25</v>
      </c>
      <c r="E326" s="17">
        <v>-13</v>
      </c>
      <c r="F326" s="17">
        <v>-271</v>
      </c>
      <c r="G326" s="17">
        <v>-157</v>
      </c>
      <c r="H326" s="18">
        <f t="shared" si="24"/>
        <v>81.395348837209298</v>
      </c>
      <c r="I326" s="18">
        <v>2.27</v>
      </c>
      <c r="J326" s="18">
        <v>-2.87</v>
      </c>
      <c r="S326" s="19">
        <v>6</v>
      </c>
      <c r="T326" s="20">
        <v>4</v>
      </c>
      <c r="AE326" s="23">
        <f t="shared" si="22"/>
        <v>62.333333333333336</v>
      </c>
      <c r="AF326" s="24">
        <f t="shared" si="23"/>
        <v>0.12299465240641708</v>
      </c>
    </row>
    <row r="327" spans="1:32" x14ac:dyDescent="0.4">
      <c r="A327" s="16">
        <v>44657</v>
      </c>
      <c r="B327" s="17">
        <v>82</v>
      </c>
      <c r="C327" s="17">
        <v>43</v>
      </c>
      <c r="D327" s="17">
        <v>-21</v>
      </c>
      <c r="E327" s="17">
        <v>-13</v>
      </c>
      <c r="F327" s="17">
        <v>-247</v>
      </c>
      <c r="G327" s="17">
        <v>-100</v>
      </c>
      <c r="H327" s="18">
        <f t="shared" si="24"/>
        <v>65.600000000000009</v>
      </c>
      <c r="I327" s="18">
        <v>3.67</v>
      </c>
      <c r="J327" s="18">
        <v>1.55</v>
      </c>
      <c r="S327" s="19">
        <v>7</v>
      </c>
      <c r="T327" s="20">
        <v>4</v>
      </c>
      <c r="AE327" s="23">
        <f t="shared" si="22"/>
        <v>67.666666666666671</v>
      </c>
      <c r="AF327" s="24">
        <f t="shared" si="23"/>
        <v>0.21182266009852208</v>
      </c>
    </row>
    <row r="328" spans="1:32" x14ac:dyDescent="0.4">
      <c r="A328" s="16">
        <v>44658</v>
      </c>
      <c r="B328" s="17">
        <v>32</v>
      </c>
      <c r="C328" s="17">
        <v>37</v>
      </c>
      <c r="D328" s="17">
        <v>-43</v>
      </c>
      <c r="E328" s="17">
        <v>-29</v>
      </c>
      <c r="F328" s="17">
        <v>-541</v>
      </c>
      <c r="G328" s="17">
        <v>-384</v>
      </c>
      <c r="H328" s="18">
        <f t="shared" si="24"/>
        <v>46.376811594202898</v>
      </c>
      <c r="I328" s="18">
        <v>-1.04</v>
      </c>
      <c r="J328" s="18">
        <v>-4.1500000000000004</v>
      </c>
      <c r="S328" s="19">
        <v>5</v>
      </c>
      <c r="T328" s="20">
        <v>4</v>
      </c>
      <c r="AE328" s="23">
        <f t="shared" si="22"/>
        <v>68.666666666666671</v>
      </c>
      <c r="AF328" s="24">
        <f t="shared" si="23"/>
        <v>-0.53398058252427183</v>
      </c>
    </row>
    <row r="329" spans="1:32" x14ac:dyDescent="0.4">
      <c r="A329" s="16">
        <v>44659</v>
      </c>
      <c r="B329" s="17">
        <v>64</v>
      </c>
      <c r="C329" s="17">
        <v>26</v>
      </c>
      <c r="D329" s="17">
        <v>-27</v>
      </c>
      <c r="E329" s="17">
        <v>-14</v>
      </c>
      <c r="F329" s="17">
        <v>-432</v>
      </c>
      <c r="G329" s="17">
        <v>-213</v>
      </c>
      <c r="H329" s="18">
        <f t="shared" si="24"/>
        <v>71.111111111111114</v>
      </c>
      <c r="I329" s="18">
        <v>2.4700000000000002</v>
      </c>
      <c r="J329" s="18">
        <v>-1.54</v>
      </c>
      <c r="S329" s="19">
        <v>6</v>
      </c>
      <c r="T329" s="20">
        <v>5</v>
      </c>
      <c r="AE329" s="23">
        <f t="shared" si="22"/>
        <v>61.333333333333336</v>
      </c>
      <c r="AF329" s="24">
        <f t="shared" si="23"/>
        <v>4.3478260869565175E-2</v>
      </c>
    </row>
    <row r="330" spans="1:32" x14ac:dyDescent="0.4">
      <c r="A330" s="16">
        <v>44662</v>
      </c>
      <c r="B330" s="17">
        <v>53</v>
      </c>
      <c r="C330" s="17">
        <v>54</v>
      </c>
      <c r="D330" s="17">
        <v>-72</v>
      </c>
      <c r="E330" s="17">
        <v>-42</v>
      </c>
      <c r="F330" s="17">
        <v>-1551</v>
      </c>
      <c r="G330" s="17">
        <v>-972</v>
      </c>
      <c r="H330" s="18">
        <f t="shared" si="24"/>
        <v>49.532710280373834</v>
      </c>
      <c r="I330" s="18">
        <v>-0.3</v>
      </c>
      <c r="J330" s="18">
        <v>-1.81</v>
      </c>
      <c r="S330" s="19">
        <v>6</v>
      </c>
      <c r="T330" s="20">
        <v>4</v>
      </c>
      <c r="AE330" s="23">
        <f t="shared" si="22"/>
        <v>59.333333333333336</v>
      </c>
      <c r="AF330" s="24">
        <f t="shared" si="23"/>
        <v>-0.1067415730337079</v>
      </c>
    </row>
    <row r="331" spans="1:32" x14ac:dyDescent="0.4">
      <c r="A331" s="16">
        <v>44663</v>
      </c>
      <c r="B331" s="17">
        <v>96</v>
      </c>
      <c r="C331" s="17">
        <v>46</v>
      </c>
      <c r="D331" s="17">
        <v>-42</v>
      </c>
      <c r="E331" s="17">
        <v>-14</v>
      </c>
      <c r="F331" s="17">
        <v>-324</v>
      </c>
      <c r="G331" s="17">
        <v>-71</v>
      </c>
      <c r="H331" s="18">
        <f t="shared" si="24"/>
        <v>67.605633802816897</v>
      </c>
      <c r="I331" s="18">
        <v>3.46</v>
      </c>
      <c r="J331" s="18">
        <v>-1.67</v>
      </c>
      <c r="S331" s="19">
        <v>5</v>
      </c>
      <c r="T331" s="20">
        <v>4</v>
      </c>
      <c r="AE331" s="23">
        <f t="shared" si="22"/>
        <v>49.666666666666664</v>
      </c>
      <c r="AF331" s="24">
        <f t="shared" si="23"/>
        <v>0.93288590604026855</v>
      </c>
    </row>
    <row r="332" spans="1:32" x14ac:dyDescent="0.4">
      <c r="A332" s="16">
        <v>44664</v>
      </c>
      <c r="B332" s="17">
        <v>53</v>
      </c>
      <c r="C332" s="17">
        <v>42</v>
      </c>
      <c r="D332" s="17">
        <v>-58</v>
      </c>
      <c r="E332" s="17">
        <v>-42</v>
      </c>
      <c r="F332" s="17">
        <v>-720</v>
      </c>
      <c r="G332" s="17">
        <v>-511</v>
      </c>
      <c r="H332" s="18">
        <f t="shared" si="24"/>
        <v>55.78947368421052</v>
      </c>
      <c r="I332" s="18">
        <v>0.52</v>
      </c>
      <c r="J332" s="18">
        <v>-2.37</v>
      </c>
      <c r="S332" s="19">
        <v>6</v>
      </c>
      <c r="T332" s="20">
        <v>4</v>
      </c>
      <c r="AE332" s="23">
        <f t="shared" si="22"/>
        <v>71</v>
      </c>
      <c r="AF332" s="24">
        <f t="shared" si="23"/>
        <v>-0.25352112676056338</v>
      </c>
    </row>
    <row r="333" spans="1:32" x14ac:dyDescent="0.4">
      <c r="A333" s="16">
        <v>44665</v>
      </c>
      <c r="B333" s="17">
        <v>77</v>
      </c>
      <c r="C333" s="17">
        <v>24</v>
      </c>
      <c r="D333" s="17">
        <v>-28</v>
      </c>
      <c r="E333" s="17">
        <v>-5</v>
      </c>
      <c r="F333" s="17">
        <v>-187</v>
      </c>
      <c r="G333" s="17">
        <v>-81</v>
      </c>
      <c r="H333" s="18">
        <f t="shared" si="24"/>
        <v>76.237623762376245</v>
      </c>
      <c r="I333" s="18">
        <v>2.02</v>
      </c>
      <c r="J333" s="18">
        <v>-2.63</v>
      </c>
      <c r="S333" s="19">
        <v>5</v>
      </c>
      <c r="T333" s="20">
        <v>4</v>
      </c>
      <c r="AE333" s="23">
        <f t="shared" si="22"/>
        <v>67.333333333333329</v>
      </c>
      <c r="AF333" s="24">
        <f t="shared" si="23"/>
        <v>0.14356435643564364</v>
      </c>
    </row>
    <row r="334" spans="1:32" x14ac:dyDescent="0.4">
      <c r="A334" s="16">
        <v>44666</v>
      </c>
      <c r="B334" s="17">
        <v>38</v>
      </c>
      <c r="C334" s="17">
        <v>37</v>
      </c>
      <c r="D334" s="17">
        <v>-56</v>
      </c>
      <c r="E334" s="17">
        <v>-33</v>
      </c>
      <c r="F334" s="17">
        <v>-803</v>
      </c>
      <c r="G334" s="17">
        <v>-467</v>
      </c>
      <c r="H334" s="18">
        <f t="shared" si="24"/>
        <v>50.666666666666671</v>
      </c>
      <c r="I334" s="18">
        <v>-0.4</v>
      </c>
      <c r="J334" s="18">
        <v>-1.69</v>
      </c>
      <c r="S334" s="19">
        <v>5</v>
      </c>
      <c r="T334" s="20">
        <v>3</v>
      </c>
      <c r="AE334" s="23">
        <f t="shared" si="22"/>
        <v>75.333333333333329</v>
      </c>
      <c r="AF334" s="24">
        <f t="shared" si="23"/>
        <v>-0.49557522123893805</v>
      </c>
    </row>
    <row r="335" spans="1:32" x14ac:dyDescent="0.4">
      <c r="A335" s="16">
        <v>44669</v>
      </c>
      <c r="B335" s="17">
        <v>76</v>
      </c>
      <c r="C335" s="17">
        <v>20</v>
      </c>
      <c r="D335" s="17">
        <v>-64</v>
      </c>
      <c r="E335" s="17">
        <v>-37</v>
      </c>
      <c r="F335" s="17">
        <v>-393</v>
      </c>
      <c r="G335" s="17">
        <v>-133</v>
      </c>
      <c r="H335" s="18">
        <f t="shared" si="24"/>
        <v>79.166666666666657</v>
      </c>
      <c r="I335" s="18">
        <v>3.2</v>
      </c>
      <c r="J335" s="18">
        <v>-2.84</v>
      </c>
      <c r="S335" s="19">
        <v>6</v>
      </c>
      <c r="T335" s="20">
        <v>3</v>
      </c>
      <c r="AE335" s="23">
        <f t="shared" si="22"/>
        <v>56</v>
      </c>
      <c r="AF335" s="24">
        <f t="shared" si="23"/>
        <v>0.35714285714285715</v>
      </c>
    </row>
    <row r="336" spans="1:32" x14ac:dyDescent="0.4">
      <c r="A336" s="16">
        <v>44670</v>
      </c>
      <c r="B336" s="17">
        <v>56</v>
      </c>
      <c r="C336" s="17">
        <v>32</v>
      </c>
      <c r="D336" s="17">
        <v>-31</v>
      </c>
      <c r="E336" s="17">
        <v>-15</v>
      </c>
      <c r="F336" s="17">
        <v>-203</v>
      </c>
      <c r="G336" s="17">
        <v>-106</v>
      </c>
      <c r="H336" s="18">
        <f t="shared" si="24"/>
        <v>63.636363636363633</v>
      </c>
      <c r="I336" s="18">
        <v>1.55</v>
      </c>
      <c r="J336" s="18">
        <v>-0.47</v>
      </c>
      <c r="S336" s="19">
        <v>4</v>
      </c>
      <c r="T336" s="20">
        <v>3</v>
      </c>
      <c r="AE336" s="23">
        <f t="shared" si="22"/>
        <v>63.666666666666664</v>
      </c>
      <c r="AF336" s="24">
        <f t="shared" si="23"/>
        <v>-0.12041884816753923</v>
      </c>
    </row>
    <row r="337" spans="1:32" x14ac:dyDescent="0.4">
      <c r="A337" s="16">
        <v>44671</v>
      </c>
      <c r="B337" s="17">
        <v>53</v>
      </c>
      <c r="C337" s="17">
        <v>22</v>
      </c>
      <c r="D337" s="17">
        <v>-27</v>
      </c>
      <c r="E337" s="17">
        <v>-6</v>
      </c>
      <c r="F337" s="17">
        <v>-419</v>
      </c>
      <c r="G337" s="17">
        <v>-260</v>
      </c>
      <c r="H337" s="18">
        <f t="shared" si="24"/>
        <v>70.666666666666671</v>
      </c>
      <c r="I337" s="18">
        <v>2.14</v>
      </c>
      <c r="J337" s="18">
        <v>-1.1399999999999999</v>
      </c>
      <c r="S337" s="19">
        <v>5</v>
      </c>
      <c r="T337" s="20">
        <v>4</v>
      </c>
      <c r="AE337" s="23">
        <f t="shared" si="22"/>
        <v>56.666666666666664</v>
      </c>
      <c r="AF337" s="24">
        <f t="shared" si="23"/>
        <v>-6.4705882352941141E-2</v>
      </c>
    </row>
    <row r="338" spans="1:32" x14ac:dyDescent="0.4">
      <c r="A338" s="16">
        <v>44672</v>
      </c>
      <c r="B338" s="17">
        <v>32</v>
      </c>
      <c r="C338" s="17">
        <v>22</v>
      </c>
      <c r="D338" s="17">
        <v>-105</v>
      </c>
      <c r="E338" s="17">
        <v>-67</v>
      </c>
      <c r="F338" s="17">
        <v>-1919</v>
      </c>
      <c r="G338" s="17">
        <v>-1382</v>
      </c>
      <c r="H338" s="18">
        <f t="shared" si="24"/>
        <v>59.259259259259252</v>
      </c>
      <c r="I338" s="18">
        <v>-0.86</v>
      </c>
      <c r="J338" s="18">
        <v>-3.74</v>
      </c>
      <c r="S338" s="19">
        <v>5</v>
      </c>
      <c r="T338" s="20">
        <v>4</v>
      </c>
      <c r="AE338" s="23">
        <f t="shared" si="22"/>
        <v>61.666666666666664</v>
      </c>
      <c r="AF338" s="24">
        <f t="shared" si="23"/>
        <v>-0.48108108108108105</v>
      </c>
    </row>
    <row r="339" spans="1:32" x14ac:dyDescent="0.4">
      <c r="A339" s="16">
        <v>44673</v>
      </c>
      <c r="B339" s="17">
        <v>75</v>
      </c>
      <c r="C339" s="17">
        <v>15</v>
      </c>
      <c r="D339" s="17">
        <v>-98</v>
      </c>
      <c r="E339" s="17">
        <v>-67</v>
      </c>
      <c r="F339" s="17">
        <v>-670</v>
      </c>
      <c r="G339" s="17">
        <v>-406</v>
      </c>
      <c r="H339" s="18">
        <f t="shared" si="24"/>
        <v>83.333333333333343</v>
      </c>
      <c r="I339" s="18">
        <v>2.63</v>
      </c>
      <c r="J339" s="18">
        <v>-3.39</v>
      </c>
      <c r="S339" s="19">
        <v>5</v>
      </c>
      <c r="T339" s="20">
        <v>3</v>
      </c>
      <c r="AE339" s="23">
        <f t="shared" si="22"/>
        <v>47</v>
      </c>
      <c r="AF339" s="24">
        <f t="shared" si="23"/>
        <v>0.5957446808510638</v>
      </c>
    </row>
    <row r="340" spans="1:32" x14ac:dyDescent="0.4">
      <c r="A340" s="16">
        <v>44676</v>
      </c>
      <c r="B340" s="17">
        <v>25</v>
      </c>
      <c r="C340" s="17">
        <v>20</v>
      </c>
      <c r="D340" s="17">
        <v>-906</v>
      </c>
      <c r="E340" s="17">
        <v>-577</v>
      </c>
      <c r="F340" s="17">
        <v>-3965</v>
      </c>
      <c r="G340" s="17">
        <v>-3797</v>
      </c>
      <c r="H340" s="18">
        <f t="shared" si="24"/>
        <v>55.555555555555557</v>
      </c>
      <c r="I340" s="18">
        <v>-2.92</v>
      </c>
      <c r="J340" s="18">
        <v>-4.5199999999999996</v>
      </c>
      <c r="S340" s="19">
        <v>4</v>
      </c>
      <c r="T340" s="20">
        <v>3</v>
      </c>
      <c r="AE340" s="23">
        <f t="shared" si="22"/>
        <v>53.333333333333336</v>
      </c>
      <c r="AF340" s="24">
        <f t="shared" si="23"/>
        <v>-0.53125</v>
      </c>
    </row>
    <row r="341" spans="1:32" x14ac:dyDescent="0.4">
      <c r="A341" s="16">
        <v>44677</v>
      </c>
      <c r="B341" s="17">
        <v>42</v>
      </c>
      <c r="C341" s="17">
        <v>45</v>
      </c>
      <c r="D341" s="17">
        <v>-319</v>
      </c>
      <c r="E341" s="17">
        <v>-192</v>
      </c>
      <c r="F341" s="17">
        <v>-2025</v>
      </c>
      <c r="G341" s="17">
        <v>-1554</v>
      </c>
      <c r="H341" s="18">
        <f t="shared" si="24"/>
        <v>48.275862068965516</v>
      </c>
      <c r="I341" s="18">
        <v>0.09</v>
      </c>
      <c r="J341" s="18">
        <v>-3.97</v>
      </c>
      <c r="S341" s="19">
        <v>3</v>
      </c>
      <c r="T341" s="20">
        <v>2</v>
      </c>
      <c r="AE341" s="23">
        <f t="shared" si="22"/>
        <v>44</v>
      </c>
      <c r="AF341" s="24">
        <f t="shared" si="23"/>
        <v>-4.5454545454545456E-2</v>
      </c>
    </row>
    <row r="342" spans="1:32" x14ac:dyDescent="0.4">
      <c r="A342" s="16">
        <v>44678</v>
      </c>
      <c r="B342" s="17">
        <v>137</v>
      </c>
      <c r="C342" s="17">
        <v>70</v>
      </c>
      <c r="D342" s="17">
        <v>-174</v>
      </c>
      <c r="E342" s="17">
        <v>-26</v>
      </c>
      <c r="F342" s="17">
        <v>-1265</v>
      </c>
      <c r="G342" s="17">
        <v>-188</v>
      </c>
      <c r="H342" s="18">
        <f t="shared" si="24"/>
        <v>66.183574879227052</v>
      </c>
      <c r="I342" s="18">
        <v>3.67</v>
      </c>
      <c r="J342" s="18">
        <v>-0.32</v>
      </c>
      <c r="S342" s="19">
        <v>4</v>
      </c>
      <c r="T342" s="20">
        <v>3</v>
      </c>
      <c r="AE342" s="23">
        <f t="shared" si="22"/>
        <v>47.333333333333336</v>
      </c>
      <c r="AF342" s="24">
        <f t="shared" si="23"/>
        <v>1.8943661971830983</v>
      </c>
    </row>
    <row r="343" spans="1:32" x14ac:dyDescent="0.4">
      <c r="A343" s="16">
        <v>44679</v>
      </c>
      <c r="B343" s="17">
        <v>67</v>
      </c>
      <c r="C343" s="17">
        <v>35</v>
      </c>
      <c r="D343" s="17">
        <v>-96</v>
      </c>
      <c r="E343" s="17">
        <v>-22</v>
      </c>
      <c r="F343" s="17">
        <v>-1297</v>
      </c>
      <c r="G343" s="17">
        <v>-614</v>
      </c>
      <c r="H343" s="18">
        <f t="shared" si="24"/>
        <v>65.686274509803923</v>
      </c>
      <c r="I343" s="18">
        <v>2.93</v>
      </c>
      <c r="J343" s="18">
        <v>0.85</v>
      </c>
      <c r="S343" s="19">
        <v>5</v>
      </c>
      <c r="T343" s="20">
        <v>3</v>
      </c>
      <c r="AE343" s="23">
        <f t="shared" si="22"/>
        <v>68</v>
      </c>
      <c r="AF343" s="24">
        <f t="shared" si="23"/>
        <v>-1.4705882352941176E-2</v>
      </c>
    </row>
    <row r="344" spans="1:32" x14ac:dyDescent="0.4">
      <c r="A344" s="16">
        <v>44680</v>
      </c>
      <c r="B344" s="17">
        <v>213</v>
      </c>
      <c r="C344" s="17">
        <v>61</v>
      </c>
      <c r="D344" s="17">
        <v>-21</v>
      </c>
      <c r="E344" s="17">
        <v>-2</v>
      </c>
      <c r="F344" s="17">
        <v>-191</v>
      </c>
      <c r="G344" s="17">
        <v>-51</v>
      </c>
      <c r="H344" s="18">
        <f t="shared" si="24"/>
        <v>77.737226277372258</v>
      </c>
      <c r="I344" s="18">
        <v>5.81</v>
      </c>
      <c r="J344" s="18">
        <v>3.25</v>
      </c>
      <c r="S344" s="19">
        <v>6</v>
      </c>
      <c r="T344" s="20">
        <v>4</v>
      </c>
      <c r="AE344" s="23">
        <f t="shared" si="22"/>
        <v>82</v>
      </c>
      <c r="AF344" s="24">
        <f t="shared" si="23"/>
        <v>1.5975609756097562</v>
      </c>
    </row>
    <row r="345" spans="1:32" x14ac:dyDescent="0.4">
      <c r="A345" s="16">
        <v>44686</v>
      </c>
      <c r="B345" s="17">
        <v>148</v>
      </c>
      <c r="C345" s="17">
        <v>46</v>
      </c>
      <c r="D345" s="17">
        <v>-14</v>
      </c>
      <c r="E345" s="17">
        <v>-9</v>
      </c>
      <c r="F345" s="17">
        <v>-183</v>
      </c>
      <c r="G345" s="17">
        <v>-55</v>
      </c>
      <c r="H345" s="18">
        <f t="shared" si="24"/>
        <v>76.288659793814432</v>
      </c>
      <c r="I345" s="18">
        <v>3.58</v>
      </c>
      <c r="J345" s="18">
        <v>1.71</v>
      </c>
      <c r="S345" s="19">
        <v>7</v>
      </c>
      <c r="T345" s="20">
        <v>5</v>
      </c>
      <c r="AE345" s="23">
        <f t="shared" si="22"/>
        <v>139</v>
      </c>
      <c r="AF345" s="24">
        <f t="shared" si="23"/>
        <v>6.4748201438848921E-2</v>
      </c>
    </row>
    <row r="346" spans="1:32" x14ac:dyDescent="0.4">
      <c r="A346" s="16">
        <v>44687</v>
      </c>
      <c r="B346" s="17">
        <v>83</v>
      </c>
      <c r="C346" s="17">
        <v>34</v>
      </c>
      <c r="D346" s="17">
        <v>-32</v>
      </c>
      <c r="E346" s="17">
        <v>-12</v>
      </c>
      <c r="F346" s="17">
        <v>-596</v>
      </c>
      <c r="G346" s="17">
        <v>-232</v>
      </c>
      <c r="H346" s="18">
        <f t="shared" si="24"/>
        <v>70.940170940170944</v>
      </c>
      <c r="I346" s="18">
        <v>2.5</v>
      </c>
      <c r="J346" s="18">
        <v>0.24</v>
      </c>
      <c r="S346" s="19">
        <v>6</v>
      </c>
      <c r="T346" s="20">
        <v>5</v>
      </c>
      <c r="AE346" s="23">
        <f t="shared" si="22"/>
        <v>142.66666666666666</v>
      </c>
      <c r="AF346" s="24">
        <f t="shared" si="23"/>
        <v>-0.41822429906542052</v>
      </c>
    </row>
    <row r="347" spans="1:32" x14ac:dyDescent="0.4">
      <c r="A347" s="16">
        <v>44690</v>
      </c>
      <c r="B347" s="17">
        <v>137</v>
      </c>
      <c r="C347" s="17">
        <v>44</v>
      </c>
      <c r="D347" s="17">
        <v>-4</v>
      </c>
      <c r="E347" s="17">
        <v>0</v>
      </c>
      <c r="F347" s="17">
        <v>-111</v>
      </c>
      <c r="G347" s="17">
        <v>-41</v>
      </c>
      <c r="H347" s="18">
        <f t="shared" si="24"/>
        <v>75.690607734806619</v>
      </c>
      <c r="I347" s="18">
        <v>3.34</v>
      </c>
      <c r="J347" s="18">
        <v>0.99</v>
      </c>
      <c r="S347" s="19">
        <v>7</v>
      </c>
      <c r="T347" s="20">
        <v>6</v>
      </c>
      <c r="AE347" s="23">
        <f t="shared" si="22"/>
        <v>148</v>
      </c>
      <c r="AF347" s="24">
        <f t="shared" si="23"/>
        <v>-7.4324324324324328E-2</v>
      </c>
    </row>
    <row r="348" spans="1:32" x14ac:dyDescent="0.4">
      <c r="A348" s="16">
        <v>44691</v>
      </c>
      <c r="B348" s="17">
        <v>110</v>
      </c>
      <c r="C348" s="17">
        <v>41</v>
      </c>
      <c r="D348" s="17">
        <v>-12</v>
      </c>
      <c r="E348" s="17">
        <v>-1</v>
      </c>
      <c r="F348" s="17">
        <v>-162</v>
      </c>
      <c r="G348" s="17">
        <v>-40</v>
      </c>
      <c r="H348" s="18">
        <f t="shared" si="24"/>
        <v>72.847682119205288</v>
      </c>
      <c r="I348" s="18">
        <v>4</v>
      </c>
      <c r="J348" s="18">
        <v>2.08</v>
      </c>
      <c r="S348" s="19">
        <v>8</v>
      </c>
      <c r="T348" s="20">
        <v>7</v>
      </c>
      <c r="AE348" s="23">
        <f t="shared" si="22"/>
        <v>122.66666666666667</v>
      </c>
      <c r="AF348" s="24">
        <f t="shared" si="23"/>
        <v>-0.10326086956521742</v>
      </c>
    </row>
    <row r="349" spans="1:32" x14ac:dyDescent="0.4">
      <c r="A349" s="16">
        <v>44692</v>
      </c>
      <c r="B349" s="17">
        <v>95</v>
      </c>
      <c r="C349" s="17">
        <v>106</v>
      </c>
      <c r="D349" s="17">
        <v>-9</v>
      </c>
      <c r="E349" s="17">
        <v>-4</v>
      </c>
      <c r="F349" s="17">
        <v>-91</v>
      </c>
      <c r="G349" s="17">
        <v>-61</v>
      </c>
      <c r="H349" s="18">
        <f t="shared" si="24"/>
        <v>47.263681592039802</v>
      </c>
      <c r="I349" s="18">
        <v>2.98</v>
      </c>
      <c r="J349" s="18">
        <v>0.77</v>
      </c>
      <c r="S349" s="19">
        <v>9</v>
      </c>
      <c r="T349" s="20">
        <v>8</v>
      </c>
      <c r="AE349" s="23">
        <f t="shared" ref="AE349:AE412" si="25">(B346+B347+B348)/3</f>
        <v>110</v>
      </c>
      <c r="AF349" s="24">
        <f t="shared" ref="AF349:AF412" si="26">(B349-AE349)/AE349</f>
        <v>-0.13636363636363635</v>
      </c>
    </row>
    <row r="350" spans="1:32" x14ac:dyDescent="0.4">
      <c r="A350" s="16">
        <v>44693</v>
      </c>
      <c r="B350" s="17">
        <v>76</v>
      </c>
      <c r="C350" s="17">
        <v>41</v>
      </c>
      <c r="D350" s="17">
        <v>-15</v>
      </c>
      <c r="E350" s="17">
        <v>-5</v>
      </c>
      <c r="F350" s="17">
        <v>-184</v>
      </c>
      <c r="G350" s="17">
        <v>-76</v>
      </c>
      <c r="H350" s="18">
        <f t="shared" si="24"/>
        <v>64.957264957264954</v>
      </c>
      <c r="I350" s="18">
        <v>0.79</v>
      </c>
      <c r="J350" s="18">
        <v>-2.67</v>
      </c>
      <c r="S350" s="19">
        <v>10</v>
      </c>
      <c r="T350" s="20">
        <v>9</v>
      </c>
      <c r="AE350" s="23">
        <f t="shared" si="25"/>
        <v>114</v>
      </c>
      <c r="AF350" s="24">
        <f t="shared" si="26"/>
        <v>-0.33333333333333331</v>
      </c>
    </row>
    <row r="351" spans="1:32" x14ac:dyDescent="0.4">
      <c r="A351" s="16">
        <v>44694</v>
      </c>
      <c r="B351" s="17">
        <v>102</v>
      </c>
      <c r="C351" s="17">
        <v>25</v>
      </c>
      <c r="D351" s="17">
        <v>-24</v>
      </c>
      <c r="E351" s="17">
        <v>-14</v>
      </c>
      <c r="F351" s="17">
        <v>-139</v>
      </c>
      <c r="G351" s="17">
        <v>-79</v>
      </c>
      <c r="H351" s="18">
        <f t="shared" si="24"/>
        <v>80.314960629921259</v>
      </c>
      <c r="I351" s="18">
        <v>2.2000000000000002</v>
      </c>
      <c r="J351" s="18">
        <v>-0.57999999999999996</v>
      </c>
      <c r="S351" s="19">
        <v>11</v>
      </c>
      <c r="T351" s="20">
        <v>5</v>
      </c>
      <c r="AE351" s="23">
        <f t="shared" si="25"/>
        <v>93.666666666666671</v>
      </c>
      <c r="AF351" s="24">
        <f t="shared" si="26"/>
        <v>8.896797153024906E-2</v>
      </c>
    </row>
    <row r="352" spans="1:32" x14ac:dyDescent="0.4">
      <c r="A352" s="16">
        <v>44697</v>
      </c>
      <c r="B352" s="17">
        <v>94</v>
      </c>
      <c r="C352" s="17">
        <v>30</v>
      </c>
      <c r="D352" s="17">
        <v>-27</v>
      </c>
      <c r="E352" s="17">
        <v>-11</v>
      </c>
      <c r="F352" s="17">
        <v>-167</v>
      </c>
      <c r="G352" s="17">
        <v>-82</v>
      </c>
      <c r="H352" s="18">
        <f t="shared" si="24"/>
        <v>75.806451612903231</v>
      </c>
      <c r="I352" s="18">
        <v>2.12</v>
      </c>
      <c r="J352" s="18">
        <v>0.72</v>
      </c>
      <c r="S352" s="19">
        <v>6</v>
      </c>
      <c r="T352" s="20">
        <v>5</v>
      </c>
      <c r="AE352" s="23">
        <f t="shared" si="25"/>
        <v>91</v>
      </c>
      <c r="AF352" s="24">
        <f t="shared" si="26"/>
        <v>3.2967032967032968E-2</v>
      </c>
    </row>
    <row r="353" spans="1:32" x14ac:dyDescent="0.4">
      <c r="A353" s="16">
        <v>44698</v>
      </c>
      <c r="B353" s="17">
        <v>66</v>
      </c>
      <c r="C353" s="17">
        <v>20</v>
      </c>
      <c r="D353" s="17">
        <v>-45</v>
      </c>
      <c r="E353" s="17">
        <v>-22</v>
      </c>
      <c r="F353" s="17">
        <v>-331</v>
      </c>
      <c r="G353" s="17">
        <v>-157</v>
      </c>
      <c r="H353" s="18">
        <f t="shared" si="24"/>
        <v>76.744186046511629</v>
      </c>
      <c r="I353" s="18">
        <v>-1.1399999999999999</v>
      </c>
      <c r="J353" s="18">
        <v>-2.48</v>
      </c>
      <c r="S353" s="19">
        <v>6</v>
      </c>
      <c r="T353" s="20">
        <v>5</v>
      </c>
      <c r="AE353" s="23">
        <f t="shared" si="25"/>
        <v>90.666666666666671</v>
      </c>
      <c r="AF353" s="24">
        <f t="shared" si="26"/>
        <v>-0.2720588235294118</v>
      </c>
    </row>
    <row r="354" spans="1:32" x14ac:dyDescent="0.4">
      <c r="A354" s="16">
        <v>44699</v>
      </c>
      <c r="B354" s="17">
        <v>95</v>
      </c>
      <c r="C354" s="17">
        <v>44</v>
      </c>
      <c r="D354" s="17">
        <v>-19</v>
      </c>
      <c r="E354" s="17">
        <v>-5</v>
      </c>
      <c r="F354" s="17">
        <v>-107</v>
      </c>
      <c r="G354" s="17">
        <v>-47</v>
      </c>
      <c r="H354" s="18">
        <f t="shared" si="24"/>
        <v>68.345323741007192</v>
      </c>
      <c r="I354" s="18">
        <v>1.81</v>
      </c>
      <c r="J354" s="18">
        <v>0.09</v>
      </c>
      <c r="S354" s="19">
        <v>6</v>
      </c>
      <c r="T354" s="20">
        <v>4</v>
      </c>
      <c r="AE354" s="23">
        <f t="shared" si="25"/>
        <v>87.333333333333329</v>
      </c>
      <c r="AF354" s="24">
        <f t="shared" si="26"/>
        <v>8.7786259541984796E-2</v>
      </c>
    </row>
    <row r="355" spans="1:32" x14ac:dyDescent="0.4">
      <c r="A355" s="16">
        <v>44700</v>
      </c>
      <c r="B355" s="17">
        <v>72</v>
      </c>
      <c r="C355" s="17">
        <v>38</v>
      </c>
      <c r="D355" s="17">
        <v>-8</v>
      </c>
      <c r="E355" s="17">
        <v>-4</v>
      </c>
      <c r="F355" s="17">
        <v>-136</v>
      </c>
      <c r="G355" s="17">
        <v>-21</v>
      </c>
      <c r="H355" s="18">
        <f t="shared" si="24"/>
        <v>65.454545454545453</v>
      </c>
      <c r="I355" s="18">
        <v>1.7</v>
      </c>
      <c r="J355" s="18">
        <v>-0.4</v>
      </c>
      <c r="S355" s="19">
        <v>7</v>
      </c>
      <c r="T355" s="20">
        <v>5</v>
      </c>
      <c r="AE355" s="23">
        <f t="shared" si="25"/>
        <v>85</v>
      </c>
      <c r="AF355" s="24">
        <f t="shared" si="26"/>
        <v>-0.15294117647058825</v>
      </c>
    </row>
    <row r="356" spans="1:32" x14ac:dyDescent="0.4">
      <c r="A356" s="16">
        <v>44701</v>
      </c>
      <c r="B356" s="17">
        <v>78</v>
      </c>
      <c r="C356" s="17">
        <v>40</v>
      </c>
      <c r="D356" s="17">
        <v>-7</v>
      </c>
      <c r="E356" s="17">
        <v>-4</v>
      </c>
      <c r="F356" s="17">
        <v>-74</v>
      </c>
      <c r="G356" s="17">
        <v>-25</v>
      </c>
      <c r="H356" s="18">
        <f t="shared" si="24"/>
        <v>66.101694915254242</v>
      </c>
      <c r="I356" s="18">
        <v>2.2000000000000002</v>
      </c>
      <c r="J356" s="18">
        <v>-0.37</v>
      </c>
      <c r="S356" s="19">
        <v>8</v>
      </c>
      <c r="T356" s="20">
        <v>6</v>
      </c>
      <c r="AE356" s="23">
        <f t="shared" si="25"/>
        <v>77.666666666666671</v>
      </c>
      <c r="AF356" s="24">
        <f t="shared" si="26"/>
        <v>4.2918454935621702E-3</v>
      </c>
    </row>
    <row r="357" spans="1:32" x14ac:dyDescent="0.4">
      <c r="A357" s="16">
        <v>44704</v>
      </c>
      <c r="B357" s="17">
        <v>92</v>
      </c>
      <c r="C357" s="17">
        <v>38</v>
      </c>
      <c r="D357" s="17">
        <v>-10</v>
      </c>
      <c r="E357" s="17">
        <v>-9</v>
      </c>
      <c r="F357" s="17">
        <v>-91</v>
      </c>
      <c r="G357" s="17">
        <v>-38</v>
      </c>
      <c r="H357" s="18">
        <f t="shared" si="24"/>
        <v>70.769230769230774</v>
      </c>
      <c r="I357" s="18">
        <v>2.87</v>
      </c>
      <c r="J357" s="18">
        <v>0.21</v>
      </c>
      <c r="S357" s="19">
        <v>7</v>
      </c>
      <c r="T357" s="20">
        <v>5</v>
      </c>
      <c r="AE357" s="23">
        <f t="shared" si="25"/>
        <v>81.666666666666671</v>
      </c>
      <c r="AF357" s="24">
        <f t="shared" si="26"/>
        <v>0.12653061224489789</v>
      </c>
    </row>
    <row r="358" spans="1:32" x14ac:dyDescent="0.4">
      <c r="A358" s="16">
        <v>44705</v>
      </c>
      <c r="B358" s="17">
        <v>40</v>
      </c>
      <c r="C358" s="17">
        <v>50</v>
      </c>
      <c r="D358" s="17">
        <v>-48</v>
      </c>
      <c r="E358" s="17">
        <v>-29</v>
      </c>
      <c r="F358" s="17">
        <v>-2056</v>
      </c>
      <c r="G358" s="17">
        <v>-1873</v>
      </c>
      <c r="H358" s="18">
        <f t="shared" si="24"/>
        <v>44.444444444444443</v>
      </c>
      <c r="I358" s="18">
        <v>-1.28</v>
      </c>
      <c r="J358" s="18">
        <v>-3.45</v>
      </c>
      <c r="S358" s="19">
        <v>8</v>
      </c>
      <c r="T358" s="20">
        <v>5</v>
      </c>
      <c r="AE358" s="23">
        <f t="shared" si="25"/>
        <v>80.666666666666671</v>
      </c>
      <c r="AF358" s="24">
        <f t="shared" si="26"/>
        <v>-0.50413223140495866</v>
      </c>
    </row>
    <row r="359" spans="1:32" x14ac:dyDescent="0.4">
      <c r="A359" s="16">
        <v>44706</v>
      </c>
      <c r="B359" s="17">
        <v>99</v>
      </c>
      <c r="C359" s="17">
        <v>37</v>
      </c>
      <c r="D359" s="17">
        <v>-21</v>
      </c>
      <c r="E359" s="17">
        <v>-8</v>
      </c>
      <c r="F359" s="17">
        <v>-135</v>
      </c>
      <c r="G359" s="17">
        <v>-31</v>
      </c>
      <c r="H359" s="18">
        <f t="shared" si="24"/>
        <v>72.794117647058826</v>
      </c>
      <c r="I359" s="18">
        <v>4.24</v>
      </c>
      <c r="J359" s="18">
        <v>-2.0099999999999998</v>
      </c>
      <c r="S359" s="19">
        <v>9</v>
      </c>
      <c r="T359" s="20">
        <v>6</v>
      </c>
      <c r="AE359" s="23">
        <f t="shared" si="25"/>
        <v>70</v>
      </c>
      <c r="AF359" s="24">
        <f t="shared" si="26"/>
        <v>0.41428571428571431</v>
      </c>
    </row>
    <row r="360" spans="1:32" x14ac:dyDescent="0.4">
      <c r="A360" s="16">
        <v>44707</v>
      </c>
      <c r="B360" s="17">
        <v>65</v>
      </c>
      <c r="C360" s="17">
        <v>38</v>
      </c>
      <c r="D360" s="17">
        <v>-20</v>
      </c>
      <c r="E360" s="17">
        <v>-8</v>
      </c>
      <c r="F360" s="17">
        <v>-200</v>
      </c>
      <c r="G360" s="17">
        <v>-76</v>
      </c>
      <c r="H360" s="18">
        <f t="shared" si="24"/>
        <v>63.10679611650486</v>
      </c>
      <c r="I360" s="18">
        <v>0.85</v>
      </c>
      <c r="J360" s="18">
        <v>-0.84</v>
      </c>
      <c r="S360" s="19">
        <v>10</v>
      </c>
      <c r="T360" s="20">
        <v>4</v>
      </c>
      <c r="AE360" s="23">
        <f t="shared" si="25"/>
        <v>77</v>
      </c>
      <c r="AF360" s="24">
        <f t="shared" si="26"/>
        <v>-0.15584415584415584</v>
      </c>
    </row>
    <row r="361" spans="1:32" x14ac:dyDescent="0.4">
      <c r="A361" s="16">
        <v>44708</v>
      </c>
      <c r="B361" s="17">
        <v>86</v>
      </c>
      <c r="C361" s="17">
        <v>39</v>
      </c>
      <c r="D361" s="17">
        <v>-12</v>
      </c>
      <c r="E361" s="17">
        <v>-6</v>
      </c>
      <c r="F361" s="17">
        <v>-131</v>
      </c>
      <c r="G361" s="17">
        <v>-63</v>
      </c>
      <c r="H361" s="18">
        <f t="shared" si="24"/>
        <v>68.8</v>
      </c>
      <c r="I361" s="18">
        <v>3.33</v>
      </c>
      <c r="J361" s="18">
        <v>-0.87</v>
      </c>
      <c r="S361" s="19">
        <v>11</v>
      </c>
      <c r="T361" s="20">
        <v>4</v>
      </c>
      <c r="AE361" s="23">
        <f t="shared" si="25"/>
        <v>68</v>
      </c>
      <c r="AF361" s="24">
        <f t="shared" si="26"/>
        <v>0.26470588235294118</v>
      </c>
    </row>
    <row r="362" spans="1:32" x14ac:dyDescent="0.4">
      <c r="A362" s="16">
        <v>44711</v>
      </c>
      <c r="B362" s="17">
        <v>96</v>
      </c>
      <c r="C362" s="17">
        <v>45</v>
      </c>
      <c r="D362" s="17">
        <v>-17</v>
      </c>
      <c r="E362" s="17">
        <v>-8</v>
      </c>
      <c r="F362" s="17">
        <v>-124</v>
      </c>
      <c r="G362" s="17">
        <v>-51</v>
      </c>
      <c r="H362" s="18">
        <f t="shared" si="24"/>
        <v>68.085106382978722</v>
      </c>
      <c r="I362" s="18">
        <v>3.28</v>
      </c>
      <c r="J362" s="18">
        <v>0.54</v>
      </c>
      <c r="S362" s="19">
        <v>12</v>
      </c>
      <c r="T362" s="20">
        <v>5</v>
      </c>
      <c r="AE362" s="23">
        <f t="shared" si="25"/>
        <v>83.333333333333329</v>
      </c>
      <c r="AF362" s="24">
        <f t="shared" si="26"/>
        <v>0.15200000000000005</v>
      </c>
    </row>
    <row r="363" spans="1:32" x14ac:dyDescent="0.4">
      <c r="A363" s="16">
        <v>44712</v>
      </c>
      <c r="B363" s="17">
        <v>91</v>
      </c>
      <c r="C363" s="17">
        <v>37</v>
      </c>
      <c r="D363" s="17">
        <v>-25</v>
      </c>
      <c r="E363" s="17">
        <v>-15</v>
      </c>
      <c r="F363" s="17">
        <v>-154</v>
      </c>
      <c r="G363" s="17">
        <v>-51</v>
      </c>
      <c r="H363" s="18">
        <f t="shared" si="24"/>
        <v>71.09375</v>
      </c>
      <c r="I363" s="18">
        <v>2.25</v>
      </c>
      <c r="J363" s="18">
        <v>-0.24</v>
      </c>
      <c r="S363" s="19">
        <v>13</v>
      </c>
      <c r="T363" s="20">
        <v>6</v>
      </c>
      <c r="AE363" s="23">
        <f t="shared" si="25"/>
        <v>82.333333333333329</v>
      </c>
      <c r="AF363" s="24">
        <f t="shared" si="26"/>
        <v>0.10526315789473691</v>
      </c>
    </row>
    <row r="364" spans="1:32" x14ac:dyDescent="0.4">
      <c r="A364" s="16">
        <v>44713</v>
      </c>
      <c r="B364" s="17">
        <v>81</v>
      </c>
      <c r="C364" s="17">
        <v>44</v>
      </c>
      <c r="D364" s="17">
        <v>-18</v>
      </c>
      <c r="E364" s="17">
        <v>-9</v>
      </c>
      <c r="F364" s="17">
        <v>-124</v>
      </c>
      <c r="G364" s="17">
        <v>-49</v>
      </c>
      <c r="H364" s="18">
        <f t="shared" si="24"/>
        <v>64.8</v>
      </c>
      <c r="I364" s="18">
        <v>1.4</v>
      </c>
      <c r="J364" s="18">
        <v>-1.55</v>
      </c>
      <c r="S364" s="19">
        <v>7</v>
      </c>
      <c r="T364" s="20">
        <v>6</v>
      </c>
      <c r="AE364" s="23">
        <f t="shared" si="25"/>
        <v>91</v>
      </c>
      <c r="AF364" s="24">
        <f t="shared" si="26"/>
        <v>-0.10989010989010989</v>
      </c>
    </row>
    <row r="365" spans="1:32" x14ac:dyDescent="0.4">
      <c r="A365" s="16">
        <v>44714</v>
      </c>
      <c r="B365" s="17">
        <v>87</v>
      </c>
      <c r="C365" s="17">
        <v>28</v>
      </c>
      <c r="D365" s="17">
        <v>-24</v>
      </c>
      <c r="E365" s="17">
        <v>-7</v>
      </c>
      <c r="F365" s="17">
        <v>-157</v>
      </c>
      <c r="G365" s="17">
        <v>-62</v>
      </c>
      <c r="H365" s="18">
        <f t="shared" si="24"/>
        <v>75.65217391304347</v>
      </c>
      <c r="I365" s="18">
        <v>1.62</v>
      </c>
      <c r="J365" s="18">
        <v>-0.45</v>
      </c>
      <c r="S365" s="19">
        <v>8</v>
      </c>
      <c r="T365" s="20">
        <v>7</v>
      </c>
      <c r="AE365" s="23">
        <f t="shared" si="25"/>
        <v>89.333333333333329</v>
      </c>
      <c r="AF365" s="24">
        <f t="shared" si="26"/>
        <v>-2.6119402985074574E-2</v>
      </c>
    </row>
    <row r="366" spans="1:32" x14ac:dyDescent="0.4">
      <c r="A366" s="16">
        <v>44718</v>
      </c>
      <c r="B366" s="17">
        <v>87</v>
      </c>
      <c r="C366" s="17">
        <v>37</v>
      </c>
      <c r="D366" s="17">
        <v>-24</v>
      </c>
      <c r="E366" s="17">
        <v>-10</v>
      </c>
      <c r="F366" s="17">
        <v>-101</v>
      </c>
      <c r="G366" s="17">
        <v>-43</v>
      </c>
      <c r="H366" s="18">
        <f t="shared" si="24"/>
        <v>70.161290322580655</v>
      </c>
      <c r="I366" s="18">
        <v>1.87</v>
      </c>
      <c r="J366" s="18">
        <v>-0.05</v>
      </c>
      <c r="S366" s="19">
        <v>5</v>
      </c>
      <c r="T366" s="20">
        <v>4</v>
      </c>
      <c r="AE366" s="23">
        <f t="shared" si="25"/>
        <v>86.333333333333329</v>
      </c>
      <c r="AF366" s="24">
        <f t="shared" si="26"/>
        <v>7.7220077220077777E-3</v>
      </c>
    </row>
    <row r="367" spans="1:32" x14ac:dyDescent="0.4">
      <c r="A367" s="16">
        <v>44719</v>
      </c>
      <c r="B367" s="17">
        <v>63</v>
      </c>
      <c r="C367" s="17">
        <v>31</v>
      </c>
      <c r="D367" s="17">
        <v>-24</v>
      </c>
      <c r="E367" s="17">
        <v>-12</v>
      </c>
      <c r="F367" s="17">
        <v>-303</v>
      </c>
      <c r="G367" s="17">
        <v>-141</v>
      </c>
      <c r="H367" s="18">
        <f t="shared" si="24"/>
        <v>67.021276595744681</v>
      </c>
      <c r="I367" s="18">
        <v>0.75</v>
      </c>
      <c r="J367" s="18">
        <v>-1.75</v>
      </c>
      <c r="S367" s="19">
        <v>6</v>
      </c>
      <c r="T367" s="20">
        <v>4</v>
      </c>
      <c r="AE367" s="23">
        <f t="shared" si="25"/>
        <v>85</v>
      </c>
      <c r="AF367" s="24">
        <f t="shared" si="26"/>
        <v>-0.25882352941176473</v>
      </c>
    </row>
    <row r="368" spans="1:32" x14ac:dyDescent="0.4">
      <c r="A368" s="16">
        <v>44720</v>
      </c>
      <c r="B368" s="17">
        <v>60</v>
      </c>
      <c r="C368" s="17">
        <v>45</v>
      </c>
      <c r="D368" s="17">
        <v>-13</v>
      </c>
      <c r="E368" s="17">
        <v>-7</v>
      </c>
      <c r="F368" s="17">
        <v>-347</v>
      </c>
      <c r="G368" s="17">
        <v>-55</v>
      </c>
      <c r="H368" s="18">
        <f t="shared" si="24"/>
        <v>57.142857142857139</v>
      </c>
      <c r="I368" s="18">
        <v>1.95</v>
      </c>
      <c r="J368" s="18">
        <v>-0.9</v>
      </c>
      <c r="S368" s="19">
        <v>7</v>
      </c>
      <c r="T368" s="20">
        <v>5</v>
      </c>
      <c r="AE368" s="23">
        <f t="shared" si="25"/>
        <v>79</v>
      </c>
      <c r="AF368" s="24">
        <f t="shared" si="26"/>
        <v>-0.24050632911392406</v>
      </c>
    </row>
    <row r="369" spans="1:35" x14ac:dyDescent="0.4">
      <c r="A369" s="16">
        <v>44721</v>
      </c>
      <c r="B369" s="17">
        <v>42</v>
      </c>
      <c r="C369" s="17">
        <v>21</v>
      </c>
      <c r="D369" s="17">
        <v>-21</v>
      </c>
      <c r="E369" s="17">
        <v>-8</v>
      </c>
      <c r="F369" s="17">
        <v>-528</v>
      </c>
      <c r="G369" s="17">
        <v>-324</v>
      </c>
      <c r="H369" s="18">
        <f t="shared" si="24"/>
        <v>66.666666666666657</v>
      </c>
      <c r="I369" s="18">
        <v>-0.46</v>
      </c>
      <c r="J369" s="18">
        <v>-3.56</v>
      </c>
      <c r="S369" s="19">
        <v>8</v>
      </c>
      <c r="T369" s="20">
        <v>6</v>
      </c>
      <c r="AE369" s="23">
        <f t="shared" si="25"/>
        <v>70</v>
      </c>
      <c r="AF369" s="24">
        <f t="shared" si="26"/>
        <v>-0.4</v>
      </c>
    </row>
    <row r="370" spans="1:35" x14ac:dyDescent="0.4">
      <c r="A370" s="16">
        <v>44722</v>
      </c>
      <c r="B370" s="17">
        <v>95</v>
      </c>
      <c r="C370" s="17">
        <v>44</v>
      </c>
      <c r="D370" s="17">
        <v>-4</v>
      </c>
      <c r="E370" s="17">
        <v>-1</v>
      </c>
      <c r="F370" s="17">
        <v>-69</v>
      </c>
      <c r="G370" s="17">
        <v>-13</v>
      </c>
      <c r="H370" s="18">
        <f t="shared" si="24"/>
        <v>68.345323741007192</v>
      </c>
      <c r="I370" s="18">
        <v>3.27</v>
      </c>
      <c r="J370" s="18">
        <v>0.52</v>
      </c>
      <c r="S370" s="19">
        <v>9</v>
      </c>
      <c r="T370" s="20">
        <v>7</v>
      </c>
      <c r="AE370" s="23">
        <f t="shared" si="25"/>
        <v>55</v>
      </c>
      <c r="AF370" s="24">
        <f t="shared" si="26"/>
        <v>0.72727272727272729</v>
      </c>
    </row>
    <row r="371" spans="1:35" x14ac:dyDescent="0.4">
      <c r="A371" s="16">
        <v>44725</v>
      </c>
      <c r="B371" s="17">
        <v>74</v>
      </c>
      <c r="C371" s="17">
        <v>49</v>
      </c>
      <c r="D371" s="17">
        <v>-13</v>
      </c>
      <c r="E371" s="17">
        <v>-1</v>
      </c>
      <c r="F371" s="17">
        <v>-170</v>
      </c>
      <c r="G371" s="17">
        <v>-52</v>
      </c>
      <c r="H371" s="18">
        <f t="shared" si="24"/>
        <v>60.162601626016269</v>
      </c>
      <c r="I371" s="18">
        <v>2.56</v>
      </c>
      <c r="J371" s="18">
        <v>0.8</v>
      </c>
      <c r="S371" s="19">
        <v>10</v>
      </c>
      <c r="T371" s="20">
        <v>5</v>
      </c>
      <c r="AE371" s="23">
        <f t="shared" si="25"/>
        <v>65.666666666666671</v>
      </c>
      <c r="AF371" s="24">
        <f t="shared" si="26"/>
        <v>0.12690355329949229</v>
      </c>
    </row>
    <row r="372" spans="1:35" x14ac:dyDescent="0.4">
      <c r="A372" s="16">
        <v>44726</v>
      </c>
      <c r="B372" s="17">
        <v>64</v>
      </c>
      <c r="C372" s="17">
        <v>34</v>
      </c>
      <c r="D372" s="17">
        <v>-15</v>
      </c>
      <c r="E372" s="17">
        <v>-4</v>
      </c>
      <c r="F372" s="17">
        <v>-788</v>
      </c>
      <c r="G372" s="17">
        <v>-70</v>
      </c>
      <c r="H372" s="18">
        <f t="shared" si="24"/>
        <v>65.306122448979593</v>
      </c>
      <c r="I372" s="18">
        <v>2.74</v>
      </c>
      <c r="J372" s="18">
        <v>-0.32</v>
      </c>
      <c r="S372" s="19">
        <v>11</v>
      </c>
      <c r="T372" s="20">
        <v>4</v>
      </c>
      <c r="AE372" s="23">
        <f t="shared" si="25"/>
        <v>70.333333333333329</v>
      </c>
      <c r="AF372" s="24">
        <f t="shared" si="26"/>
        <v>-9.0047393364928854E-2</v>
      </c>
    </row>
    <row r="373" spans="1:35" x14ac:dyDescent="0.4">
      <c r="A373" s="16">
        <v>44727</v>
      </c>
      <c r="B373" s="17">
        <v>59</v>
      </c>
      <c r="C373" s="17">
        <v>54</v>
      </c>
      <c r="D373" s="17">
        <v>-16</v>
      </c>
      <c r="E373" s="17">
        <v>-9</v>
      </c>
      <c r="F373" s="17">
        <v>-140</v>
      </c>
      <c r="G373" s="17">
        <v>-96</v>
      </c>
      <c r="H373" s="18">
        <f t="shared" si="24"/>
        <v>52.212389380530979</v>
      </c>
      <c r="I373" s="18">
        <v>1.56</v>
      </c>
      <c r="J373" s="18">
        <v>-1.06</v>
      </c>
      <c r="S373" s="19">
        <v>5</v>
      </c>
      <c r="T373" s="20">
        <v>4</v>
      </c>
      <c r="AE373" s="23">
        <f t="shared" si="25"/>
        <v>77.666666666666671</v>
      </c>
      <c r="AF373" s="24">
        <f t="shared" si="26"/>
        <v>-0.24034334763948503</v>
      </c>
    </row>
    <row r="374" spans="1:35" x14ac:dyDescent="0.4">
      <c r="A374" s="16">
        <v>44728</v>
      </c>
      <c r="B374" s="17">
        <v>66</v>
      </c>
      <c r="C374" s="17">
        <v>37</v>
      </c>
      <c r="D374" s="17">
        <v>-12</v>
      </c>
      <c r="E374" s="17">
        <v>-4</v>
      </c>
      <c r="F374" s="17">
        <v>-123</v>
      </c>
      <c r="G374" s="17">
        <v>-68</v>
      </c>
      <c r="H374" s="18">
        <f t="shared" si="24"/>
        <v>64.077669902912632</v>
      </c>
      <c r="I374" s="18">
        <v>0.62</v>
      </c>
      <c r="J374" s="18">
        <v>-3.06</v>
      </c>
      <c r="S374" s="19">
        <v>5</v>
      </c>
      <c r="T374" s="20">
        <v>4</v>
      </c>
      <c r="AE374" s="23">
        <f t="shared" si="25"/>
        <v>65.666666666666671</v>
      </c>
      <c r="AF374" s="24">
        <f t="shared" si="26"/>
        <v>5.076142131979623E-3</v>
      </c>
      <c r="AI374" s="20" t="s">
        <v>0</v>
      </c>
    </row>
    <row r="375" spans="1:35" x14ac:dyDescent="0.4">
      <c r="A375" s="16">
        <v>44729</v>
      </c>
      <c r="B375" s="17">
        <v>66</v>
      </c>
      <c r="C375" s="17">
        <v>26</v>
      </c>
      <c r="D375" s="17">
        <v>-5</v>
      </c>
      <c r="E375" s="17">
        <v>0</v>
      </c>
      <c r="F375" s="17">
        <v>-125</v>
      </c>
      <c r="G375" s="17">
        <v>-34</v>
      </c>
      <c r="H375" s="18">
        <f t="shared" si="24"/>
        <v>71.739130434782609</v>
      </c>
      <c r="I375" s="18">
        <v>0.46</v>
      </c>
      <c r="J375" s="18">
        <v>-1.1299999999999999</v>
      </c>
      <c r="S375" s="19">
        <v>6</v>
      </c>
      <c r="T375" s="20">
        <v>5</v>
      </c>
      <c r="AE375" s="23">
        <f t="shared" si="25"/>
        <v>63</v>
      </c>
      <c r="AF375" s="24">
        <f t="shared" si="26"/>
        <v>4.7619047619047616E-2</v>
      </c>
    </row>
    <row r="376" spans="1:35" x14ac:dyDescent="0.4">
      <c r="A376" s="16">
        <v>44732</v>
      </c>
      <c r="B376" s="17">
        <v>93</v>
      </c>
      <c r="C376" s="17">
        <v>55</v>
      </c>
      <c r="D376" s="17">
        <v>-16</v>
      </c>
      <c r="E376" s="17">
        <v>-7</v>
      </c>
      <c r="F376" s="17">
        <v>-148</v>
      </c>
      <c r="G376" s="17">
        <v>-80</v>
      </c>
      <c r="H376" s="18">
        <f t="shared" ref="H376:H434" si="27">B376/(B376+C376)*100</f>
        <v>62.837837837837839</v>
      </c>
      <c r="I376" s="18">
        <v>4.1500000000000004</v>
      </c>
      <c r="J376" s="18">
        <v>1.96</v>
      </c>
      <c r="S376" s="19">
        <v>7</v>
      </c>
      <c r="T376" s="20">
        <v>6</v>
      </c>
      <c r="AE376" s="23">
        <f t="shared" si="25"/>
        <v>63.666666666666664</v>
      </c>
      <c r="AF376" s="24">
        <f t="shared" si="26"/>
        <v>0.46073298429319376</v>
      </c>
    </row>
    <row r="377" spans="1:35" x14ac:dyDescent="0.4">
      <c r="A377" s="16">
        <v>44733</v>
      </c>
      <c r="B377" s="17">
        <v>54</v>
      </c>
      <c r="C377" s="17">
        <v>42</v>
      </c>
      <c r="D377" s="17">
        <v>-14</v>
      </c>
      <c r="E377" s="17">
        <v>-7</v>
      </c>
      <c r="F377" s="17">
        <v>-309</v>
      </c>
      <c r="G377" s="17">
        <v>-131</v>
      </c>
      <c r="H377" s="18">
        <f t="shared" si="27"/>
        <v>56.25</v>
      </c>
      <c r="I377" s="18">
        <v>0.48</v>
      </c>
      <c r="J377" s="18">
        <v>-1.44</v>
      </c>
      <c r="S377" s="19">
        <v>8</v>
      </c>
      <c r="T377" s="20">
        <v>7</v>
      </c>
      <c r="AE377" s="23">
        <f t="shared" si="25"/>
        <v>75</v>
      </c>
      <c r="AF377" s="24">
        <f t="shared" si="26"/>
        <v>-0.28000000000000003</v>
      </c>
    </row>
    <row r="378" spans="1:35" x14ac:dyDescent="0.4">
      <c r="A378" s="16">
        <v>44734</v>
      </c>
      <c r="B378" s="17">
        <v>71</v>
      </c>
      <c r="C378" s="17">
        <v>31</v>
      </c>
      <c r="D378" s="17">
        <v>-8</v>
      </c>
      <c r="E378" s="17">
        <v>-1</v>
      </c>
      <c r="F378" s="17">
        <v>-193</v>
      </c>
      <c r="G378" s="17">
        <v>-120</v>
      </c>
      <c r="H378" s="18">
        <f t="shared" si="27"/>
        <v>69.607843137254903</v>
      </c>
      <c r="I378" s="18">
        <v>3.97</v>
      </c>
      <c r="J378" s="18">
        <v>-1.53</v>
      </c>
      <c r="S378" s="19">
        <v>9</v>
      </c>
      <c r="T378" s="20">
        <v>8</v>
      </c>
      <c r="AE378" s="23">
        <f t="shared" si="25"/>
        <v>71</v>
      </c>
      <c r="AF378" s="24">
        <f t="shared" si="26"/>
        <v>0</v>
      </c>
    </row>
    <row r="379" spans="1:35" x14ac:dyDescent="0.4">
      <c r="A379" s="16">
        <v>44735</v>
      </c>
      <c r="B379" s="17">
        <v>107</v>
      </c>
      <c r="C379" s="17">
        <v>43</v>
      </c>
      <c r="D379" s="17">
        <v>-9</v>
      </c>
      <c r="E379" s="17">
        <v>0</v>
      </c>
      <c r="F379" s="17">
        <v>-111</v>
      </c>
      <c r="G379" s="17">
        <v>-18</v>
      </c>
      <c r="H379" s="18">
        <f t="shared" si="27"/>
        <v>71.333333333333343</v>
      </c>
      <c r="I379" s="18">
        <v>3.25</v>
      </c>
      <c r="J379" s="18">
        <v>1.28</v>
      </c>
      <c r="S379" s="19">
        <v>10</v>
      </c>
      <c r="T379" s="20">
        <v>9</v>
      </c>
      <c r="AE379" s="23">
        <f t="shared" si="25"/>
        <v>72.666666666666671</v>
      </c>
      <c r="AF379" s="24">
        <f t="shared" si="26"/>
        <v>0.47247706422018337</v>
      </c>
    </row>
    <row r="380" spans="1:35" x14ac:dyDescent="0.4">
      <c r="A380" s="16">
        <v>44736</v>
      </c>
      <c r="B380" s="17">
        <v>102</v>
      </c>
      <c r="C380" s="17">
        <v>41</v>
      </c>
      <c r="D380" s="17">
        <v>-1</v>
      </c>
      <c r="E380" s="17">
        <v>-1</v>
      </c>
      <c r="F380" s="17">
        <v>-72</v>
      </c>
      <c r="G380" s="17">
        <v>-34</v>
      </c>
      <c r="H380" s="18">
        <f t="shared" si="27"/>
        <v>71.328671328671334</v>
      </c>
      <c r="I380" s="18">
        <v>2.48</v>
      </c>
      <c r="J380" s="18">
        <v>0.77</v>
      </c>
      <c r="S380" s="19">
        <v>11</v>
      </c>
      <c r="T380" s="20">
        <v>10</v>
      </c>
      <c r="AE380" s="23">
        <f t="shared" si="25"/>
        <v>77.333333333333329</v>
      </c>
      <c r="AF380" s="24">
        <f t="shared" si="26"/>
        <v>0.31896551724137939</v>
      </c>
    </row>
    <row r="381" spans="1:35" x14ac:dyDescent="0.4">
      <c r="A381" s="16">
        <v>44739</v>
      </c>
      <c r="B381" s="17">
        <v>102</v>
      </c>
      <c r="C381" s="17">
        <v>52</v>
      </c>
      <c r="D381" s="17">
        <v>-8</v>
      </c>
      <c r="E381" s="17">
        <v>-2</v>
      </c>
      <c r="F381" s="17">
        <v>-105</v>
      </c>
      <c r="G381" s="17">
        <v>-40</v>
      </c>
      <c r="H381" s="18">
        <f t="shared" si="27"/>
        <v>66.233766233766232</v>
      </c>
      <c r="I381" s="18">
        <v>3.44</v>
      </c>
      <c r="J381" s="18">
        <v>1.0900000000000001</v>
      </c>
      <c r="S381" s="19">
        <v>7</v>
      </c>
      <c r="T381" s="20">
        <v>6</v>
      </c>
      <c r="AE381" s="23">
        <f t="shared" si="25"/>
        <v>93.333333333333329</v>
      </c>
      <c r="AF381" s="24">
        <f t="shared" si="26"/>
        <v>9.2857142857142916E-2</v>
      </c>
    </row>
    <row r="382" spans="1:35" x14ac:dyDescent="0.4">
      <c r="A382" s="16">
        <v>44740</v>
      </c>
      <c r="B382" s="17">
        <v>127</v>
      </c>
      <c r="C382" s="17">
        <v>28</v>
      </c>
      <c r="D382" s="17">
        <v>-3</v>
      </c>
      <c r="E382" s="17">
        <v>0</v>
      </c>
      <c r="F382" s="17">
        <v>-162</v>
      </c>
      <c r="G382" s="17">
        <v>-37</v>
      </c>
      <c r="H382" s="18">
        <f t="shared" si="27"/>
        <v>81.935483870967744</v>
      </c>
      <c r="I382" s="18">
        <v>4.43</v>
      </c>
      <c r="J382" s="18">
        <v>1.62</v>
      </c>
      <c r="S382" s="19">
        <v>8</v>
      </c>
      <c r="T382" s="20">
        <v>7</v>
      </c>
      <c r="AE382" s="23">
        <f t="shared" si="25"/>
        <v>103.66666666666667</v>
      </c>
      <c r="AF382" s="24">
        <f t="shared" si="26"/>
        <v>0.22508038585208998</v>
      </c>
    </row>
    <row r="383" spans="1:35" x14ac:dyDescent="0.4">
      <c r="A383" s="16">
        <v>44741</v>
      </c>
      <c r="B383" s="17">
        <v>55</v>
      </c>
      <c r="C383" s="17">
        <v>26</v>
      </c>
      <c r="D383" s="17">
        <v>-62</v>
      </c>
      <c r="E383" s="17">
        <v>-43</v>
      </c>
      <c r="F383" s="17">
        <v>-728</v>
      </c>
      <c r="G383" s="17">
        <v>-619</v>
      </c>
      <c r="H383" s="18">
        <f t="shared" si="27"/>
        <v>67.901234567901241</v>
      </c>
      <c r="I383" s="18">
        <v>-1.37</v>
      </c>
      <c r="J383" s="18">
        <v>-2.2200000000000002</v>
      </c>
      <c r="S383" s="19">
        <v>9</v>
      </c>
      <c r="T383" s="20">
        <v>7</v>
      </c>
      <c r="AE383" s="23">
        <f t="shared" si="25"/>
        <v>110.33333333333333</v>
      </c>
      <c r="AF383" s="24">
        <f t="shared" si="26"/>
        <v>-0.50151057401812682</v>
      </c>
    </row>
    <row r="384" spans="1:35" x14ac:dyDescent="0.4">
      <c r="A384" s="16">
        <v>44742</v>
      </c>
      <c r="B384" s="17">
        <v>82</v>
      </c>
      <c r="C384" s="17">
        <v>51</v>
      </c>
      <c r="D384" s="17">
        <v>-29</v>
      </c>
      <c r="E384" s="17">
        <v>-15</v>
      </c>
      <c r="F384" s="17">
        <v>-131</v>
      </c>
      <c r="G384" s="17">
        <v>-52</v>
      </c>
      <c r="H384" s="18">
        <f t="shared" si="27"/>
        <v>61.65413533834586</v>
      </c>
      <c r="I384" s="18">
        <v>0.57999999999999996</v>
      </c>
      <c r="J384" s="18">
        <v>-3.47</v>
      </c>
      <c r="S384" s="19">
        <v>6</v>
      </c>
      <c r="T384" s="20">
        <v>5</v>
      </c>
      <c r="AE384" s="23">
        <f t="shared" si="25"/>
        <v>94.666666666666671</v>
      </c>
      <c r="AF384" s="24">
        <f t="shared" si="26"/>
        <v>-0.13380281690140849</v>
      </c>
    </row>
    <row r="385" spans="1:32" x14ac:dyDescent="0.4">
      <c r="A385" s="16">
        <v>44743</v>
      </c>
      <c r="B385" s="17">
        <v>61</v>
      </c>
      <c r="C385" s="17">
        <v>26</v>
      </c>
      <c r="D385" s="17">
        <v>-39</v>
      </c>
      <c r="E385" s="17">
        <v>-24</v>
      </c>
      <c r="F385" s="17">
        <v>-249</v>
      </c>
      <c r="G385" s="17">
        <v>-140</v>
      </c>
      <c r="H385" s="18">
        <f t="shared" si="27"/>
        <v>70.114942528735639</v>
      </c>
      <c r="I385" s="18">
        <v>-1.3</v>
      </c>
      <c r="J385" s="18">
        <v>-3.15</v>
      </c>
      <c r="S385" s="19">
        <v>7</v>
      </c>
      <c r="T385" s="20">
        <v>4</v>
      </c>
      <c r="AE385" s="23">
        <f t="shared" si="25"/>
        <v>88</v>
      </c>
      <c r="AF385" s="24">
        <f t="shared" si="26"/>
        <v>-0.30681818181818182</v>
      </c>
    </row>
    <row r="386" spans="1:32" x14ac:dyDescent="0.4">
      <c r="A386" s="16">
        <v>44746</v>
      </c>
      <c r="B386" s="17">
        <v>77</v>
      </c>
      <c r="C386" s="17">
        <v>33</v>
      </c>
      <c r="D386" s="17">
        <v>-19</v>
      </c>
      <c r="E386" s="17">
        <v>-11</v>
      </c>
      <c r="F386" s="17">
        <v>-257</v>
      </c>
      <c r="G386" s="17">
        <v>-90</v>
      </c>
      <c r="H386" s="18">
        <f t="shared" si="27"/>
        <v>70</v>
      </c>
      <c r="I386" s="18">
        <v>2.72</v>
      </c>
      <c r="J386" s="18">
        <v>-0.42</v>
      </c>
      <c r="S386" s="19">
        <v>5</v>
      </c>
      <c r="T386" s="20">
        <v>3</v>
      </c>
      <c r="AE386" s="23">
        <f t="shared" si="25"/>
        <v>66</v>
      </c>
      <c r="AF386" s="24">
        <f t="shared" si="26"/>
        <v>0.16666666666666666</v>
      </c>
    </row>
    <row r="387" spans="1:32" x14ac:dyDescent="0.4">
      <c r="A387" s="16">
        <v>44747</v>
      </c>
      <c r="B387" s="17">
        <v>38</v>
      </c>
      <c r="C387" s="17">
        <v>34</v>
      </c>
      <c r="D387" s="17">
        <v>-20</v>
      </c>
      <c r="E387" s="17">
        <v>-5</v>
      </c>
      <c r="F387" s="17">
        <v>-366</v>
      </c>
      <c r="G387" s="17">
        <v>-117</v>
      </c>
      <c r="H387" s="18">
        <f t="shared" si="27"/>
        <v>52.777777777777779</v>
      </c>
      <c r="I387" s="18">
        <v>1.81</v>
      </c>
      <c r="J387" s="18">
        <v>-0.74</v>
      </c>
      <c r="S387" s="19">
        <v>6</v>
      </c>
      <c r="T387" s="20">
        <v>3</v>
      </c>
      <c r="AE387" s="23">
        <f t="shared" si="25"/>
        <v>73.333333333333329</v>
      </c>
      <c r="AF387" s="24">
        <f t="shared" si="26"/>
        <v>-0.48181818181818181</v>
      </c>
    </row>
    <row r="388" spans="1:32" x14ac:dyDescent="0.4">
      <c r="A388" s="16">
        <v>44748</v>
      </c>
      <c r="B388" s="17">
        <v>51</v>
      </c>
      <c r="C388" s="17">
        <v>23</v>
      </c>
      <c r="D388" s="17">
        <v>-21</v>
      </c>
      <c r="E388" s="17">
        <v>-9</v>
      </c>
      <c r="F388" s="17">
        <v>-330</v>
      </c>
      <c r="G388" s="17">
        <v>-159</v>
      </c>
      <c r="H388" s="18">
        <f t="shared" si="27"/>
        <v>68.918918918918919</v>
      </c>
      <c r="I388" s="18">
        <v>2.0699999999999998</v>
      </c>
      <c r="J388" s="18">
        <v>-2.61</v>
      </c>
      <c r="S388" s="19">
        <v>7</v>
      </c>
      <c r="T388" s="20">
        <v>4</v>
      </c>
      <c r="AE388" s="23">
        <f t="shared" si="25"/>
        <v>58.666666666666664</v>
      </c>
      <c r="AF388" s="24">
        <f t="shared" si="26"/>
        <v>-0.13068181818181815</v>
      </c>
    </row>
    <row r="389" spans="1:32" x14ac:dyDescent="0.4">
      <c r="A389" s="16">
        <v>44749</v>
      </c>
      <c r="B389" s="17">
        <v>78</v>
      </c>
      <c r="C389" s="17">
        <v>36</v>
      </c>
      <c r="D389" s="17">
        <v>-10</v>
      </c>
      <c r="E389" s="17">
        <v>0</v>
      </c>
      <c r="F389" s="17">
        <v>-153</v>
      </c>
      <c r="G389" s="17">
        <v>-56</v>
      </c>
      <c r="H389" s="18">
        <f t="shared" si="27"/>
        <v>68.421052631578945</v>
      </c>
      <c r="I389" s="18">
        <v>4.09</v>
      </c>
      <c r="J389" s="18">
        <v>1.06</v>
      </c>
      <c r="S389" s="19">
        <v>8</v>
      </c>
      <c r="T389" s="20">
        <v>5</v>
      </c>
      <c r="AE389" s="23">
        <f t="shared" si="25"/>
        <v>55.333333333333336</v>
      </c>
      <c r="AF389" s="24">
        <f t="shared" si="26"/>
        <v>0.4096385542168674</v>
      </c>
    </row>
    <row r="390" spans="1:32" x14ac:dyDescent="0.4">
      <c r="A390" s="16">
        <v>44750</v>
      </c>
      <c r="B390" s="17">
        <v>66</v>
      </c>
      <c r="C390" s="17">
        <v>29</v>
      </c>
      <c r="D390" s="17">
        <v>-15</v>
      </c>
      <c r="E390" s="17">
        <v>-9</v>
      </c>
      <c r="F390" s="17">
        <v>-187</v>
      </c>
      <c r="G390" s="17">
        <v>-125</v>
      </c>
      <c r="H390" s="18">
        <f t="shared" si="27"/>
        <v>69.473684210526315</v>
      </c>
      <c r="I390" s="18">
        <v>0.68</v>
      </c>
      <c r="J390" s="18">
        <v>-1.1399999999999999</v>
      </c>
      <c r="S390" s="19">
        <v>9</v>
      </c>
      <c r="T390" s="20">
        <v>6</v>
      </c>
      <c r="AE390" s="23">
        <f t="shared" si="25"/>
        <v>55.666666666666664</v>
      </c>
      <c r="AF390" s="24">
        <f t="shared" si="26"/>
        <v>0.18562874251497011</v>
      </c>
    </row>
    <row r="391" spans="1:32" x14ac:dyDescent="0.4">
      <c r="A391" s="16">
        <v>44753</v>
      </c>
      <c r="B391" s="17">
        <v>57</v>
      </c>
      <c r="C391" s="17">
        <v>24</v>
      </c>
      <c r="D391" s="17">
        <v>-37</v>
      </c>
      <c r="E391" s="17">
        <v>-14</v>
      </c>
      <c r="F391" s="17">
        <v>-439</v>
      </c>
      <c r="G391" s="17">
        <v>-160</v>
      </c>
      <c r="H391" s="18">
        <f t="shared" si="27"/>
        <v>70.370370370370367</v>
      </c>
      <c r="I391" s="18">
        <v>1.63</v>
      </c>
      <c r="J391" s="18">
        <v>-0.55000000000000004</v>
      </c>
      <c r="S391" s="19">
        <v>6</v>
      </c>
      <c r="T391" s="20">
        <v>4</v>
      </c>
      <c r="AE391" s="23">
        <f t="shared" si="25"/>
        <v>65</v>
      </c>
      <c r="AF391" s="24">
        <f t="shared" si="26"/>
        <v>-0.12307692307692308</v>
      </c>
    </row>
    <row r="392" spans="1:32" x14ac:dyDescent="0.4">
      <c r="A392" s="16">
        <v>44754</v>
      </c>
      <c r="B392" s="17">
        <v>44</v>
      </c>
      <c r="C392" s="17">
        <v>29</v>
      </c>
      <c r="D392" s="17">
        <v>-25</v>
      </c>
      <c r="E392" s="17">
        <v>-15</v>
      </c>
      <c r="F392" s="17">
        <v>-454</v>
      </c>
      <c r="G392" s="17">
        <v>-294</v>
      </c>
      <c r="H392" s="18">
        <f t="shared" si="27"/>
        <v>60.273972602739725</v>
      </c>
      <c r="I392" s="18">
        <v>1.52</v>
      </c>
      <c r="J392" s="18">
        <v>-1.58</v>
      </c>
      <c r="S392" s="19">
        <v>7</v>
      </c>
      <c r="T392" s="20">
        <v>5</v>
      </c>
      <c r="AE392" s="23">
        <f t="shared" si="25"/>
        <v>67</v>
      </c>
      <c r="AF392" s="24">
        <f t="shared" si="26"/>
        <v>-0.34328358208955223</v>
      </c>
    </row>
    <row r="393" spans="1:32" x14ac:dyDescent="0.4">
      <c r="A393" s="16">
        <v>44755</v>
      </c>
      <c r="B393" s="17">
        <v>89</v>
      </c>
      <c r="C393" s="17">
        <v>31</v>
      </c>
      <c r="D393" s="17">
        <v>-14</v>
      </c>
      <c r="E393" s="17">
        <v>-6</v>
      </c>
      <c r="F393" s="17">
        <v>-127</v>
      </c>
      <c r="G393" s="17">
        <v>-41</v>
      </c>
      <c r="H393" s="18">
        <f t="shared" si="27"/>
        <v>74.166666666666671</v>
      </c>
      <c r="I393" s="18">
        <v>3.98</v>
      </c>
      <c r="J393" s="18">
        <v>0.23</v>
      </c>
      <c r="S393" s="19">
        <v>6</v>
      </c>
      <c r="T393" s="20">
        <v>5</v>
      </c>
      <c r="AE393" s="23">
        <f t="shared" si="25"/>
        <v>55.666666666666664</v>
      </c>
      <c r="AF393" s="24">
        <f t="shared" si="26"/>
        <v>0.5988023952095809</v>
      </c>
    </row>
    <row r="394" spans="1:32" x14ac:dyDescent="0.4">
      <c r="A394" s="16">
        <v>44756</v>
      </c>
      <c r="B394" s="17">
        <v>68</v>
      </c>
      <c r="C394" s="17">
        <v>28</v>
      </c>
      <c r="D394" s="17">
        <v>-27</v>
      </c>
      <c r="E394" s="17">
        <v>-10</v>
      </c>
      <c r="F394" s="17">
        <v>-169</v>
      </c>
      <c r="G394" s="17">
        <v>-89</v>
      </c>
      <c r="H394" s="18">
        <f t="shared" si="27"/>
        <v>70.833333333333343</v>
      </c>
      <c r="I394" s="18">
        <v>-0.38</v>
      </c>
      <c r="J394" s="18">
        <v>-1.34</v>
      </c>
      <c r="S394" s="19">
        <v>7</v>
      </c>
      <c r="T394" s="20">
        <v>4</v>
      </c>
      <c r="AE394" s="23">
        <f t="shared" si="25"/>
        <v>63.333333333333336</v>
      </c>
      <c r="AF394" s="24">
        <f t="shared" si="26"/>
        <v>7.3684210526315755E-2</v>
      </c>
    </row>
    <row r="395" spans="1:32" x14ac:dyDescent="0.4">
      <c r="A395" s="16">
        <v>44757</v>
      </c>
      <c r="B395" s="17">
        <v>56</v>
      </c>
      <c r="C395" s="17">
        <v>27</v>
      </c>
      <c r="D395" s="17">
        <v>-56</v>
      </c>
      <c r="E395" s="17">
        <v>-33</v>
      </c>
      <c r="F395" s="17">
        <v>-547</v>
      </c>
      <c r="G395" s="17">
        <v>-385</v>
      </c>
      <c r="H395" s="18">
        <f t="shared" si="27"/>
        <v>67.46987951807229</v>
      </c>
      <c r="I395" s="18">
        <v>1.96</v>
      </c>
      <c r="J395" s="18">
        <v>-0.88</v>
      </c>
      <c r="S395" s="19">
        <v>5</v>
      </c>
      <c r="T395" s="20">
        <v>4</v>
      </c>
      <c r="AE395" s="23">
        <f t="shared" si="25"/>
        <v>67</v>
      </c>
      <c r="AF395" s="24">
        <f t="shared" si="26"/>
        <v>-0.16417910447761194</v>
      </c>
    </row>
    <row r="396" spans="1:32" x14ac:dyDescent="0.4">
      <c r="A396" s="16">
        <v>44760</v>
      </c>
      <c r="B396" s="17">
        <v>120</v>
      </c>
      <c r="C396" s="17">
        <v>33</v>
      </c>
      <c r="D396" s="17">
        <v>-6</v>
      </c>
      <c r="E396" s="17">
        <v>-2</v>
      </c>
      <c r="F396" s="17">
        <v>-142</v>
      </c>
      <c r="G396" s="17">
        <v>-24</v>
      </c>
      <c r="H396" s="18">
        <f t="shared" si="27"/>
        <v>78.431372549019613</v>
      </c>
      <c r="I396" s="18">
        <v>5.21</v>
      </c>
      <c r="J396" s="18">
        <v>2.76</v>
      </c>
      <c r="S396" s="19">
        <v>6</v>
      </c>
      <c r="T396" s="20">
        <v>5</v>
      </c>
      <c r="AE396" s="23">
        <f t="shared" si="25"/>
        <v>71</v>
      </c>
      <c r="AF396" s="24">
        <f t="shared" si="26"/>
        <v>0.6901408450704225</v>
      </c>
    </row>
    <row r="397" spans="1:32" x14ac:dyDescent="0.4">
      <c r="A397" s="16">
        <v>44761</v>
      </c>
      <c r="B397" s="17">
        <v>81</v>
      </c>
      <c r="C397" s="17">
        <v>35</v>
      </c>
      <c r="D397" s="17">
        <v>-11</v>
      </c>
      <c r="E397" s="17">
        <v>-5</v>
      </c>
      <c r="F397" s="17">
        <v>-107</v>
      </c>
      <c r="G397" s="17">
        <v>-50</v>
      </c>
      <c r="H397" s="18">
        <f t="shared" si="27"/>
        <v>69.827586206896555</v>
      </c>
      <c r="I397" s="18">
        <v>1.25</v>
      </c>
      <c r="J397" s="18">
        <v>0.27</v>
      </c>
      <c r="S397" s="19">
        <v>7</v>
      </c>
      <c r="T397" s="20">
        <v>6</v>
      </c>
      <c r="AE397" s="23">
        <f t="shared" si="25"/>
        <v>81.333333333333329</v>
      </c>
      <c r="AF397" s="24">
        <f t="shared" si="26"/>
        <v>-4.098360655737647E-3</v>
      </c>
    </row>
    <row r="398" spans="1:32" x14ac:dyDescent="0.4">
      <c r="A398" s="16">
        <v>44762</v>
      </c>
      <c r="B398" s="17">
        <v>84</v>
      </c>
      <c r="C398" s="17">
        <v>29</v>
      </c>
      <c r="D398" s="17">
        <v>-14</v>
      </c>
      <c r="E398" s="17">
        <v>-5</v>
      </c>
      <c r="F398" s="17">
        <v>-96</v>
      </c>
      <c r="G398" s="17">
        <v>-35</v>
      </c>
      <c r="H398" s="18">
        <f t="shared" si="27"/>
        <v>74.336283185840713</v>
      </c>
      <c r="I398" s="18">
        <v>2.63</v>
      </c>
      <c r="J398" s="18">
        <v>0.54</v>
      </c>
      <c r="S398" s="19">
        <v>4</v>
      </c>
      <c r="T398" s="20">
        <v>3</v>
      </c>
      <c r="AE398" s="23">
        <f t="shared" si="25"/>
        <v>85.666666666666671</v>
      </c>
      <c r="AF398" s="24">
        <f t="shared" si="26"/>
        <v>-1.9455252918287994E-2</v>
      </c>
    </row>
    <row r="399" spans="1:32" x14ac:dyDescent="0.4">
      <c r="A399" s="16">
        <v>44763</v>
      </c>
      <c r="B399" s="17">
        <v>64</v>
      </c>
      <c r="C399" s="17">
        <v>37</v>
      </c>
      <c r="D399" s="17">
        <v>-3</v>
      </c>
      <c r="E399" s="17">
        <v>-2</v>
      </c>
      <c r="F399" s="17">
        <v>-165</v>
      </c>
      <c r="G399" s="17">
        <v>-92</v>
      </c>
      <c r="H399" s="18">
        <f t="shared" si="27"/>
        <v>63.366336633663366</v>
      </c>
      <c r="I399" s="18">
        <v>1.77</v>
      </c>
      <c r="J399" s="18">
        <v>-0.06</v>
      </c>
      <c r="S399" s="19">
        <v>5</v>
      </c>
      <c r="T399" s="20">
        <v>4</v>
      </c>
      <c r="AE399" s="23">
        <f t="shared" si="25"/>
        <v>95</v>
      </c>
      <c r="AF399" s="24">
        <f t="shared" si="26"/>
        <v>-0.32631578947368423</v>
      </c>
    </row>
    <row r="400" spans="1:32" x14ac:dyDescent="0.4">
      <c r="A400" s="16">
        <v>44764</v>
      </c>
      <c r="B400" s="17">
        <v>52</v>
      </c>
      <c r="C400" s="17">
        <v>18</v>
      </c>
      <c r="D400" s="17">
        <v>-16</v>
      </c>
      <c r="E400" s="17">
        <v>-6</v>
      </c>
      <c r="F400" s="17">
        <v>-202</v>
      </c>
      <c r="G400" s="17">
        <v>-69</v>
      </c>
      <c r="H400" s="18">
        <f t="shared" si="27"/>
        <v>74.285714285714292</v>
      </c>
      <c r="I400" s="18">
        <v>-0.45</v>
      </c>
      <c r="J400" s="18">
        <v>-2.93</v>
      </c>
      <c r="S400" s="19">
        <v>5</v>
      </c>
      <c r="T400" s="20">
        <v>3</v>
      </c>
      <c r="AE400" s="23">
        <f t="shared" si="25"/>
        <v>76.333333333333329</v>
      </c>
      <c r="AF400" s="24">
        <f t="shared" si="26"/>
        <v>-0.31877729257641918</v>
      </c>
    </row>
    <row r="401" spans="1:32" x14ac:dyDescent="0.4">
      <c r="A401" s="16">
        <v>44767</v>
      </c>
      <c r="B401" s="17">
        <v>40</v>
      </c>
      <c r="C401" s="17">
        <v>30</v>
      </c>
      <c r="D401" s="17">
        <v>-30</v>
      </c>
      <c r="E401" s="17">
        <v>-19</v>
      </c>
      <c r="F401" s="17">
        <v>-338</v>
      </c>
      <c r="G401" s="17">
        <v>-221</v>
      </c>
      <c r="H401" s="18">
        <f t="shared" si="27"/>
        <v>57.142857142857139</v>
      </c>
      <c r="I401" s="18">
        <v>0.02</v>
      </c>
      <c r="J401" s="18">
        <v>-2.5499999999999998</v>
      </c>
      <c r="S401" s="19">
        <v>3</v>
      </c>
      <c r="T401" s="20">
        <v>2</v>
      </c>
      <c r="AE401" s="23">
        <f t="shared" si="25"/>
        <v>66.666666666666671</v>
      </c>
      <c r="AF401" s="24">
        <f t="shared" si="26"/>
        <v>-0.4</v>
      </c>
    </row>
    <row r="402" spans="1:32" x14ac:dyDescent="0.4">
      <c r="A402" s="16">
        <v>44768</v>
      </c>
      <c r="B402" s="17">
        <v>56</v>
      </c>
      <c r="C402" s="17">
        <v>27</v>
      </c>
      <c r="D402" s="17">
        <v>-15</v>
      </c>
      <c r="E402" s="17">
        <v>-6</v>
      </c>
      <c r="F402" s="17">
        <v>-170</v>
      </c>
      <c r="G402" s="17">
        <v>-26</v>
      </c>
      <c r="H402" s="18">
        <f t="shared" si="27"/>
        <v>67.46987951807229</v>
      </c>
      <c r="I402" s="18">
        <v>1.58</v>
      </c>
      <c r="J402" s="18">
        <v>-1.48</v>
      </c>
      <c r="S402" s="19">
        <v>4</v>
      </c>
      <c r="T402" s="20">
        <v>3</v>
      </c>
      <c r="AE402" s="23">
        <f t="shared" si="25"/>
        <v>52</v>
      </c>
      <c r="AF402" s="24">
        <f t="shared" si="26"/>
        <v>7.6923076923076927E-2</v>
      </c>
    </row>
    <row r="403" spans="1:32" x14ac:dyDescent="0.4">
      <c r="A403" s="16">
        <v>44769</v>
      </c>
      <c r="B403" s="17">
        <v>82</v>
      </c>
      <c r="C403" s="17">
        <v>27</v>
      </c>
      <c r="D403" s="17">
        <v>-5</v>
      </c>
      <c r="E403" s="17">
        <v>-3</v>
      </c>
      <c r="F403" s="17">
        <v>-67</v>
      </c>
      <c r="G403" s="17">
        <v>-21</v>
      </c>
      <c r="H403" s="18">
        <f t="shared" si="27"/>
        <v>75.22935779816514</v>
      </c>
      <c r="I403" s="18">
        <v>3.38</v>
      </c>
      <c r="J403" s="18">
        <v>0.71</v>
      </c>
      <c r="S403" s="19">
        <v>5</v>
      </c>
      <c r="T403" s="20">
        <v>4</v>
      </c>
      <c r="AE403" s="23">
        <f t="shared" si="25"/>
        <v>49.333333333333336</v>
      </c>
      <c r="AF403" s="24">
        <f t="shared" si="26"/>
        <v>0.66216216216216206</v>
      </c>
    </row>
    <row r="404" spans="1:32" x14ac:dyDescent="0.4">
      <c r="A404" s="16">
        <v>44770</v>
      </c>
      <c r="B404" s="17">
        <v>80</v>
      </c>
      <c r="C404" s="17">
        <v>28</v>
      </c>
      <c r="D404" s="17">
        <v>-2</v>
      </c>
      <c r="E404" s="17">
        <v>-2</v>
      </c>
      <c r="F404" s="17">
        <v>-70</v>
      </c>
      <c r="G404" s="17">
        <v>-28</v>
      </c>
      <c r="H404" s="18">
        <f t="shared" si="27"/>
        <v>74.074074074074076</v>
      </c>
      <c r="I404" s="18">
        <v>4.59</v>
      </c>
      <c r="J404" s="18">
        <v>2.4</v>
      </c>
      <c r="S404" s="19">
        <v>6</v>
      </c>
      <c r="T404" s="20">
        <v>5</v>
      </c>
      <c r="AE404" s="23">
        <f t="shared" si="25"/>
        <v>59.333333333333336</v>
      </c>
      <c r="AF404" s="24">
        <f t="shared" si="26"/>
        <v>0.348314606741573</v>
      </c>
    </row>
    <row r="405" spans="1:32" x14ac:dyDescent="0.4">
      <c r="A405" s="16">
        <v>44771</v>
      </c>
      <c r="B405" s="17">
        <v>59</v>
      </c>
      <c r="C405" s="17">
        <v>33</v>
      </c>
      <c r="D405" s="17">
        <v>-15</v>
      </c>
      <c r="E405" s="17">
        <v>-7</v>
      </c>
      <c r="F405" s="17">
        <v>-183</v>
      </c>
      <c r="G405" s="17">
        <v>-104</v>
      </c>
      <c r="H405" s="18">
        <f t="shared" si="27"/>
        <v>64.130434782608688</v>
      </c>
      <c r="I405" s="18">
        <v>1.25</v>
      </c>
      <c r="J405" s="18">
        <v>-0.76</v>
      </c>
      <c r="S405" s="19">
        <v>6</v>
      </c>
      <c r="T405" s="20">
        <v>5</v>
      </c>
      <c r="AE405" s="23">
        <f t="shared" si="25"/>
        <v>72.666666666666671</v>
      </c>
      <c r="AF405" s="24">
        <f t="shared" si="26"/>
        <v>-0.18807339449541291</v>
      </c>
    </row>
    <row r="406" spans="1:32" x14ac:dyDescent="0.4">
      <c r="A406" s="16">
        <v>44774</v>
      </c>
      <c r="B406" s="17">
        <v>81</v>
      </c>
      <c r="C406" s="17">
        <v>28</v>
      </c>
      <c r="D406" s="17">
        <v>-18</v>
      </c>
      <c r="E406" s="17">
        <v>-7</v>
      </c>
      <c r="F406" s="17">
        <v>-168</v>
      </c>
      <c r="G406" s="17">
        <v>-50</v>
      </c>
      <c r="H406" s="18">
        <f t="shared" si="27"/>
        <v>74.311926605504581</v>
      </c>
      <c r="I406" s="18">
        <v>3.56</v>
      </c>
      <c r="J406" s="18">
        <v>0.28999999999999998</v>
      </c>
      <c r="S406" s="19">
        <v>7</v>
      </c>
      <c r="T406" s="20">
        <v>5</v>
      </c>
      <c r="AE406" s="23">
        <f t="shared" si="25"/>
        <v>73.666666666666671</v>
      </c>
      <c r="AF406" s="24">
        <f t="shared" si="26"/>
        <v>9.9547511312217118E-2</v>
      </c>
    </row>
    <row r="407" spans="1:32" x14ac:dyDescent="0.4">
      <c r="A407" s="16">
        <v>44775</v>
      </c>
      <c r="B407" s="17">
        <v>45</v>
      </c>
      <c r="C407" s="17">
        <v>13</v>
      </c>
      <c r="D407" s="17">
        <v>-75</v>
      </c>
      <c r="E407" s="17">
        <v>-28</v>
      </c>
      <c r="F407" s="17">
        <v>-3053</v>
      </c>
      <c r="G407" s="17">
        <v>-1705</v>
      </c>
      <c r="H407" s="18">
        <f t="shared" si="27"/>
        <v>77.58620689655173</v>
      </c>
      <c r="I407" s="18">
        <v>1.69</v>
      </c>
      <c r="J407" s="18">
        <v>-1.1000000000000001</v>
      </c>
      <c r="S407" s="19">
        <v>6</v>
      </c>
      <c r="T407" s="20">
        <v>5</v>
      </c>
      <c r="AE407" s="23">
        <f t="shared" si="25"/>
        <v>73.333333333333329</v>
      </c>
      <c r="AF407" s="24">
        <f t="shared" si="26"/>
        <v>-0.3863636363636363</v>
      </c>
    </row>
    <row r="408" spans="1:32" x14ac:dyDescent="0.4">
      <c r="A408" s="16">
        <v>44776</v>
      </c>
      <c r="B408" s="17">
        <v>37</v>
      </c>
      <c r="C408" s="17">
        <v>72</v>
      </c>
      <c r="D408" s="17">
        <v>-39</v>
      </c>
      <c r="E408" s="17">
        <v>-25</v>
      </c>
      <c r="F408" s="17">
        <v>-347</v>
      </c>
      <c r="G408" s="17">
        <v>-186</v>
      </c>
      <c r="H408" s="18">
        <f t="shared" si="27"/>
        <v>33.944954128440372</v>
      </c>
      <c r="I408" s="18">
        <v>-7.0000000000000007E-2</v>
      </c>
      <c r="J408" s="18">
        <v>-1.57</v>
      </c>
      <c r="S408" s="19">
        <v>4</v>
      </c>
      <c r="T408" s="20">
        <v>3</v>
      </c>
      <c r="AE408" s="23">
        <f t="shared" si="25"/>
        <v>61.666666666666664</v>
      </c>
      <c r="AF408" s="24">
        <f t="shared" si="26"/>
        <v>-0.39999999999999997</v>
      </c>
    </row>
    <row r="409" spans="1:32" x14ac:dyDescent="0.4">
      <c r="A409" s="16">
        <v>44777</v>
      </c>
      <c r="B409" s="17">
        <v>62</v>
      </c>
      <c r="C409" s="17">
        <v>17</v>
      </c>
      <c r="D409" s="17">
        <v>-23</v>
      </c>
      <c r="E409" s="17">
        <v>-7</v>
      </c>
      <c r="F409" s="17">
        <v>-229</v>
      </c>
      <c r="G409" s="17">
        <v>-71</v>
      </c>
      <c r="H409" s="18">
        <f t="shared" si="27"/>
        <v>78.48101265822784</v>
      </c>
      <c r="I409" s="18">
        <v>0.15</v>
      </c>
      <c r="J409" s="18">
        <v>-3.76</v>
      </c>
      <c r="S409" s="19">
        <v>4</v>
      </c>
      <c r="T409" s="20">
        <v>3</v>
      </c>
      <c r="AE409" s="23">
        <f t="shared" si="25"/>
        <v>54.333333333333336</v>
      </c>
      <c r="AF409" s="24">
        <f t="shared" si="26"/>
        <v>0.14110429447852757</v>
      </c>
    </row>
    <row r="410" spans="1:32" x14ac:dyDescent="0.4">
      <c r="A410" s="16">
        <v>44778</v>
      </c>
      <c r="B410" s="17">
        <v>58</v>
      </c>
      <c r="C410" s="17">
        <v>29</v>
      </c>
      <c r="D410" s="17">
        <v>-16</v>
      </c>
      <c r="E410" s="17">
        <v>-8</v>
      </c>
      <c r="F410" s="17">
        <v>-215</v>
      </c>
      <c r="G410" s="17">
        <v>-91</v>
      </c>
      <c r="H410" s="18">
        <f t="shared" si="27"/>
        <v>66.666666666666657</v>
      </c>
      <c r="I410" s="18">
        <v>-0.32</v>
      </c>
      <c r="J410" s="18">
        <v>-1.59</v>
      </c>
      <c r="S410" s="19">
        <v>5</v>
      </c>
      <c r="T410" s="20">
        <v>4</v>
      </c>
      <c r="AE410" s="23">
        <f t="shared" si="25"/>
        <v>48</v>
      </c>
      <c r="AF410" s="24">
        <f t="shared" si="26"/>
        <v>0.20833333333333334</v>
      </c>
    </row>
    <row r="411" spans="1:32" x14ac:dyDescent="0.4">
      <c r="A411" s="16">
        <v>44781</v>
      </c>
      <c r="B411" s="17">
        <v>97</v>
      </c>
      <c r="C411" s="17">
        <v>24</v>
      </c>
      <c r="D411" s="17">
        <v>-11</v>
      </c>
      <c r="E411" s="17">
        <v>-2</v>
      </c>
      <c r="F411" s="17">
        <v>-183</v>
      </c>
      <c r="G411" s="17">
        <v>-28</v>
      </c>
      <c r="H411" s="18">
        <f t="shared" si="27"/>
        <v>80.165289256198349</v>
      </c>
      <c r="I411" s="18">
        <v>3.14</v>
      </c>
      <c r="J411" s="18">
        <v>0.64</v>
      </c>
      <c r="S411" s="19">
        <v>5</v>
      </c>
      <c r="T411" s="20">
        <v>3</v>
      </c>
      <c r="AE411" s="23">
        <f t="shared" si="25"/>
        <v>52.333333333333336</v>
      </c>
      <c r="AF411" s="24">
        <f t="shared" si="26"/>
        <v>0.85350318471337572</v>
      </c>
    </row>
    <row r="412" spans="1:32" x14ac:dyDescent="0.4">
      <c r="A412" s="16">
        <v>44782</v>
      </c>
      <c r="B412" s="17">
        <v>67</v>
      </c>
      <c r="C412" s="17">
        <v>32</v>
      </c>
      <c r="D412" s="17">
        <v>-5</v>
      </c>
      <c r="E412" s="17">
        <v>-1</v>
      </c>
      <c r="F412" s="17">
        <v>-115</v>
      </c>
      <c r="G412" s="17">
        <v>-35</v>
      </c>
      <c r="H412" s="18">
        <f t="shared" si="27"/>
        <v>67.676767676767682</v>
      </c>
      <c r="I412" s="18">
        <v>1.63</v>
      </c>
      <c r="J412" s="18">
        <v>0.65</v>
      </c>
      <c r="S412" s="19">
        <v>6</v>
      </c>
      <c r="T412" s="20">
        <v>4</v>
      </c>
      <c r="AE412" s="23">
        <f t="shared" si="25"/>
        <v>72.333333333333329</v>
      </c>
      <c r="AF412" s="24">
        <f t="shared" si="26"/>
        <v>-7.3732718894009161E-2</v>
      </c>
    </row>
    <row r="413" spans="1:32" x14ac:dyDescent="0.4">
      <c r="A413" s="16">
        <v>44783</v>
      </c>
      <c r="B413" s="17">
        <v>73</v>
      </c>
      <c r="C413" s="17">
        <v>30</v>
      </c>
      <c r="D413" s="17">
        <v>-4</v>
      </c>
      <c r="E413" s="17">
        <v>-2</v>
      </c>
      <c r="F413" s="17">
        <v>-100</v>
      </c>
      <c r="G413" s="17">
        <v>-36</v>
      </c>
      <c r="H413" s="18">
        <f t="shared" si="27"/>
        <v>70.873786407766985</v>
      </c>
      <c r="I413" s="18">
        <v>2.81</v>
      </c>
      <c r="J413" s="18">
        <v>0.46</v>
      </c>
      <c r="S413" s="19">
        <v>7</v>
      </c>
      <c r="T413" s="20">
        <v>5</v>
      </c>
      <c r="AE413" s="23">
        <f t="shared" ref="AE413:AE434" si="28">(B410+B411+B412)/3</f>
        <v>74</v>
      </c>
      <c r="AF413" s="24">
        <f t="shared" ref="AF413:AF434" si="29">(B413-AE413)/AE413</f>
        <v>-1.3513513513513514E-2</v>
      </c>
    </row>
    <row r="414" spans="1:32" x14ac:dyDescent="0.4">
      <c r="A414" s="16">
        <v>44784</v>
      </c>
      <c r="B414" s="17">
        <v>68</v>
      </c>
      <c r="C414" s="17">
        <v>29</v>
      </c>
      <c r="D414" s="17">
        <v>-1</v>
      </c>
      <c r="E414" s="17">
        <v>0</v>
      </c>
      <c r="F414" s="17">
        <v>-118</v>
      </c>
      <c r="G414" s="17">
        <v>-57</v>
      </c>
      <c r="H414" s="18">
        <f t="shared" si="27"/>
        <v>70.103092783505147</v>
      </c>
      <c r="I414" s="18">
        <v>1.68</v>
      </c>
      <c r="J414" s="18">
        <v>-0.63</v>
      </c>
      <c r="S414" s="19">
        <v>8</v>
      </c>
      <c r="T414" s="20">
        <v>5</v>
      </c>
      <c r="AE414" s="23">
        <f t="shared" si="28"/>
        <v>79</v>
      </c>
      <c r="AF414" s="24">
        <f t="shared" si="29"/>
        <v>-0.13924050632911392</v>
      </c>
    </row>
    <row r="415" spans="1:32" x14ac:dyDescent="0.4">
      <c r="A415" s="16">
        <v>44785</v>
      </c>
      <c r="B415" s="17">
        <v>53</v>
      </c>
      <c r="C415" s="17">
        <v>33</v>
      </c>
      <c r="D415" s="17">
        <v>-11</v>
      </c>
      <c r="E415" s="17">
        <v>-7</v>
      </c>
      <c r="F415" s="17">
        <v>-265</v>
      </c>
      <c r="G415" s="17">
        <v>-184</v>
      </c>
      <c r="H415" s="18">
        <f t="shared" si="27"/>
        <v>61.627906976744185</v>
      </c>
      <c r="I415" s="18">
        <v>-0.22</v>
      </c>
      <c r="J415" s="18">
        <v>-2.04</v>
      </c>
      <c r="S415" s="19">
        <v>4</v>
      </c>
      <c r="T415" s="20">
        <v>3</v>
      </c>
      <c r="AE415" s="23">
        <f t="shared" si="28"/>
        <v>69.333333333333329</v>
      </c>
      <c r="AF415" s="24">
        <f t="shared" si="29"/>
        <v>-0.23557692307692302</v>
      </c>
    </row>
    <row r="416" spans="1:32" x14ac:dyDescent="0.4">
      <c r="A416" s="16">
        <v>44788</v>
      </c>
      <c r="B416" s="17">
        <v>72</v>
      </c>
      <c r="C416" s="17">
        <v>26</v>
      </c>
      <c r="D416" s="17">
        <v>-15</v>
      </c>
      <c r="E416" s="17">
        <v>-7</v>
      </c>
      <c r="F416" s="17">
        <v>-110</v>
      </c>
      <c r="G416" s="17">
        <v>-45</v>
      </c>
      <c r="H416" s="18">
        <f t="shared" si="27"/>
        <v>73.469387755102048</v>
      </c>
      <c r="I416" s="18">
        <v>1.1200000000000001</v>
      </c>
      <c r="J416" s="18">
        <v>-1.1399999999999999</v>
      </c>
      <c r="S416" s="19">
        <v>4</v>
      </c>
      <c r="T416" s="20">
        <v>3</v>
      </c>
      <c r="AE416" s="23">
        <f t="shared" si="28"/>
        <v>64.666666666666671</v>
      </c>
      <c r="AF416" s="24">
        <f t="shared" si="29"/>
        <v>0.11340206185567002</v>
      </c>
    </row>
    <row r="417" spans="1:32" x14ac:dyDescent="0.4">
      <c r="A417" s="16">
        <v>44789</v>
      </c>
      <c r="B417" s="17">
        <v>75</v>
      </c>
      <c r="C417" s="17">
        <v>41</v>
      </c>
      <c r="D417" s="17">
        <v>-3</v>
      </c>
      <c r="E417" s="17">
        <v>0</v>
      </c>
      <c r="F417" s="17">
        <v>-74</v>
      </c>
      <c r="G417" s="17">
        <v>-21</v>
      </c>
      <c r="H417" s="18">
        <f t="shared" si="27"/>
        <v>64.65517241379311</v>
      </c>
      <c r="I417" s="18">
        <v>2.72</v>
      </c>
      <c r="J417" s="18">
        <v>1.06</v>
      </c>
      <c r="S417" s="19">
        <v>5</v>
      </c>
      <c r="T417" s="20">
        <v>4</v>
      </c>
      <c r="AE417" s="23">
        <f t="shared" si="28"/>
        <v>64.333333333333329</v>
      </c>
      <c r="AF417" s="24">
        <f t="shared" si="29"/>
        <v>0.16580310880829024</v>
      </c>
    </row>
    <row r="418" spans="1:32" x14ac:dyDescent="0.4">
      <c r="A418" s="16">
        <v>44790</v>
      </c>
      <c r="B418" s="17">
        <v>64</v>
      </c>
      <c r="C418" s="17">
        <v>31</v>
      </c>
      <c r="D418" s="17">
        <v>-7</v>
      </c>
      <c r="E418" s="17">
        <v>-3</v>
      </c>
      <c r="F418" s="17">
        <v>-137</v>
      </c>
      <c r="G418" s="17">
        <v>-63</v>
      </c>
      <c r="H418" s="18">
        <f t="shared" si="27"/>
        <v>67.368421052631575</v>
      </c>
      <c r="I418" s="18">
        <v>1.52</v>
      </c>
      <c r="J418" s="18">
        <v>-0.97</v>
      </c>
      <c r="S418" s="19">
        <v>6</v>
      </c>
      <c r="T418" s="20">
        <v>4</v>
      </c>
      <c r="AE418" s="23">
        <f t="shared" si="28"/>
        <v>66.666666666666671</v>
      </c>
      <c r="AF418" s="24">
        <f t="shared" si="29"/>
        <v>-4.000000000000007E-2</v>
      </c>
    </row>
    <row r="419" spans="1:32" x14ac:dyDescent="0.4">
      <c r="A419" s="16">
        <v>44791</v>
      </c>
      <c r="B419" s="17">
        <v>78</v>
      </c>
      <c r="C419" s="17">
        <v>29</v>
      </c>
      <c r="D419" s="17">
        <v>-6</v>
      </c>
      <c r="E419" s="17">
        <v>-3</v>
      </c>
      <c r="F419" s="17">
        <v>-123</v>
      </c>
      <c r="G419" s="17">
        <v>-42</v>
      </c>
      <c r="H419" s="18">
        <f t="shared" si="27"/>
        <v>72.89719626168224</v>
      </c>
      <c r="I419" s="18">
        <v>2.15</v>
      </c>
      <c r="J419" s="18">
        <v>0.31</v>
      </c>
      <c r="S419" s="19">
        <v>5</v>
      </c>
      <c r="T419" s="20">
        <v>3</v>
      </c>
      <c r="AE419" s="23">
        <f t="shared" si="28"/>
        <v>70.333333333333329</v>
      </c>
      <c r="AF419" s="24">
        <f t="shared" si="29"/>
        <v>0.10900473933649296</v>
      </c>
    </row>
    <row r="420" spans="1:32" x14ac:dyDescent="0.4">
      <c r="A420" s="16">
        <v>44792</v>
      </c>
      <c r="B420" s="17">
        <v>48</v>
      </c>
      <c r="C420" s="17">
        <v>21</v>
      </c>
      <c r="D420" s="17">
        <v>-22</v>
      </c>
      <c r="E420" s="17">
        <v>-10</v>
      </c>
      <c r="F420" s="17">
        <v>-528</v>
      </c>
      <c r="G420" s="17">
        <v>-400</v>
      </c>
      <c r="H420" s="18">
        <f t="shared" si="27"/>
        <v>69.565217391304344</v>
      </c>
      <c r="I420" s="18">
        <v>-0.6</v>
      </c>
      <c r="J420" s="18">
        <v>-1.89</v>
      </c>
      <c r="S420" s="19">
        <v>4</v>
      </c>
      <c r="T420" s="20">
        <v>3</v>
      </c>
      <c r="AE420" s="23">
        <f t="shared" si="28"/>
        <v>72.333333333333329</v>
      </c>
      <c r="AF420" s="24">
        <f t="shared" si="29"/>
        <v>-0.33640552995391698</v>
      </c>
    </row>
    <row r="421" spans="1:32" x14ac:dyDescent="0.4">
      <c r="A421" s="16">
        <v>44795</v>
      </c>
      <c r="B421" s="17">
        <v>62</v>
      </c>
      <c r="C421" s="17">
        <v>30</v>
      </c>
      <c r="D421" s="17">
        <v>-13</v>
      </c>
      <c r="E421" s="17">
        <v>-6</v>
      </c>
      <c r="F421" s="17">
        <v>-257</v>
      </c>
      <c r="G421" s="17">
        <v>-97</v>
      </c>
      <c r="H421" s="18">
        <f t="shared" si="27"/>
        <v>67.391304347826093</v>
      </c>
      <c r="I421" s="18">
        <v>1.93</v>
      </c>
      <c r="J421" s="18">
        <v>-0.49</v>
      </c>
      <c r="S421" s="19">
        <v>5</v>
      </c>
      <c r="T421" s="20">
        <v>4</v>
      </c>
      <c r="AE421" s="23">
        <f t="shared" si="28"/>
        <v>63.333333333333336</v>
      </c>
      <c r="AF421" s="24">
        <f t="shared" si="29"/>
        <v>-2.1052631578947406E-2</v>
      </c>
    </row>
    <row r="422" spans="1:32" x14ac:dyDescent="0.4">
      <c r="A422" s="16">
        <v>44796</v>
      </c>
      <c r="B422" s="17">
        <v>65</v>
      </c>
      <c r="C422" s="17">
        <v>32</v>
      </c>
      <c r="D422" s="17">
        <v>-8</v>
      </c>
      <c r="E422" s="17">
        <v>-3</v>
      </c>
      <c r="F422" s="17">
        <v>-118</v>
      </c>
      <c r="G422" s="17">
        <v>-45</v>
      </c>
      <c r="H422" s="18">
        <f t="shared" si="27"/>
        <v>67.010309278350505</v>
      </c>
      <c r="I422" s="18">
        <v>1.92</v>
      </c>
      <c r="J422" s="18">
        <v>-0.32</v>
      </c>
      <c r="S422" s="19">
        <v>5</v>
      </c>
      <c r="T422" s="20">
        <v>4</v>
      </c>
      <c r="AE422" s="23">
        <f t="shared" si="28"/>
        <v>62.666666666666664</v>
      </c>
      <c r="AF422" s="24">
        <f t="shared" si="29"/>
        <v>3.7234042553191529E-2</v>
      </c>
    </row>
    <row r="423" spans="1:32" x14ac:dyDescent="0.4">
      <c r="A423" s="16">
        <v>44797</v>
      </c>
      <c r="B423" s="17">
        <v>30</v>
      </c>
      <c r="C423" s="17">
        <v>28</v>
      </c>
      <c r="D423" s="17">
        <v>-54</v>
      </c>
      <c r="E423" s="17">
        <v>-27</v>
      </c>
      <c r="F423" s="17">
        <v>-1301</v>
      </c>
      <c r="G423" s="17">
        <v>-984</v>
      </c>
      <c r="H423" s="18">
        <f t="shared" si="27"/>
        <v>51.724137931034484</v>
      </c>
      <c r="I423" s="18">
        <v>0.55000000000000004</v>
      </c>
      <c r="J423" s="18">
        <v>-1.98</v>
      </c>
      <c r="S423" s="19">
        <v>5</v>
      </c>
      <c r="T423" s="20">
        <v>4</v>
      </c>
      <c r="AE423" s="23">
        <f t="shared" si="28"/>
        <v>58.333333333333336</v>
      </c>
      <c r="AF423" s="24">
        <f t="shared" si="29"/>
        <v>-0.48571428571428571</v>
      </c>
    </row>
    <row r="424" spans="1:32" x14ac:dyDescent="0.4">
      <c r="A424" s="16">
        <v>44798</v>
      </c>
      <c r="B424" s="17">
        <v>55</v>
      </c>
      <c r="C424" s="17">
        <v>24</v>
      </c>
      <c r="D424" s="17">
        <v>-34</v>
      </c>
      <c r="E424" s="17">
        <v>-21</v>
      </c>
      <c r="F424" s="17">
        <v>-635</v>
      </c>
      <c r="G424" s="17">
        <v>-250</v>
      </c>
      <c r="H424" s="18">
        <f t="shared" si="27"/>
        <v>69.620253164556971</v>
      </c>
      <c r="I424" s="18">
        <v>1.31</v>
      </c>
      <c r="J424" s="18">
        <v>-1.64</v>
      </c>
      <c r="S424" s="19">
        <v>5</v>
      </c>
      <c r="T424" s="20">
        <v>4</v>
      </c>
      <c r="AE424" s="23">
        <f t="shared" si="28"/>
        <v>52.333333333333336</v>
      </c>
      <c r="AF424" s="24">
        <f t="shared" si="29"/>
        <v>5.0955414012738807E-2</v>
      </c>
    </row>
    <row r="425" spans="1:32" x14ac:dyDescent="0.4">
      <c r="A425" s="16">
        <v>44799</v>
      </c>
      <c r="B425" s="17">
        <v>37</v>
      </c>
      <c r="C425" s="17">
        <v>41</v>
      </c>
      <c r="D425" s="17">
        <v>-35</v>
      </c>
      <c r="E425" s="17">
        <v>-23</v>
      </c>
      <c r="F425" s="17">
        <v>-339</v>
      </c>
      <c r="G425" s="17">
        <v>-227</v>
      </c>
      <c r="H425" s="18">
        <f t="shared" si="27"/>
        <v>47.435897435897431</v>
      </c>
      <c r="I425" s="18">
        <v>-1.05</v>
      </c>
      <c r="J425" s="18">
        <v>-3.34</v>
      </c>
      <c r="S425" s="19">
        <v>6</v>
      </c>
      <c r="T425" s="20">
        <v>3</v>
      </c>
      <c r="AE425" s="23">
        <f t="shared" si="28"/>
        <v>50</v>
      </c>
      <c r="AF425" s="24">
        <f t="shared" si="29"/>
        <v>-0.26</v>
      </c>
    </row>
    <row r="426" spans="1:32" x14ac:dyDescent="0.4">
      <c r="A426" s="16">
        <v>44802</v>
      </c>
      <c r="B426" s="17">
        <v>58</v>
      </c>
      <c r="C426" s="17">
        <v>23</v>
      </c>
      <c r="D426" s="17">
        <v>-20</v>
      </c>
      <c r="E426" s="17">
        <v>-5</v>
      </c>
      <c r="F426" s="17">
        <v>-287</v>
      </c>
      <c r="G426" s="17">
        <v>-80</v>
      </c>
      <c r="H426" s="18">
        <f t="shared" si="27"/>
        <v>71.604938271604937</v>
      </c>
      <c r="I426" s="18">
        <v>3.07</v>
      </c>
      <c r="J426" s="18">
        <v>-1.04</v>
      </c>
      <c r="S426" s="19">
        <v>4</v>
      </c>
      <c r="T426" s="20">
        <v>3</v>
      </c>
      <c r="AE426" s="23">
        <f t="shared" si="28"/>
        <v>40.666666666666664</v>
      </c>
      <c r="AF426" s="24">
        <f t="shared" si="29"/>
        <v>0.4262295081967214</v>
      </c>
    </row>
    <row r="427" spans="1:32" x14ac:dyDescent="0.4">
      <c r="A427" s="16">
        <v>44803</v>
      </c>
      <c r="B427" s="17">
        <v>34</v>
      </c>
      <c r="C427" s="17">
        <v>21</v>
      </c>
      <c r="D427" s="17">
        <v>-23</v>
      </c>
      <c r="E427" s="17">
        <v>-12</v>
      </c>
      <c r="F427" s="17">
        <v>-305</v>
      </c>
      <c r="G427" s="17">
        <v>-180</v>
      </c>
      <c r="H427" s="18">
        <f t="shared" si="27"/>
        <v>61.818181818181813</v>
      </c>
      <c r="I427" s="18">
        <v>-0.9</v>
      </c>
      <c r="J427" s="18">
        <v>-2.75</v>
      </c>
      <c r="S427" s="19">
        <v>4</v>
      </c>
      <c r="T427" s="20">
        <v>3</v>
      </c>
      <c r="AE427" s="23">
        <f t="shared" si="28"/>
        <v>50</v>
      </c>
      <c r="AF427" s="24">
        <f t="shared" si="29"/>
        <v>-0.32</v>
      </c>
    </row>
    <row r="428" spans="1:32" x14ac:dyDescent="0.4">
      <c r="A428" s="16">
        <v>44804</v>
      </c>
      <c r="B428" s="17">
        <v>30</v>
      </c>
      <c r="C428" s="17">
        <v>23</v>
      </c>
      <c r="D428" s="17">
        <v>-73</v>
      </c>
      <c r="E428" s="17">
        <v>-50</v>
      </c>
      <c r="F428" s="17">
        <v>-1212</v>
      </c>
      <c r="G428" s="17">
        <v>-873</v>
      </c>
      <c r="H428" s="18">
        <f t="shared" si="27"/>
        <v>56.60377358490566</v>
      </c>
      <c r="I428" s="18">
        <v>0.59</v>
      </c>
      <c r="J428" s="18">
        <v>-2.4500000000000002</v>
      </c>
      <c r="S428" s="19">
        <v>3</v>
      </c>
      <c r="T428" s="20">
        <v>2</v>
      </c>
      <c r="AE428" s="23">
        <f t="shared" si="28"/>
        <v>43</v>
      </c>
      <c r="AF428" s="24">
        <f t="shared" si="29"/>
        <v>-0.30232558139534882</v>
      </c>
    </row>
    <row r="429" spans="1:32" x14ac:dyDescent="0.4">
      <c r="A429" s="16">
        <v>44805</v>
      </c>
      <c r="B429" s="17">
        <v>41</v>
      </c>
      <c r="C429" s="17">
        <v>23</v>
      </c>
      <c r="D429" s="17">
        <v>-30</v>
      </c>
      <c r="E429" s="17">
        <v>-13</v>
      </c>
      <c r="F429" s="17">
        <v>-233</v>
      </c>
      <c r="G429" s="17">
        <v>-116</v>
      </c>
      <c r="H429" s="18">
        <f t="shared" si="27"/>
        <v>64.0625</v>
      </c>
      <c r="I429" s="18">
        <v>-0.22</v>
      </c>
      <c r="J429" s="18">
        <v>-3.55</v>
      </c>
      <c r="S429" s="19">
        <v>4</v>
      </c>
      <c r="T429" s="20">
        <v>3</v>
      </c>
      <c r="AE429" s="23">
        <f t="shared" si="28"/>
        <v>40.666666666666664</v>
      </c>
      <c r="AF429" s="24">
        <f t="shared" si="29"/>
        <v>8.1967213114754692E-3</v>
      </c>
    </row>
    <row r="430" spans="1:32" x14ac:dyDescent="0.4">
      <c r="A430" s="16">
        <v>44806</v>
      </c>
      <c r="B430" s="17">
        <v>61</v>
      </c>
      <c r="C430" s="17">
        <v>38</v>
      </c>
      <c r="D430" s="17">
        <v>-11</v>
      </c>
      <c r="E430" s="17">
        <v>-4</v>
      </c>
      <c r="F430" s="17">
        <v>-116</v>
      </c>
      <c r="G430" s="17">
        <v>-45</v>
      </c>
      <c r="H430" s="18">
        <f t="shared" si="27"/>
        <v>61.616161616161612</v>
      </c>
      <c r="I430" s="18">
        <v>2.0499999999999998</v>
      </c>
      <c r="J430" s="18">
        <v>-0.55000000000000004</v>
      </c>
      <c r="S430" s="19">
        <v>5</v>
      </c>
      <c r="T430" s="20">
        <v>3</v>
      </c>
      <c r="AE430" s="23">
        <f t="shared" si="28"/>
        <v>35</v>
      </c>
      <c r="AF430" s="24">
        <f t="shared" si="29"/>
        <v>0.74285714285714288</v>
      </c>
    </row>
    <row r="431" spans="1:32" x14ac:dyDescent="0.4">
      <c r="A431" s="16">
        <v>44809</v>
      </c>
      <c r="B431" s="17">
        <v>53</v>
      </c>
      <c r="C431" s="17">
        <v>28</v>
      </c>
      <c r="D431" s="17">
        <v>-13</v>
      </c>
      <c r="E431" s="17">
        <v>-7</v>
      </c>
      <c r="F431" s="17">
        <v>-186</v>
      </c>
      <c r="G431" s="17">
        <v>-70</v>
      </c>
      <c r="H431" s="18">
        <f t="shared" si="27"/>
        <v>65.432098765432102</v>
      </c>
      <c r="I431" s="18">
        <v>0.47</v>
      </c>
      <c r="J431" s="18">
        <v>-1.29</v>
      </c>
      <c r="S431" s="19">
        <v>3</v>
      </c>
      <c r="T431" s="20">
        <v>2</v>
      </c>
      <c r="AE431" s="23">
        <f t="shared" si="28"/>
        <v>44</v>
      </c>
      <c r="AF431" s="24">
        <f t="shared" si="29"/>
        <v>0.20454545454545456</v>
      </c>
    </row>
    <row r="432" spans="1:32" x14ac:dyDescent="0.4">
      <c r="A432" s="16">
        <v>44810</v>
      </c>
      <c r="B432" s="17">
        <v>61</v>
      </c>
      <c r="C432" s="17">
        <v>27</v>
      </c>
      <c r="D432" s="17">
        <v>-1</v>
      </c>
      <c r="E432" s="17">
        <v>0</v>
      </c>
      <c r="F432" s="17">
        <v>-68</v>
      </c>
      <c r="G432" s="17">
        <v>-11</v>
      </c>
      <c r="H432" s="18">
        <f t="shared" si="27"/>
        <v>69.318181818181827</v>
      </c>
      <c r="I432" s="18">
        <v>3.84</v>
      </c>
      <c r="J432" s="18">
        <v>1.66</v>
      </c>
      <c r="S432" s="19">
        <v>4</v>
      </c>
      <c r="T432" s="20">
        <v>3</v>
      </c>
      <c r="AE432" s="23">
        <f t="shared" si="28"/>
        <v>51.666666666666664</v>
      </c>
      <c r="AF432" s="24">
        <f t="shared" si="29"/>
        <v>0.18064516129032263</v>
      </c>
    </row>
    <row r="433" spans="1:32" x14ac:dyDescent="0.4">
      <c r="A433" s="16">
        <v>44811</v>
      </c>
      <c r="B433" s="17">
        <v>58</v>
      </c>
      <c r="C433" s="17">
        <v>26</v>
      </c>
      <c r="D433" s="17">
        <v>-10</v>
      </c>
      <c r="E433" s="17">
        <v>-7</v>
      </c>
      <c r="F433" s="17">
        <v>-77</v>
      </c>
      <c r="G433" s="17">
        <v>-33</v>
      </c>
      <c r="H433" s="18">
        <f t="shared" si="27"/>
        <v>69.047619047619051</v>
      </c>
      <c r="I433" s="18">
        <v>1.85</v>
      </c>
      <c r="J433" s="18">
        <v>0.15</v>
      </c>
      <c r="S433" s="19">
        <v>5</v>
      </c>
      <c r="T433" s="20">
        <v>4</v>
      </c>
      <c r="AE433" s="23">
        <f t="shared" si="28"/>
        <v>58.333333333333336</v>
      </c>
      <c r="AF433" s="24">
        <f t="shared" si="29"/>
        <v>-5.714285714285755E-3</v>
      </c>
    </row>
    <row r="434" spans="1:32" x14ac:dyDescent="0.4">
      <c r="A434" s="16">
        <v>44812</v>
      </c>
      <c r="B434" s="17">
        <v>41</v>
      </c>
      <c r="C434" s="17">
        <v>18</v>
      </c>
      <c r="D434" s="17">
        <v>-12</v>
      </c>
      <c r="E434" s="17">
        <v>-6</v>
      </c>
      <c r="F434" s="17">
        <v>-194</v>
      </c>
      <c r="G434" s="17">
        <v>-113</v>
      </c>
      <c r="H434" s="18">
        <f t="shared" si="27"/>
        <v>69.491525423728817</v>
      </c>
      <c r="I434" s="18">
        <v>0.05</v>
      </c>
      <c r="J434" s="18">
        <v>-2.0499999999999998</v>
      </c>
      <c r="S434" s="19">
        <v>6</v>
      </c>
      <c r="T434" s="20">
        <v>5</v>
      </c>
      <c r="AE434" s="23">
        <f t="shared" si="28"/>
        <v>57.333333333333336</v>
      </c>
      <c r="AF434" s="24">
        <f t="shared" si="29"/>
        <v>-0.28488372093023256</v>
      </c>
    </row>
    <row r="435" spans="1:32" x14ac:dyDescent="0.4">
      <c r="A435" s="16">
        <v>44813</v>
      </c>
      <c r="B435" s="17">
        <v>34</v>
      </c>
      <c r="C435" s="17">
        <v>21</v>
      </c>
      <c r="D435" s="17">
        <v>-16</v>
      </c>
      <c r="E435" s="17">
        <v>-7</v>
      </c>
      <c r="F435" s="17">
        <v>-227</v>
      </c>
      <c r="G435" s="17">
        <v>-101</v>
      </c>
      <c r="H435" s="18">
        <f>B435/(B435+C435)*100</f>
        <v>61.818181818181813</v>
      </c>
      <c r="I435" s="18">
        <v>-0.98</v>
      </c>
      <c r="J435" s="18">
        <v>-3.02</v>
      </c>
      <c r="S435" s="19">
        <v>7</v>
      </c>
      <c r="T435" s="20">
        <v>3</v>
      </c>
      <c r="AE435" s="23">
        <f>(B432+B433+B434)/3</f>
        <v>53.333333333333336</v>
      </c>
      <c r="AF435" s="24">
        <f>(B435-AE435)/AE435</f>
        <v>-0.36250000000000004</v>
      </c>
    </row>
    <row r="436" spans="1:32" x14ac:dyDescent="0.4">
      <c r="A436" s="16">
        <v>44817</v>
      </c>
      <c r="B436" s="17">
        <v>45</v>
      </c>
      <c r="C436" s="17">
        <v>16</v>
      </c>
      <c r="D436" s="17">
        <v>-13</v>
      </c>
      <c r="E436" s="17">
        <v>-10</v>
      </c>
      <c r="F436" s="17">
        <v>-134</v>
      </c>
      <c r="G436" s="17">
        <v>-52</v>
      </c>
      <c r="H436" s="18">
        <f>B436/(B436+C436)*100</f>
        <v>73.770491803278688</v>
      </c>
      <c r="I436" s="18">
        <v>1.07</v>
      </c>
      <c r="J436" s="18">
        <v>-2.1</v>
      </c>
      <c r="S436" s="19">
        <v>3</v>
      </c>
      <c r="T436" s="20">
        <v>2</v>
      </c>
      <c r="AE436" s="23">
        <f>(B433+B434+B435)/3</f>
        <v>44.333333333333336</v>
      </c>
      <c r="AF436" s="24">
        <f>(B436-AE436)/AE436</f>
        <v>1.5037593984962351E-2</v>
      </c>
    </row>
    <row r="437" spans="1:32" x14ac:dyDescent="0.4">
      <c r="A437" s="16">
        <v>44818</v>
      </c>
      <c r="B437" s="17">
        <v>33</v>
      </c>
      <c r="C437" s="17">
        <v>13</v>
      </c>
      <c r="D437" s="17">
        <v>-12</v>
      </c>
      <c r="E437" s="17">
        <v>-6</v>
      </c>
      <c r="F437" s="17">
        <v>-185</v>
      </c>
      <c r="G437" s="17">
        <v>-56</v>
      </c>
      <c r="H437" s="18">
        <f>B437/(B437+C437)*100</f>
        <v>71.739130434782609</v>
      </c>
      <c r="I437" s="18">
        <v>2.4</v>
      </c>
      <c r="J437" s="18">
        <v>0.37</v>
      </c>
      <c r="S437" s="19">
        <v>4</v>
      </c>
      <c r="T437" s="20">
        <v>3</v>
      </c>
      <c r="AE437" s="23">
        <f>(B434+B435+B436)/3</f>
        <v>40</v>
      </c>
      <c r="AF437" s="24">
        <f>(B437-AE437)/AE437</f>
        <v>-0.17499999999999999</v>
      </c>
    </row>
    <row r="438" spans="1:32" x14ac:dyDescent="0.4">
      <c r="A438" s="16">
        <v>44819</v>
      </c>
      <c r="B438" s="17">
        <v>26</v>
      </c>
      <c r="C438" s="17">
        <v>12</v>
      </c>
      <c r="D438" s="17">
        <v>-59</v>
      </c>
      <c r="E438" s="17">
        <v>-39</v>
      </c>
      <c r="F438" s="17">
        <v>-1323</v>
      </c>
      <c r="G438" s="17">
        <v>-615</v>
      </c>
      <c r="H438" s="18">
        <f>B438/(B438+C438)*100</f>
        <v>68.421052631578945</v>
      </c>
      <c r="I438" s="18">
        <v>-1.04</v>
      </c>
      <c r="J438" s="18">
        <v>-2.71</v>
      </c>
      <c r="S438" s="19">
        <v>3</v>
      </c>
      <c r="T438" s="20">
        <v>2</v>
      </c>
      <c r="AE438" s="23">
        <f>(B435+B436+B437)/3</f>
        <v>37.333333333333336</v>
      </c>
      <c r="AF438" s="24">
        <f>(B438-AE438)/AE438</f>
        <v>-0.3035714285714286</v>
      </c>
    </row>
    <row r="439" spans="1:32" x14ac:dyDescent="0.4">
      <c r="A439" s="16">
        <v>44820</v>
      </c>
      <c r="B439" s="17">
        <v>24</v>
      </c>
      <c r="C439" s="17">
        <v>9</v>
      </c>
      <c r="D439" s="17">
        <v>-37</v>
      </c>
      <c r="E439" s="17">
        <v>-20</v>
      </c>
      <c r="F439" s="17">
        <v>-549</v>
      </c>
      <c r="G439" s="17">
        <v>-436</v>
      </c>
      <c r="H439" s="18">
        <f>B439/(B439+C439)*100</f>
        <v>72.727272727272734</v>
      </c>
      <c r="I439" s="18">
        <v>-1.84</v>
      </c>
      <c r="J439" s="18">
        <v>-5.76</v>
      </c>
      <c r="S439" s="19">
        <v>3</v>
      </c>
      <c r="T439" s="20">
        <v>2</v>
      </c>
      <c r="AE439" s="23">
        <f>(B436+B437+B438)/3</f>
        <v>34.666666666666664</v>
      </c>
      <c r="AF439" s="24">
        <f>(B439-AE439)/AE439</f>
        <v>-0.30769230769230765</v>
      </c>
    </row>
    <row r="440" spans="1:32" x14ac:dyDescent="0.4">
      <c r="A440" s="16">
        <v>44823</v>
      </c>
      <c r="B440" s="17">
        <v>33</v>
      </c>
      <c r="C440" s="17">
        <v>18</v>
      </c>
      <c r="D440" s="17">
        <v>-41</v>
      </c>
      <c r="E440" s="17">
        <v>-18</v>
      </c>
      <c r="F440" s="17">
        <v>-485</v>
      </c>
      <c r="G440" s="17">
        <v>-235</v>
      </c>
      <c r="H440" s="18">
        <f t="shared" ref="H440:H460" si="30">B440/(B440+C440)*100</f>
        <v>64.705882352941174</v>
      </c>
      <c r="I440" s="18">
        <v>3.03</v>
      </c>
      <c r="J440" s="18">
        <v>-0.41</v>
      </c>
      <c r="S440" s="19">
        <v>4</v>
      </c>
      <c r="T440" s="20">
        <v>3</v>
      </c>
      <c r="AE440" s="23">
        <f t="shared" ref="AE440:AE455" si="31">(B437+B438+B439)/3</f>
        <v>27.666666666666668</v>
      </c>
      <c r="AF440" s="24">
        <f t="shared" ref="AF440:AF455" si="32">(B440-AE440)/AE440</f>
        <v>0.19277108433734935</v>
      </c>
    </row>
    <row r="441" spans="1:32" x14ac:dyDescent="0.4">
      <c r="A441" s="16">
        <v>44824</v>
      </c>
      <c r="B441" s="17">
        <v>58</v>
      </c>
      <c r="C441" s="17">
        <v>35</v>
      </c>
      <c r="D441" s="17">
        <v>-3</v>
      </c>
      <c r="E441" s="17">
        <v>-1</v>
      </c>
      <c r="F441" s="17">
        <v>-53</v>
      </c>
      <c r="G441" s="17">
        <v>-18</v>
      </c>
      <c r="H441" s="18">
        <f t="shared" si="30"/>
        <v>62.365591397849464</v>
      </c>
      <c r="I441" s="18">
        <v>3.5</v>
      </c>
      <c r="J441" s="18">
        <v>0.91</v>
      </c>
      <c r="S441" s="19">
        <v>5</v>
      </c>
      <c r="T441" s="20">
        <v>4</v>
      </c>
      <c r="AE441" s="23">
        <f t="shared" si="31"/>
        <v>27.666666666666668</v>
      </c>
      <c r="AF441" s="24">
        <f t="shared" si="32"/>
        <v>1.0963855421686746</v>
      </c>
    </row>
    <row r="442" spans="1:32" x14ac:dyDescent="0.4">
      <c r="A442" s="16">
        <v>44825</v>
      </c>
      <c r="B442" s="17">
        <v>42</v>
      </c>
      <c r="C442" s="17">
        <v>11</v>
      </c>
      <c r="D442" s="17">
        <v>-10</v>
      </c>
      <c r="E442" s="17">
        <v>-2</v>
      </c>
      <c r="F442" s="17">
        <v>-194</v>
      </c>
      <c r="G442" s="17">
        <v>-64</v>
      </c>
      <c r="H442" s="18">
        <f t="shared" si="30"/>
        <v>79.245283018867923</v>
      </c>
      <c r="I442" s="18">
        <v>1.83</v>
      </c>
      <c r="J442" s="18">
        <v>-1.29</v>
      </c>
      <c r="S442" s="19">
        <v>4</v>
      </c>
      <c r="T442" s="20">
        <v>3</v>
      </c>
      <c r="AE442" s="23">
        <f t="shared" si="31"/>
        <v>38.333333333333336</v>
      </c>
      <c r="AF442" s="24">
        <f t="shared" si="32"/>
        <v>9.5652173913043412E-2</v>
      </c>
    </row>
    <row r="443" spans="1:32" x14ac:dyDescent="0.4">
      <c r="A443" s="16">
        <v>44826</v>
      </c>
      <c r="B443" s="17">
        <v>37</v>
      </c>
      <c r="C443" s="17">
        <v>23</v>
      </c>
      <c r="D443" s="17">
        <v>-5</v>
      </c>
      <c r="E443" s="17">
        <v>-3</v>
      </c>
      <c r="F443" s="17">
        <v>-105</v>
      </c>
      <c r="G443" s="17">
        <v>-43</v>
      </c>
      <c r="H443" s="18">
        <f t="shared" si="30"/>
        <v>61.666666666666671</v>
      </c>
      <c r="I443" s="18">
        <v>0.56999999999999995</v>
      </c>
      <c r="J443" s="18">
        <v>-1.33</v>
      </c>
      <c r="S443" s="19">
        <v>5</v>
      </c>
      <c r="T443" s="20">
        <v>4</v>
      </c>
      <c r="AE443" s="23">
        <f t="shared" si="31"/>
        <v>44.333333333333336</v>
      </c>
      <c r="AF443" s="24">
        <f t="shared" si="32"/>
        <v>-0.16541353383458651</v>
      </c>
    </row>
    <row r="444" spans="1:32" x14ac:dyDescent="0.4">
      <c r="A444" s="16">
        <v>44827</v>
      </c>
      <c r="B444" s="17">
        <v>21</v>
      </c>
      <c r="C444" s="17">
        <v>20</v>
      </c>
      <c r="D444" s="17">
        <v>-19</v>
      </c>
      <c r="E444" s="17">
        <v>-11</v>
      </c>
      <c r="F444" s="17">
        <v>-612</v>
      </c>
      <c r="G444" s="17">
        <v>-339</v>
      </c>
      <c r="H444" s="18">
        <f t="shared" si="30"/>
        <v>51.219512195121951</v>
      </c>
      <c r="I444" s="18">
        <v>-1.55</v>
      </c>
      <c r="J444" s="18">
        <v>-3.18</v>
      </c>
      <c r="S444" s="19">
        <v>5</v>
      </c>
      <c r="T444" s="20">
        <v>3</v>
      </c>
      <c r="AE444" s="23">
        <f t="shared" si="31"/>
        <v>45.666666666666664</v>
      </c>
      <c r="AF444" s="24">
        <f t="shared" si="32"/>
        <v>-0.54014598540145986</v>
      </c>
    </row>
    <row r="445" spans="1:32" x14ac:dyDescent="0.4">
      <c r="A445" s="16">
        <v>44830</v>
      </c>
      <c r="B445" s="17">
        <v>36</v>
      </c>
      <c r="C445" s="17">
        <v>15</v>
      </c>
      <c r="D445" s="17">
        <v>-20</v>
      </c>
      <c r="E445" s="17">
        <v>-9</v>
      </c>
      <c r="F445" s="17">
        <v>-533</v>
      </c>
      <c r="G445" s="17">
        <v>-314</v>
      </c>
      <c r="H445" s="18">
        <f t="shared" si="30"/>
        <v>70.588235294117652</v>
      </c>
      <c r="I445" s="18">
        <v>-0.01</v>
      </c>
      <c r="J445" s="18">
        <v>-3.31</v>
      </c>
      <c r="K445" s="18">
        <v>2</v>
      </c>
      <c r="L445" s="18">
        <v>1</v>
      </c>
      <c r="M445" s="18">
        <v>33.33</v>
      </c>
      <c r="N445" s="18">
        <v>0.08</v>
      </c>
      <c r="S445" s="19">
        <v>2</v>
      </c>
      <c r="T445" s="20">
        <v>1</v>
      </c>
      <c r="AE445" s="23">
        <f t="shared" si="31"/>
        <v>33.333333333333336</v>
      </c>
      <c r="AF445" s="24">
        <f t="shared" si="32"/>
        <v>7.9999999999999918E-2</v>
      </c>
    </row>
    <row r="446" spans="1:32" x14ac:dyDescent="0.4">
      <c r="A446" s="16">
        <v>44831</v>
      </c>
      <c r="B446" s="17">
        <v>68</v>
      </c>
      <c r="C446" s="17">
        <v>19</v>
      </c>
      <c r="D446" s="17">
        <v>-7</v>
      </c>
      <c r="E446" s="17">
        <v>-1</v>
      </c>
      <c r="F446" s="17">
        <v>-132</v>
      </c>
      <c r="G446" s="17">
        <v>-24</v>
      </c>
      <c r="H446" s="18">
        <f t="shared" si="30"/>
        <v>78.160919540229884</v>
      </c>
      <c r="I446" s="18">
        <v>2.71</v>
      </c>
      <c r="J446" s="18">
        <v>1.1200000000000001</v>
      </c>
      <c r="S446" s="19">
        <v>3</v>
      </c>
      <c r="T446" s="20">
        <v>2</v>
      </c>
      <c r="AE446" s="23">
        <f t="shared" si="31"/>
        <v>31.333333333333332</v>
      </c>
      <c r="AF446" s="24">
        <f t="shared" si="32"/>
        <v>1.1702127659574471</v>
      </c>
    </row>
    <row r="447" spans="1:32" x14ac:dyDescent="0.4">
      <c r="A447" s="16">
        <v>44832</v>
      </c>
      <c r="B447" s="17">
        <v>33</v>
      </c>
      <c r="C447" s="17">
        <v>9</v>
      </c>
      <c r="D447" s="17">
        <v>-29</v>
      </c>
      <c r="E447" s="17">
        <v>-19</v>
      </c>
      <c r="F447" s="17">
        <v>-756</v>
      </c>
      <c r="G447" s="17">
        <v>-595</v>
      </c>
      <c r="H447" s="18">
        <f t="shared" si="30"/>
        <v>78.571428571428569</v>
      </c>
      <c r="I447" s="18">
        <v>0.8</v>
      </c>
      <c r="J447" s="18">
        <v>-0.25</v>
      </c>
      <c r="S447" s="19">
        <v>4</v>
      </c>
      <c r="T447" s="20">
        <v>3</v>
      </c>
      <c r="AE447" s="23">
        <f t="shared" si="31"/>
        <v>41.666666666666664</v>
      </c>
      <c r="AF447" s="24">
        <f t="shared" si="32"/>
        <v>-0.20799999999999996</v>
      </c>
    </row>
    <row r="448" spans="1:32" x14ac:dyDescent="0.4">
      <c r="A448" s="16">
        <v>44833</v>
      </c>
      <c r="B448" s="17">
        <v>21</v>
      </c>
      <c r="C448" s="17">
        <v>21</v>
      </c>
      <c r="D448" s="17">
        <v>-34</v>
      </c>
      <c r="E448" s="17">
        <v>-20</v>
      </c>
      <c r="F448" s="17">
        <v>-241</v>
      </c>
      <c r="G448" s="17">
        <v>-147</v>
      </c>
      <c r="H448" s="18">
        <f t="shared" si="30"/>
        <v>50</v>
      </c>
      <c r="I448" s="18">
        <v>-0.36</v>
      </c>
      <c r="J448" s="18">
        <v>-1.71</v>
      </c>
      <c r="S448" s="19">
        <v>5</v>
      </c>
      <c r="T448" s="20">
        <v>4</v>
      </c>
      <c r="AE448" s="23">
        <f t="shared" si="31"/>
        <v>45.666666666666664</v>
      </c>
      <c r="AF448" s="24">
        <f t="shared" si="32"/>
        <v>-0.54014598540145986</v>
      </c>
    </row>
    <row r="449" spans="1:32" x14ac:dyDescent="0.4">
      <c r="A449" s="16">
        <v>44834</v>
      </c>
      <c r="B449" s="17">
        <v>33</v>
      </c>
      <c r="C449" s="17">
        <v>5</v>
      </c>
      <c r="D449" s="17">
        <v>-33</v>
      </c>
      <c r="E449" s="17">
        <v>-22</v>
      </c>
      <c r="F449" s="17">
        <v>-475</v>
      </c>
      <c r="G449" s="17">
        <v>-344</v>
      </c>
      <c r="H449" s="18">
        <f t="shared" si="30"/>
        <v>86.842105263157904</v>
      </c>
      <c r="I449" s="18">
        <v>0.93</v>
      </c>
      <c r="J449" s="18">
        <v>-3.72</v>
      </c>
      <c r="S449" s="19">
        <v>5</v>
      </c>
      <c r="T449" s="20">
        <v>4</v>
      </c>
      <c r="AE449" s="23">
        <f t="shared" si="31"/>
        <v>40.666666666666664</v>
      </c>
      <c r="AF449" s="24">
        <f t="shared" si="32"/>
        <v>-0.18852459016393439</v>
      </c>
    </row>
    <row r="450" spans="1:32" x14ac:dyDescent="0.4">
      <c r="A450" s="104">
        <v>44844</v>
      </c>
      <c r="B450" s="17">
        <v>29</v>
      </c>
      <c r="C450" s="17">
        <v>23</v>
      </c>
      <c r="D450" s="17">
        <v>-57</v>
      </c>
      <c r="E450" s="17">
        <v>-40</v>
      </c>
      <c r="F450" s="17">
        <v>-654</v>
      </c>
      <c r="G450" s="17">
        <v>-422</v>
      </c>
      <c r="H450" s="18">
        <f t="shared" si="30"/>
        <v>55.769230769230774</v>
      </c>
      <c r="I450" s="18">
        <v>1.55</v>
      </c>
      <c r="J450" s="18">
        <v>-0.14000000000000001</v>
      </c>
      <c r="S450" s="19">
        <v>4</v>
      </c>
      <c r="T450" s="20">
        <v>2</v>
      </c>
      <c r="AE450" s="23">
        <f t="shared" si="31"/>
        <v>29</v>
      </c>
      <c r="AF450" s="24">
        <f t="shared" si="32"/>
        <v>0</v>
      </c>
    </row>
    <row r="451" spans="1:32" x14ac:dyDescent="0.4">
      <c r="A451" s="104">
        <v>44845</v>
      </c>
      <c r="B451" s="17">
        <v>48</v>
      </c>
      <c r="C451" s="17">
        <v>23</v>
      </c>
      <c r="D451" s="17">
        <v>-18</v>
      </c>
      <c r="E451" s="17">
        <v>-6</v>
      </c>
      <c r="F451" s="17">
        <v>-260</v>
      </c>
      <c r="G451" s="17">
        <v>-76</v>
      </c>
      <c r="H451" s="18">
        <f t="shared" si="30"/>
        <v>67.605633802816897</v>
      </c>
      <c r="I451" s="18">
        <v>2</v>
      </c>
      <c r="J451" s="18">
        <v>-0.14000000000000001</v>
      </c>
      <c r="S451" s="19">
        <v>2</v>
      </c>
      <c r="T451" s="20">
        <v>1</v>
      </c>
      <c r="AE451" s="23">
        <f t="shared" si="31"/>
        <v>27.666666666666668</v>
      </c>
      <c r="AF451" s="24">
        <f t="shared" si="32"/>
        <v>0.7349397590361445</v>
      </c>
    </row>
    <row r="452" spans="1:32" x14ac:dyDescent="0.4">
      <c r="A452" s="104">
        <v>44846</v>
      </c>
      <c r="B452" s="17">
        <v>77</v>
      </c>
      <c r="C452" s="17">
        <v>25</v>
      </c>
      <c r="D452" s="17">
        <v>-11</v>
      </c>
      <c r="E452" s="17">
        <v>0</v>
      </c>
      <c r="F452" s="17">
        <v>-257</v>
      </c>
      <c r="G452" s="17">
        <v>-26</v>
      </c>
      <c r="H452" s="18">
        <f t="shared" si="30"/>
        <v>75.490196078431367</v>
      </c>
      <c r="I452" s="18">
        <v>6.27</v>
      </c>
      <c r="J452" s="18">
        <v>3.44</v>
      </c>
      <c r="S452" s="19">
        <v>3</v>
      </c>
      <c r="T452" s="20">
        <v>2</v>
      </c>
      <c r="AE452" s="23">
        <f t="shared" si="31"/>
        <v>36.666666666666664</v>
      </c>
      <c r="AF452" s="24">
        <f t="shared" si="32"/>
        <v>1.1000000000000001</v>
      </c>
    </row>
    <row r="453" spans="1:32" x14ac:dyDescent="0.4">
      <c r="A453" s="104">
        <v>44847</v>
      </c>
      <c r="B453" s="17">
        <v>68</v>
      </c>
      <c r="C453" s="17">
        <v>24</v>
      </c>
      <c r="D453" s="17">
        <v>-7</v>
      </c>
      <c r="E453" s="17">
        <v>-3</v>
      </c>
      <c r="F453" s="17">
        <v>-90</v>
      </c>
      <c r="G453" s="17">
        <v>-46</v>
      </c>
      <c r="H453" s="18">
        <f t="shared" si="30"/>
        <v>73.91304347826086</v>
      </c>
      <c r="I453" s="18">
        <v>3.8</v>
      </c>
      <c r="J453" s="18">
        <v>2.39</v>
      </c>
      <c r="S453" s="19">
        <v>4</v>
      </c>
      <c r="T453" s="20">
        <v>3</v>
      </c>
      <c r="AE453" s="23">
        <f t="shared" si="31"/>
        <v>51.333333333333336</v>
      </c>
      <c r="AF453" s="24">
        <f t="shared" si="32"/>
        <v>0.32467532467532462</v>
      </c>
    </row>
    <row r="454" spans="1:32" x14ac:dyDescent="0.4">
      <c r="A454" s="104">
        <v>44848</v>
      </c>
      <c r="B454" s="17">
        <v>95</v>
      </c>
      <c r="C454" s="17">
        <v>28</v>
      </c>
      <c r="D454" s="17">
        <v>-6</v>
      </c>
      <c r="E454" s="17">
        <v>0</v>
      </c>
      <c r="F454" s="17">
        <v>-71</v>
      </c>
      <c r="G454" s="17">
        <v>-22</v>
      </c>
      <c r="H454" s="18">
        <f t="shared" si="30"/>
        <v>77.235772357723576</v>
      </c>
      <c r="I454" s="18">
        <v>3.32</v>
      </c>
      <c r="J454" s="18">
        <v>1.3660000000000001</v>
      </c>
      <c r="S454" s="19">
        <v>5</v>
      </c>
      <c r="T454" s="20">
        <v>4</v>
      </c>
      <c r="AE454" s="23">
        <f t="shared" si="31"/>
        <v>64.333333333333329</v>
      </c>
      <c r="AF454" s="24">
        <f t="shared" si="32"/>
        <v>0.47668393782383428</v>
      </c>
    </row>
    <row r="455" spans="1:32" x14ac:dyDescent="0.4">
      <c r="A455" s="104">
        <v>44851</v>
      </c>
      <c r="B455" s="17">
        <v>85</v>
      </c>
      <c r="C455" s="17">
        <v>21</v>
      </c>
      <c r="D455" s="17">
        <v>-8</v>
      </c>
      <c r="E455" s="17">
        <v>0</v>
      </c>
      <c r="F455" s="17">
        <v>-173</v>
      </c>
      <c r="G455" s="17">
        <v>-36</v>
      </c>
      <c r="H455" s="18">
        <f t="shared" si="30"/>
        <v>80.188679245283026</v>
      </c>
      <c r="I455" s="18">
        <v>3.95</v>
      </c>
      <c r="J455" s="18">
        <v>2.62</v>
      </c>
      <c r="S455" s="19">
        <v>6</v>
      </c>
      <c r="T455" s="20">
        <v>5</v>
      </c>
      <c r="AE455" s="23">
        <f t="shared" si="31"/>
        <v>80</v>
      </c>
      <c r="AF455" s="24">
        <f t="shared" si="32"/>
        <v>6.25E-2</v>
      </c>
    </row>
    <row r="456" spans="1:32" x14ac:dyDescent="0.4">
      <c r="A456" s="104">
        <v>44852</v>
      </c>
      <c r="B456" s="17">
        <v>66</v>
      </c>
      <c r="C456" s="17">
        <v>43</v>
      </c>
      <c r="D456" s="17">
        <v>-6</v>
      </c>
      <c r="E456" s="17">
        <v>-2</v>
      </c>
      <c r="F456" s="17">
        <v>-95</v>
      </c>
      <c r="G456" s="17">
        <v>-29</v>
      </c>
      <c r="H456" s="18">
        <f t="shared" si="30"/>
        <v>60.550458715596335</v>
      </c>
      <c r="I456" s="18">
        <v>1.81</v>
      </c>
      <c r="J456" s="18">
        <v>0.53</v>
      </c>
      <c r="S456" s="19">
        <v>7</v>
      </c>
      <c r="T456" s="20">
        <v>6</v>
      </c>
      <c r="AE456" s="23">
        <f t="shared" ref="AE456:AE471" si="33">(B453+B454+B455)/3</f>
        <v>82.666666666666671</v>
      </c>
      <c r="AF456" s="24">
        <f t="shared" ref="AF456:AF472" si="34">(B456-AE456)/AE456</f>
        <v>-0.20161290322580649</v>
      </c>
    </row>
    <row r="457" spans="1:32" x14ac:dyDescent="0.4">
      <c r="A457" s="104">
        <v>44853</v>
      </c>
      <c r="B457" s="17">
        <v>49</v>
      </c>
      <c r="C457" s="17">
        <v>31</v>
      </c>
      <c r="D457" s="17">
        <v>-7</v>
      </c>
      <c r="E457" s="17">
        <v>-4</v>
      </c>
      <c r="F457" s="17">
        <v>-184</v>
      </c>
      <c r="G457" s="17">
        <v>-90</v>
      </c>
      <c r="H457" s="18">
        <f t="shared" si="30"/>
        <v>61.250000000000007</v>
      </c>
      <c r="I457" s="18">
        <v>0.91</v>
      </c>
      <c r="J457" s="18">
        <v>-0.83</v>
      </c>
      <c r="S457" s="19">
        <v>8</v>
      </c>
      <c r="T457" s="20">
        <v>7</v>
      </c>
      <c r="AE457" s="23">
        <f t="shared" si="33"/>
        <v>82</v>
      </c>
      <c r="AF457" s="24">
        <f t="shared" si="34"/>
        <v>-0.40243902439024393</v>
      </c>
    </row>
    <row r="458" spans="1:32" x14ac:dyDescent="0.4">
      <c r="A458" s="104">
        <v>44854</v>
      </c>
      <c r="B458" s="17">
        <v>49</v>
      </c>
      <c r="C458" s="17">
        <v>39</v>
      </c>
      <c r="D458" s="17">
        <v>-21</v>
      </c>
      <c r="E458" s="17">
        <v>-12</v>
      </c>
      <c r="F458" s="17">
        <v>-302</v>
      </c>
      <c r="G458" s="17">
        <v>-128</v>
      </c>
      <c r="H458" s="18">
        <f t="shared" si="30"/>
        <v>55.68181818181818</v>
      </c>
      <c r="I458" s="18">
        <v>0.17</v>
      </c>
      <c r="J458" s="18">
        <v>-2.96</v>
      </c>
      <c r="S458" s="19">
        <v>7</v>
      </c>
      <c r="T458" s="20">
        <v>4</v>
      </c>
      <c r="AE458" s="23">
        <f t="shared" si="33"/>
        <v>66.666666666666671</v>
      </c>
      <c r="AF458" s="24">
        <f t="shared" si="34"/>
        <v>-0.26500000000000007</v>
      </c>
    </row>
    <row r="459" spans="1:32" x14ac:dyDescent="0.4">
      <c r="A459" s="104">
        <v>44855</v>
      </c>
      <c r="B459" s="17">
        <v>51</v>
      </c>
      <c r="C459" s="17">
        <v>29</v>
      </c>
      <c r="D459" s="17">
        <v>-24</v>
      </c>
      <c r="E459" s="17">
        <v>-15</v>
      </c>
      <c r="F459" s="17">
        <v>-202</v>
      </c>
      <c r="G459" s="17">
        <v>-87</v>
      </c>
      <c r="H459" s="18">
        <f t="shared" si="30"/>
        <v>63.749999999999993</v>
      </c>
      <c r="I459" s="18">
        <v>0.16</v>
      </c>
      <c r="J459" s="18">
        <v>-2.64</v>
      </c>
      <c r="S459" s="19">
        <v>5</v>
      </c>
      <c r="T459" s="20">
        <v>4</v>
      </c>
      <c r="AE459" s="23">
        <f t="shared" si="33"/>
        <v>54.666666666666664</v>
      </c>
      <c r="AF459" s="24">
        <f t="shared" si="34"/>
        <v>-6.707317073170728E-2</v>
      </c>
    </row>
    <row r="460" spans="1:32" x14ac:dyDescent="0.4">
      <c r="A460" s="104">
        <v>44858</v>
      </c>
      <c r="B460" s="17">
        <v>35</v>
      </c>
      <c r="C460" s="17">
        <v>35</v>
      </c>
      <c r="D460" s="17">
        <v>-35</v>
      </c>
      <c r="E460" s="17">
        <v>-24</v>
      </c>
      <c r="F460" s="17">
        <v>-279</v>
      </c>
      <c r="G460" s="17">
        <v>-187</v>
      </c>
      <c r="H460" s="18">
        <f t="shared" si="30"/>
        <v>50</v>
      </c>
      <c r="I460" s="18">
        <v>-0.54</v>
      </c>
      <c r="J460" s="18">
        <v>-2.94</v>
      </c>
      <c r="S460" s="19">
        <v>6</v>
      </c>
      <c r="T460" s="20">
        <v>3</v>
      </c>
      <c r="AE460" s="23">
        <f t="shared" si="33"/>
        <v>49.666666666666664</v>
      </c>
      <c r="AF460" s="24">
        <f t="shared" si="34"/>
        <v>-0.29530201342281875</v>
      </c>
    </row>
    <row r="461" spans="1:32" x14ac:dyDescent="0.4">
      <c r="A461" s="104">
        <v>44859</v>
      </c>
      <c r="B461" s="17">
        <v>52</v>
      </c>
      <c r="C461" s="17">
        <v>23</v>
      </c>
      <c r="D461" s="17">
        <v>-48</v>
      </c>
      <c r="E461" s="17">
        <v>-19</v>
      </c>
      <c r="F461" s="17">
        <v>-515</v>
      </c>
      <c r="G461" s="17">
        <v>-190</v>
      </c>
      <c r="H461" s="18">
        <f t="shared" ref="H461:H558" si="35">B461/(B461+C461)*100</f>
        <v>69.333333333333343</v>
      </c>
      <c r="I461" s="18">
        <v>2.46</v>
      </c>
      <c r="J461" s="18">
        <v>-2.35</v>
      </c>
      <c r="S461" s="19">
        <v>3</v>
      </c>
      <c r="T461" s="20">
        <v>2</v>
      </c>
      <c r="AE461" s="23">
        <f t="shared" si="33"/>
        <v>45</v>
      </c>
      <c r="AF461" s="24">
        <f t="shared" si="34"/>
        <v>0.15555555555555556</v>
      </c>
    </row>
    <row r="462" spans="1:32" x14ac:dyDescent="0.4">
      <c r="A462" s="104">
        <v>44860</v>
      </c>
      <c r="B462" s="17">
        <v>78</v>
      </c>
      <c r="C462" s="17">
        <v>49</v>
      </c>
      <c r="D462" s="17">
        <v>-18</v>
      </c>
      <c r="E462" s="17">
        <v>-8</v>
      </c>
      <c r="F462" s="17">
        <v>-153</v>
      </c>
      <c r="G462" s="17">
        <v>-48</v>
      </c>
      <c r="H462" s="18">
        <f t="shared" si="35"/>
        <v>61.417322834645674</v>
      </c>
      <c r="I462" s="18">
        <v>0.78</v>
      </c>
      <c r="J462" s="18">
        <v>-0.68</v>
      </c>
      <c r="S462" s="19">
        <v>4</v>
      </c>
      <c r="T462" s="20">
        <v>3</v>
      </c>
      <c r="AE462" s="23">
        <f t="shared" si="33"/>
        <v>46</v>
      </c>
      <c r="AF462" s="24">
        <f t="shared" si="34"/>
        <v>0.69565217391304346</v>
      </c>
    </row>
    <row r="463" spans="1:32" x14ac:dyDescent="0.4">
      <c r="A463" s="104">
        <v>44861</v>
      </c>
      <c r="B463" s="17">
        <v>46</v>
      </c>
      <c r="C463" s="17">
        <v>26</v>
      </c>
      <c r="D463" s="17">
        <v>-20</v>
      </c>
      <c r="E463" s="17">
        <v>-13</v>
      </c>
      <c r="F463" s="17">
        <v>-337</v>
      </c>
      <c r="G463" s="17">
        <v>-223</v>
      </c>
      <c r="H463" s="18">
        <f t="shared" si="35"/>
        <v>63.888888888888886</v>
      </c>
      <c r="I463" s="18">
        <v>2.13</v>
      </c>
      <c r="J463" s="18">
        <v>-0.13</v>
      </c>
      <c r="S463" s="19">
        <v>4</v>
      </c>
      <c r="T463" s="20">
        <v>3</v>
      </c>
      <c r="AE463" s="23">
        <f t="shared" si="33"/>
        <v>55</v>
      </c>
      <c r="AF463" s="24">
        <f t="shared" si="34"/>
        <v>-0.16363636363636364</v>
      </c>
    </row>
    <row r="464" spans="1:32" x14ac:dyDescent="0.4">
      <c r="A464" s="104">
        <v>44862</v>
      </c>
      <c r="B464" s="17">
        <v>24</v>
      </c>
      <c r="C464" s="17">
        <v>19</v>
      </c>
      <c r="D464" s="17">
        <v>-103</v>
      </c>
      <c r="E464" s="17">
        <v>-59</v>
      </c>
      <c r="F464" s="17">
        <v>-1813</v>
      </c>
      <c r="G464" s="17">
        <v>-1304</v>
      </c>
      <c r="H464" s="18">
        <f t="shared" si="35"/>
        <v>55.813953488372093</v>
      </c>
      <c r="I464" s="18">
        <v>-1.58</v>
      </c>
      <c r="J464" s="18">
        <v>-6.13</v>
      </c>
      <c r="S464" s="19">
        <v>3</v>
      </c>
      <c r="T464" s="20">
        <v>2</v>
      </c>
      <c r="AE464" s="23">
        <f t="shared" si="33"/>
        <v>58.666666666666664</v>
      </c>
      <c r="AF464" s="24">
        <f t="shared" si="34"/>
        <v>-0.59090909090909094</v>
      </c>
    </row>
    <row r="465" spans="1:32" x14ac:dyDescent="0.4">
      <c r="A465" s="104">
        <v>44865</v>
      </c>
      <c r="B465" s="17">
        <v>74</v>
      </c>
      <c r="C465" s="17">
        <v>29</v>
      </c>
      <c r="D465" s="17">
        <v>-56</v>
      </c>
      <c r="E465" s="17">
        <v>-30</v>
      </c>
      <c r="F465" s="17">
        <v>-400</v>
      </c>
      <c r="G465" s="17">
        <v>-174</v>
      </c>
      <c r="H465" s="18">
        <f t="shared" si="35"/>
        <v>71.844660194174764</v>
      </c>
      <c r="I465" s="18">
        <v>3.35</v>
      </c>
      <c r="J465" s="18">
        <v>-0.85</v>
      </c>
      <c r="S465" s="19">
        <v>4</v>
      </c>
      <c r="T465" s="20">
        <v>3</v>
      </c>
      <c r="AE465" s="23">
        <f t="shared" si="33"/>
        <v>49.333333333333336</v>
      </c>
      <c r="AF465" s="24">
        <f t="shared" si="34"/>
        <v>0.49999999999999994</v>
      </c>
    </row>
    <row r="466" spans="1:32" x14ac:dyDescent="0.4">
      <c r="A466" s="104">
        <v>44866</v>
      </c>
      <c r="B466" s="17">
        <v>81</v>
      </c>
      <c r="C466" s="17">
        <v>41</v>
      </c>
      <c r="D466" s="17">
        <v>-15</v>
      </c>
      <c r="E466" s="17">
        <v>-2</v>
      </c>
      <c r="F466" s="17">
        <v>-157</v>
      </c>
      <c r="G466" s="17">
        <v>-28</v>
      </c>
      <c r="H466" s="18">
        <f t="shared" si="35"/>
        <v>66.393442622950815</v>
      </c>
      <c r="I466" s="18">
        <v>2.5099999999999998</v>
      </c>
      <c r="J466" s="18">
        <v>1.21</v>
      </c>
      <c r="S466" s="19">
        <v>5</v>
      </c>
      <c r="T466" s="20">
        <v>4</v>
      </c>
      <c r="AE466" s="23">
        <f t="shared" si="33"/>
        <v>48</v>
      </c>
      <c r="AF466" s="24">
        <f t="shared" si="34"/>
        <v>0.6875</v>
      </c>
    </row>
    <row r="467" spans="1:32" x14ac:dyDescent="0.4">
      <c r="A467" s="104">
        <v>44867</v>
      </c>
      <c r="B467" s="17">
        <v>82</v>
      </c>
      <c r="C467" s="17">
        <v>48</v>
      </c>
      <c r="D467" s="17">
        <v>-4</v>
      </c>
      <c r="E467" s="17">
        <v>-1</v>
      </c>
      <c r="F467" s="17">
        <v>-98</v>
      </c>
      <c r="G467" s="17">
        <v>-27</v>
      </c>
      <c r="H467" s="18">
        <f t="shared" si="35"/>
        <v>63.076923076923073</v>
      </c>
      <c r="I467" s="18">
        <v>3.72</v>
      </c>
      <c r="J467" s="18">
        <v>1.57</v>
      </c>
      <c r="S467" s="19">
        <v>6</v>
      </c>
      <c r="T467" s="20">
        <v>3</v>
      </c>
      <c r="AE467" s="23">
        <f t="shared" si="33"/>
        <v>59.666666666666664</v>
      </c>
      <c r="AF467" s="24">
        <f t="shared" si="34"/>
        <v>0.37430167597765368</v>
      </c>
    </row>
    <row r="468" spans="1:32" x14ac:dyDescent="0.4">
      <c r="A468" s="104">
        <v>44868</v>
      </c>
      <c r="B468" s="17">
        <v>41</v>
      </c>
      <c r="C468" s="17">
        <v>33</v>
      </c>
      <c r="D468" s="17">
        <v>-14</v>
      </c>
      <c r="E468" s="17">
        <v>-4</v>
      </c>
      <c r="F468" s="17">
        <v>-131</v>
      </c>
      <c r="G468" s="17">
        <v>-56</v>
      </c>
      <c r="H468" s="18">
        <f t="shared" si="35"/>
        <v>55.405405405405403</v>
      </c>
      <c r="I468" s="18">
        <v>0.38</v>
      </c>
      <c r="J468" s="18">
        <v>-2.04</v>
      </c>
      <c r="S468" s="19">
        <v>4</v>
      </c>
      <c r="T468" s="20">
        <v>3</v>
      </c>
      <c r="AE468" s="23">
        <f t="shared" si="33"/>
        <v>79</v>
      </c>
      <c r="AF468" s="24">
        <f t="shared" si="34"/>
        <v>-0.48101265822784811</v>
      </c>
    </row>
    <row r="469" spans="1:32" x14ac:dyDescent="0.4">
      <c r="A469" s="104">
        <v>44869</v>
      </c>
      <c r="B469" s="17">
        <v>71</v>
      </c>
      <c r="C469" s="17">
        <v>23</v>
      </c>
      <c r="D469" s="17">
        <v>-5</v>
      </c>
      <c r="E469" s="17">
        <v>-1</v>
      </c>
      <c r="F469" s="17">
        <v>-55</v>
      </c>
      <c r="G469" s="17">
        <v>-17</v>
      </c>
      <c r="H469" s="18">
        <f t="shared" si="35"/>
        <v>75.531914893617028</v>
      </c>
      <c r="I469" s="18">
        <v>3.65</v>
      </c>
      <c r="J469" s="18">
        <v>-0.05</v>
      </c>
      <c r="S469" s="19">
        <v>5</v>
      </c>
      <c r="T469" s="20">
        <v>3</v>
      </c>
      <c r="AE469" s="23">
        <f t="shared" si="33"/>
        <v>68</v>
      </c>
      <c r="AF469" s="24">
        <f t="shared" si="34"/>
        <v>4.4117647058823532E-2</v>
      </c>
    </row>
    <row r="470" spans="1:32" x14ac:dyDescent="0.4">
      <c r="A470" s="104">
        <v>44872</v>
      </c>
      <c r="B470" s="17">
        <v>62</v>
      </c>
      <c r="C470" s="17">
        <v>22</v>
      </c>
      <c r="D470" s="17">
        <v>-4</v>
      </c>
      <c r="E470" s="17">
        <v>0</v>
      </c>
      <c r="F470" s="17">
        <v>-132</v>
      </c>
      <c r="G470" s="17">
        <v>-52</v>
      </c>
      <c r="H470" s="18">
        <f t="shared" si="35"/>
        <v>73.80952380952381</v>
      </c>
      <c r="I470" s="18">
        <v>3.95</v>
      </c>
      <c r="J470" s="18">
        <v>1.65</v>
      </c>
      <c r="S470" s="19">
        <v>6</v>
      </c>
      <c r="T470" s="20">
        <v>4</v>
      </c>
      <c r="AE470" s="23">
        <f t="shared" si="33"/>
        <v>64.666666666666671</v>
      </c>
      <c r="AF470" s="24">
        <f t="shared" si="34"/>
        <v>-4.1237113402061924E-2</v>
      </c>
    </row>
    <row r="471" spans="1:32" x14ac:dyDescent="0.4">
      <c r="A471" s="104">
        <v>44873</v>
      </c>
      <c r="B471" s="17">
        <v>39</v>
      </c>
      <c r="C471" s="17">
        <v>25</v>
      </c>
      <c r="D471" s="17">
        <v>-3</v>
      </c>
      <c r="E471" s="17">
        <v>-1</v>
      </c>
      <c r="F471" s="17">
        <v>-149</v>
      </c>
      <c r="G471" s="17">
        <v>-31</v>
      </c>
      <c r="H471" s="18">
        <f t="shared" si="35"/>
        <v>60.9375</v>
      </c>
      <c r="I471" s="18">
        <v>2.2000000000000002</v>
      </c>
      <c r="J471" s="18">
        <v>0.91</v>
      </c>
      <c r="S471" s="19">
        <v>7</v>
      </c>
      <c r="T471" s="20">
        <v>5</v>
      </c>
      <c r="AE471" s="23">
        <f t="shared" si="33"/>
        <v>58</v>
      </c>
      <c r="AF471" s="24">
        <f t="shared" si="34"/>
        <v>-0.32758620689655171</v>
      </c>
    </row>
    <row r="472" spans="1:32" x14ac:dyDescent="0.4">
      <c r="A472" s="104">
        <v>44874</v>
      </c>
      <c r="B472" s="17">
        <v>44</v>
      </c>
      <c r="C472" s="17">
        <v>22</v>
      </c>
      <c r="D472" s="17">
        <v>-8</v>
      </c>
      <c r="E472" s="17">
        <v>-3</v>
      </c>
      <c r="F472" s="17">
        <v>-91</v>
      </c>
      <c r="G472" s="17">
        <v>-43</v>
      </c>
      <c r="H472" s="18">
        <f t="shared" si="35"/>
        <v>66.666666666666657</v>
      </c>
      <c r="I472" s="18">
        <v>2.25</v>
      </c>
      <c r="J472" s="18">
        <v>-0.81</v>
      </c>
      <c r="S472" s="19">
        <v>8</v>
      </c>
      <c r="T472" s="20">
        <v>5</v>
      </c>
      <c r="AE472" s="23">
        <f t="shared" ref="AE472:AE477" si="36">(B469+B470+B471)/3</f>
        <v>57.333333333333336</v>
      </c>
      <c r="AF472" s="24">
        <f t="shared" si="34"/>
        <v>-0.23255813953488375</v>
      </c>
    </row>
    <row r="473" spans="1:32" x14ac:dyDescent="0.4">
      <c r="A473" s="104">
        <v>44875</v>
      </c>
      <c r="B473" s="17">
        <v>59</v>
      </c>
      <c r="C473" s="17">
        <v>20</v>
      </c>
      <c r="D473" s="17">
        <v>-5</v>
      </c>
      <c r="E473" s="17">
        <v>-2</v>
      </c>
      <c r="F473" s="17">
        <v>-226</v>
      </c>
      <c r="G473" s="17">
        <v>-127</v>
      </c>
      <c r="H473" s="18">
        <f t="shared" si="35"/>
        <v>74.683544303797461</v>
      </c>
      <c r="I473" s="18">
        <v>3.93</v>
      </c>
      <c r="J473" s="18">
        <v>0.03</v>
      </c>
      <c r="S473" s="19">
        <v>9</v>
      </c>
      <c r="T473" s="20">
        <v>6</v>
      </c>
      <c r="AE473" s="23">
        <f t="shared" si="36"/>
        <v>48.333333333333336</v>
      </c>
      <c r="AF473" s="24">
        <f t="shared" ref="AF473:AF504" si="37">(B473-AE473)/AE473</f>
        <v>0.22068965517241373</v>
      </c>
    </row>
    <row r="474" spans="1:32" x14ac:dyDescent="0.4">
      <c r="A474" s="104">
        <v>44876</v>
      </c>
      <c r="B474" s="17">
        <v>60</v>
      </c>
      <c r="C474" s="17">
        <v>72</v>
      </c>
      <c r="D474" s="17">
        <v>-8</v>
      </c>
      <c r="E474" s="17">
        <v>-4</v>
      </c>
      <c r="F474" s="17">
        <v>-170</v>
      </c>
      <c r="G474" s="17">
        <v>-93</v>
      </c>
      <c r="H474" s="18">
        <f t="shared" si="35"/>
        <v>45.454545454545453</v>
      </c>
      <c r="I474" s="18">
        <v>0.81</v>
      </c>
      <c r="J474" s="18">
        <v>-0.87</v>
      </c>
      <c r="S474" s="19">
        <v>10</v>
      </c>
      <c r="T474" s="20">
        <v>4</v>
      </c>
      <c r="AE474" s="23">
        <f t="shared" si="36"/>
        <v>47.333333333333336</v>
      </c>
      <c r="AF474" s="24">
        <f t="shared" si="37"/>
        <v>0.26760563380281682</v>
      </c>
    </row>
    <row r="475" spans="1:32" x14ac:dyDescent="0.4">
      <c r="A475" s="104">
        <v>44879</v>
      </c>
      <c r="B475" s="17">
        <v>64</v>
      </c>
      <c r="C475" s="17">
        <v>39</v>
      </c>
      <c r="D475" s="17">
        <v>-16</v>
      </c>
      <c r="E475" s="17">
        <v>-5</v>
      </c>
      <c r="F475" s="17">
        <v>-336</v>
      </c>
      <c r="G475" s="17">
        <v>-146</v>
      </c>
      <c r="H475" s="18">
        <f t="shared" si="35"/>
        <v>62.135922330097081</v>
      </c>
      <c r="I475" s="18">
        <v>4.13</v>
      </c>
      <c r="J475" s="18">
        <v>-0.57999999999999996</v>
      </c>
      <c r="S475" s="19">
        <v>4</v>
      </c>
      <c r="T475" s="20">
        <v>3</v>
      </c>
      <c r="AE475" s="23">
        <f t="shared" si="36"/>
        <v>54.333333333333336</v>
      </c>
      <c r="AF475" s="24">
        <f t="shared" si="37"/>
        <v>0.1779141104294478</v>
      </c>
    </row>
    <row r="476" spans="1:32" x14ac:dyDescent="0.4">
      <c r="A476" s="104">
        <v>44880</v>
      </c>
      <c r="B476" s="17">
        <v>83</v>
      </c>
      <c r="C476" s="17">
        <v>33</v>
      </c>
      <c r="D476" s="17">
        <v>-5</v>
      </c>
      <c r="E476" s="17">
        <v>-3</v>
      </c>
      <c r="F476" s="17">
        <v>-80</v>
      </c>
      <c r="G476" s="17">
        <v>-19</v>
      </c>
      <c r="H476" s="18">
        <f t="shared" si="35"/>
        <v>71.551724137931032</v>
      </c>
      <c r="I476" s="18">
        <v>3.83</v>
      </c>
      <c r="J476" s="18">
        <v>0.47</v>
      </c>
      <c r="S476" s="19">
        <v>5</v>
      </c>
      <c r="T476" s="20">
        <v>4</v>
      </c>
      <c r="AE476" s="23">
        <f t="shared" si="36"/>
        <v>61</v>
      </c>
      <c r="AF476" s="24">
        <f t="shared" si="37"/>
        <v>0.36065573770491804</v>
      </c>
    </row>
    <row r="477" spans="1:32" x14ac:dyDescent="0.4">
      <c r="A477" s="104">
        <v>44881</v>
      </c>
      <c r="B477" s="17">
        <v>39</v>
      </c>
      <c r="C477" s="17">
        <v>22</v>
      </c>
      <c r="D477" s="17">
        <v>-12</v>
      </c>
      <c r="E477" s="17">
        <v>-4</v>
      </c>
      <c r="F477" s="17">
        <v>-174</v>
      </c>
      <c r="G477" s="17">
        <v>-83</v>
      </c>
      <c r="H477" s="18">
        <f t="shared" si="35"/>
        <v>63.934426229508205</v>
      </c>
      <c r="I477" s="18">
        <v>-0.08</v>
      </c>
      <c r="J477" s="18">
        <v>-1.61</v>
      </c>
      <c r="S477" s="19">
        <v>5</v>
      </c>
      <c r="T477" s="20">
        <v>4</v>
      </c>
      <c r="AE477" s="23">
        <f t="shared" si="36"/>
        <v>69</v>
      </c>
      <c r="AF477" s="24">
        <f t="shared" si="37"/>
        <v>-0.43478260869565216</v>
      </c>
    </row>
    <row r="478" spans="1:32" x14ac:dyDescent="0.4">
      <c r="A478" s="104">
        <v>44882</v>
      </c>
      <c r="B478" s="17">
        <v>59</v>
      </c>
      <c r="C478" s="17">
        <v>16</v>
      </c>
      <c r="D478" s="17">
        <v>-4</v>
      </c>
      <c r="E478" s="17">
        <v>0</v>
      </c>
      <c r="F478" s="17">
        <v>-195</v>
      </c>
      <c r="G478" s="17">
        <v>-37</v>
      </c>
      <c r="H478" s="18">
        <f t="shared" si="35"/>
        <v>78.666666666666657</v>
      </c>
      <c r="I478" s="18">
        <v>2.4300000000000002</v>
      </c>
      <c r="J478" s="18">
        <v>-0.32</v>
      </c>
      <c r="S478" s="19">
        <v>6</v>
      </c>
      <c r="T478" s="20">
        <v>5</v>
      </c>
      <c r="AE478" s="23">
        <f t="shared" ref="AE478:AE509" si="38">(B475+B476+B477)/3</f>
        <v>62</v>
      </c>
      <c r="AF478" s="24">
        <f t="shared" si="37"/>
        <v>-4.8387096774193547E-2</v>
      </c>
    </row>
    <row r="479" spans="1:32" x14ac:dyDescent="0.4">
      <c r="A479" s="104">
        <v>44883</v>
      </c>
      <c r="B479" s="17">
        <v>45</v>
      </c>
      <c r="C479" s="17">
        <v>34</v>
      </c>
      <c r="D479" s="17">
        <v>-9</v>
      </c>
      <c r="E479" s="17">
        <v>-3</v>
      </c>
      <c r="F479" s="17">
        <v>-162</v>
      </c>
      <c r="G479" s="17">
        <v>-106</v>
      </c>
      <c r="H479" s="18">
        <f t="shared" si="35"/>
        <v>56.962025316455701</v>
      </c>
      <c r="I479" s="18">
        <v>0.28999999999999998</v>
      </c>
      <c r="J479" s="18">
        <v>-1.1100000000000001</v>
      </c>
      <c r="S479" s="19">
        <v>6</v>
      </c>
      <c r="T479" s="20">
        <v>3</v>
      </c>
      <c r="AE479" s="23">
        <f t="shared" si="38"/>
        <v>60.333333333333336</v>
      </c>
      <c r="AF479" s="24">
        <f t="shared" si="37"/>
        <v>-0.2541436464088398</v>
      </c>
    </row>
    <row r="480" spans="1:32" x14ac:dyDescent="0.4">
      <c r="A480" s="104">
        <v>44886</v>
      </c>
      <c r="B480" s="17">
        <v>52</v>
      </c>
      <c r="C480" s="17">
        <v>16</v>
      </c>
      <c r="D480" s="17">
        <v>-14</v>
      </c>
      <c r="E480" s="17">
        <v>-6</v>
      </c>
      <c r="F480" s="17">
        <v>-224</v>
      </c>
      <c r="G480" s="17">
        <v>-61</v>
      </c>
      <c r="H480" s="18">
        <f t="shared" si="35"/>
        <v>76.470588235294116</v>
      </c>
      <c r="I480" s="18">
        <v>2.16</v>
      </c>
      <c r="J480" s="18">
        <v>-1.82</v>
      </c>
      <c r="S480" s="19">
        <v>4</v>
      </c>
      <c r="T480" s="20">
        <v>3</v>
      </c>
      <c r="AE480" s="23">
        <f t="shared" si="38"/>
        <v>47.666666666666664</v>
      </c>
      <c r="AF480" s="24">
        <f t="shared" si="37"/>
        <v>9.0909090909090967E-2</v>
      </c>
    </row>
    <row r="481" spans="1:32" x14ac:dyDescent="0.4">
      <c r="A481" s="104">
        <v>44887</v>
      </c>
      <c r="B481" s="17">
        <v>41</v>
      </c>
      <c r="C481" s="17">
        <v>32</v>
      </c>
      <c r="D481" s="17">
        <v>-27</v>
      </c>
      <c r="E481" s="17">
        <v>-18</v>
      </c>
      <c r="F481" s="17">
        <v>-416</v>
      </c>
      <c r="G481" s="17">
        <v>-242</v>
      </c>
      <c r="H481" s="18">
        <f t="shared" si="35"/>
        <v>56.164383561643838</v>
      </c>
      <c r="I481" s="18">
        <v>-1.26</v>
      </c>
      <c r="J481" s="18">
        <v>-2.4700000000000002</v>
      </c>
      <c r="S481" s="19">
        <v>5</v>
      </c>
      <c r="T481" s="20">
        <v>4</v>
      </c>
      <c r="AE481" s="23">
        <f t="shared" si="38"/>
        <v>52</v>
      </c>
      <c r="AF481" s="24">
        <f t="shared" si="37"/>
        <v>-0.21153846153846154</v>
      </c>
    </row>
    <row r="482" spans="1:32" x14ac:dyDescent="0.4">
      <c r="A482" s="104">
        <v>44888</v>
      </c>
      <c r="B482" s="17">
        <v>44</v>
      </c>
      <c r="C482" s="17">
        <v>10</v>
      </c>
      <c r="D482" s="17">
        <v>-40</v>
      </c>
      <c r="E482" s="17">
        <v>-19</v>
      </c>
      <c r="F482" s="17">
        <v>-581</v>
      </c>
      <c r="G482" s="17">
        <v>-183</v>
      </c>
      <c r="H482" s="18">
        <f t="shared" si="35"/>
        <v>81.481481481481481</v>
      </c>
      <c r="I482" s="18">
        <v>1.05</v>
      </c>
      <c r="J482" s="18">
        <v>-1.47</v>
      </c>
      <c r="S482" s="19">
        <v>6</v>
      </c>
      <c r="T482" s="20">
        <v>3</v>
      </c>
      <c r="AE482" s="23">
        <f t="shared" si="38"/>
        <v>46</v>
      </c>
      <c r="AF482" s="24">
        <f t="shared" si="37"/>
        <v>-4.3478260869565216E-2</v>
      </c>
    </row>
    <row r="483" spans="1:32" x14ac:dyDescent="0.4">
      <c r="A483" s="104">
        <v>44889</v>
      </c>
      <c r="B483" s="17">
        <v>45</v>
      </c>
      <c r="C483" s="17">
        <v>31</v>
      </c>
      <c r="D483" s="17">
        <v>-8</v>
      </c>
      <c r="E483" s="17">
        <v>-4</v>
      </c>
      <c r="F483" s="17">
        <v>-110</v>
      </c>
      <c r="G483" s="17">
        <v>-37</v>
      </c>
      <c r="H483" s="18">
        <f t="shared" si="35"/>
        <v>59.210526315789465</v>
      </c>
      <c r="I483" s="18">
        <v>-0.64</v>
      </c>
      <c r="J483" s="18">
        <v>-1.67</v>
      </c>
      <c r="S483" s="19">
        <v>4</v>
      </c>
      <c r="T483" s="20">
        <v>3</v>
      </c>
      <c r="AE483" s="23">
        <f t="shared" si="38"/>
        <v>45.666666666666664</v>
      </c>
      <c r="AF483" s="24">
        <f t="shared" si="37"/>
        <v>-1.4598540145985351E-2</v>
      </c>
    </row>
    <row r="484" spans="1:32" x14ac:dyDescent="0.4">
      <c r="A484" s="104">
        <v>44890</v>
      </c>
      <c r="B484" s="17">
        <v>34</v>
      </c>
      <c r="C484" s="17">
        <v>11</v>
      </c>
      <c r="D484" s="17">
        <v>-19</v>
      </c>
      <c r="E484" s="17">
        <v>-11</v>
      </c>
      <c r="F484" s="17">
        <v>-284</v>
      </c>
      <c r="G484" s="17">
        <v>-153</v>
      </c>
      <c r="H484" s="18">
        <f t="shared" si="35"/>
        <v>75.555555555555557</v>
      </c>
      <c r="I484" s="18">
        <v>0.03</v>
      </c>
      <c r="J484" s="18">
        <v>-2.58</v>
      </c>
      <c r="S484" s="19">
        <v>4</v>
      </c>
      <c r="T484" s="20">
        <v>3</v>
      </c>
      <c r="AE484" s="23">
        <f t="shared" si="38"/>
        <v>43.333333333333336</v>
      </c>
      <c r="AF484" s="24">
        <f t="shared" si="37"/>
        <v>-0.21538461538461542</v>
      </c>
    </row>
    <row r="485" spans="1:32" x14ac:dyDescent="0.4">
      <c r="A485" s="104">
        <v>44893</v>
      </c>
      <c r="B485" s="17">
        <v>40</v>
      </c>
      <c r="C485" s="17">
        <v>19</v>
      </c>
      <c r="D485" s="17">
        <v>-18</v>
      </c>
      <c r="E485" s="17">
        <v>-5</v>
      </c>
      <c r="F485" s="17">
        <v>-236</v>
      </c>
      <c r="G485" s="17">
        <v>-50</v>
      </c>
      <c r="H485" s="18">
        <f t="shared" si="35"/>
        <v>67.796610169491515</v>
      </c>
      <c r="I485" s="18">
        <v>3.54</v>
      </c>
      <c r="J485" s="18">
        <v>1.2</v>
      </c>
      <c r="S485" s="19">
        <v>5</v>
      </c>
      <c r="T485" s="20">
        <v>3</v>
      </c>
      <c r="AE485" s="23">
        <f t="shared" si="38"/>
        <v>41</v>
      </c>
      <c r="AF485" s="24">
        <f t="shared" si="37"/>
        <v>-2.4390243902439025E-2</v>
      </c>
    </row>
    <row r="486" spans="1:32" x14ac:dyDescent="0.4">
      <c r="A486" s="104">
        <v>44894</v>
      </c>
      <c r="B486" s="17">
        <v>96</v>
      </c>
      <c r="C486" s="17">
        <v>32</v>
      </c>
      <c r="D486" s="17">
        <v>-2</v>
      </c>
      <c r="E486" s="17">
        <v>0</v>
      </c>
      <c r="F486" s="17">
        <v>-73</v>
      </c>
      <c r="G486" s="17">
        <v>-30</v>
      </c>
      <c r="H486" s="18">
        <f t="shared" si="35"/>
        <v>75</v>
      </c>
      <c r="I486" s="18">
        <v>5.62</v>
      </c>
      <c r="J486" s="18">
        <v>2.57</v>
      </c>
      <c r="S486" s="19">
        <v>6</v>
      </c>
      <c r="T486" s="20">
        <v>4</v>
      </c>
      <c r="AE486" s="23">
        <f t="shared" si="38"/>
        <v>39.666666666666664</v>
      </c>
      <c r="AF486" s="24">
        <f t="shared" si="37"/>
        <v>1.4201680672268908</v>
      </c>
    </row>
    <row r="487" spans="1:32" x14ac:dyDescent="0.4">
      <c r="A487" s="104">
        <v>44895</v>
      </c>
      <c r="B487" s="17">
        <v>50</v>
      </c>
      <c r="C487" s="17">
        <v>36</v>
      </c>
      <c r="D487" s="17">
        <v>-6</v>
      </c>
      <c r="E487" s="17">
        <v>-2</v>
      </c>
      <c r="F487" s="17">
        <v>-135</v>
      </c>
      <c r="G487" s="17">
        <v>-54</v>
      </c>
      <c r="H487" s="18">
        <f t="shared" si="35"/>
        <v>58.139534883720934</v>
      </c>
      <c r="I487" s="18">
        <v>1.1399999999999999</v>
      </c>
      <c r="J487" s="18">
        <v>-0.37</v>
      </c>
      <c r="S487" s="19">
        <v>7</v>
      </c>
      <c r="T487" s="20">
        <v>5</v>
      </c>
      <c r="AE487" s="23">
        <f t="shared" si="38"/>
        <v>56.666666666666664</v>
      </c>
      <c r="AF487" s="24">
        <f t="shared" si="37"/>
        <v>-0.11764705882352937</v>
      </c>
    </row>
    <row r="488" spans="1:32" x14ac:dyDescent="0.4">
      <c r="A488" s="104">
        <v>44896</v>
      </c>
      <c r="B488" s="17">
        <v>58</v>
      </c>
      <c r="C488" s="17">
        <v>38</v>
      </c>
      <c r="D488" s="17">
        <v>-8</v>
      </c>
      <c r="E488" s="17">
        <v>-3</v>
      </c>
      <c r="F488" s="17">
        <v>-130</v>
      </c>
      <c r="G488" s="17">
        <v>-59</v>
      </c>
      <c r="H488" s="18">
        <f t="shared" si="35"/>
        <v>60.416666666666664</v>
      </c>
      <c r="I488" s="18">
        <v>1.17</v>
      </c>
      <c r="J488" s="18">
        <v>-1.84</v>
      </c>
      <c r="S488" s="19">
        <v>8</v>
      </c>
      <c r="T488" s="20">
        <v>6</v>
      </c>
      <c r="AE488" s="23">
        <f t="shared" si="38"/>
        <v>62</v>
      </c>
      <c r="AF488" s="24">
        <f t="shared" si="37"/>
        <v>-6.4516129032258063E-2</v>
      </c>
    </row>
    <row r="489" spans="1:32" x14ac:dyDescent="0.4">
      <c r="A489" s="104">
        <v>44897</v>
      </c>
      <c r="B489" s="17">
        <v>58</v>
      </c>
      <c r="C489" s="17">
        <v>19</v>
      </c>
      <c r="D489" s="17">
        <v>-17</v>
      </c>
      <c r="E489" s="17">
        <v>-8</v>
      </c>
      <c r="F489" s="17">
        <v>-85</v>
      </c>
      <c r="G489" s="17">
        <v>-44</v>
      </c>
      <c r="H489" s="18">
        <f t="shared" si="35"/>
        <v>75.324675324675326</v>
      </c>
      <c r="I489" s="18">
        <v>1.65</v>
      </c>
      <c r="J489" s="18">
        <v>-0.95</v>
      </c>
      <c r="S489" s="19">
        <v>7</v>
      </c>
      <c r="T489" s="20">
        <v>5</v>
      </c>
      <c r="AE489" s="23">
        <f t="shared" si="38"/>
        <v>68</v>
      </c>
      <c r="AF489" s="24">
        <f t="shared" si="37"/>
        <v>-0.14705882352941177</v>
      </c>
    </row>
    <row r="490" spans="1:32" x14ac:dyDescent="0.4">
      <c r="A490" s="104">
        <v>44900</v>
      </c>
      <c r="B490" s="17">
        <v>52</v>
      </c>
      <c r="C490" s="17">
        <v>41</v>
      </c>
      <c r="D490" s="17">
        <v>-5</v>
      </c>
      <c r="E490" s="17">
        <v>-2</v>
      </c>
      <c r="F490" s="17">
        <v>-176</v>
      </c>
      <c r="G490" s="17">
        <v>-76</v>
      </c>
      <c r="H490" s="18">
        <f t="shared" si="35"/>
        <v>55.913978494623649</v>
      </c>
      <c r="I490" s="18">
        <v>1.63</v>
      </c>
      <c r="J490" s="18">
        <v>-0.03</v>
      </c>
      <c r="S490" s="19">
        <v>10</v>
      </c>
      <c r="T490" s="20">
        <v>5</v>
      </c>
      <c r="AE490" s="23">
        <f t="shared" si="38"/>
        <v>55.333333333333336</v>
      </c>
      <c r="AF490" s="24">
        <f t="shared" si="37"/>
        <v>-6.0240963855421728E-2</v>
      </c>
    </row>
    <row r="491" spans="1:32" x14ac:dyDescent="0.4">
      <c r="A491" s="104">
        <v>44901</v>
      </c>
      <c r="B491" s="17">
        <v>31</v>
      </c>
      <c r="C491" s="17">
        <v>27</v>
      </c>
      <c r="D491" s="17">
        <v>-19</v>
      </c>
      <c r="E491" s="17">
        <v>-11</v>
      </c>
      <c r="F491" s="17">
        <v>-170</v>
      </c>
      <c r="G491" s="17">
        <v>-88</v>
      </c>
      <c r="H491" s="18">
        <f t="shared" si="35"/>
        <v>53.448275862068961</v>
      </c>
      <c r="I491" s="18">
        <v>-0.33</v>
      </c>
      <c r="J491" s="18">
        <v>-2.78</v>
      </c>
      <c r="S491" s="19">
        <v>11</v>
      </c>
      <c r="T491" s="20">
        <v>4</v>
      </c>
      <c r="AE491" s="23">
        <f t="shared" si="38"/>
        <v>56</v>
      </c>
      <c r="AF491" s="24">
        <f t="shared" si="37"/>
        <v>-0.44642857142857145</v>
      </c>
    </row>
    <row r="492" spans="1:32" x14ac:dyDescent="0.4">
      <c r="A492" s="104">
        <v>44902</v>
      </c>
      <c r="B492" s="17">
        <v>48</v>
      </c>
      <c r="C492" s="17">
        <v>14</v>
      </c>
      <c r="D492" s="17">
        <v>-9</v>
      </c>
      <c r="E492" s="17">
        <v>-3</v>
      </c>
      <c r="F492" s="17">
        <v>-101</v>
      </c>
      <c r="G492" s="17">
        <v>-34</v>
      </c>
      <c r="H492" s="18">
        <f t="shared" si="35"/>
        <v>77.41935483870968</v>
      </c>
      <c r="I492" s="18">
        <v>3.08</v>
      </c>
      <c r="J492" s="18">
        <v>-0.28999999999999998</v>
      </c>
      <c r="S492" s="19">
        <v>5</v>
      </c>
      <c r="T492" s="20">
        <v>4</v>
      </c>
      <c r="AE492" s="23">
        <f t="shared" si="38"/>
        <v>47</v>
      </c>
      <c r="AF492" s="24">
        <f t="shared" si="37"/>
        <v>2.1276595744680851E-2</v>
      </c>
    </row>
    <row r="493" spans="1:32" x14ac:dyDescent="0.4">
      <c r="A493" s="104">
        <v>44903</v>
      </c>
      <c r="B493" s="17">
        <v>46</v>
      </c>
      <c r="C493" s="17">
        <v>17</v>
      </c>
      <c r="D493" s="17">
        <v>-14</v>
      </c>
      <c r="E493" s="17">
        <v>-10</v>
      </c>
      <c r="F493" s="17">
        <v>-127</v>
      </c>
      <c r="G493" s="17">
        <v>-65</v>
      </c>
      <c r="H493" s="18">
        <f t="shared" si="35"/>
        <v>73.015873015873012</v>
      </c>
      <c r="I493" s="18">
        <v>1.35</v>
      </c>
      <c r="J493" s="18">
        <v>-0.2</v>
      </c>
      <c r="S493" s="19">
        <v>5</v>
      </c>
      <c r="T493" s="20">
        <v>3</v>
      </c>
      <c r="AE493" s="23">
        <f t="shared" si="38"/>
        <v>43.666666666666664</v>
      </c>
      <c r="AF493" s="24">
        <f t="shared" si="37"/>
        <v>5.3435114503816848E-2</v>
      </c>
    </row>
    <row r="494" spans="1:32" x14ac:dyDescent="0.4">
      <c r="A494" s="104">
        <v>44904</v>
      </c>
      <c r="B494" s="17">
        <v>39</v>
      </c>
      <c r="C494" s="17">
        <v>25</v>
      </c>
      <c r="D494" s="17">
        <v>-9</v>
      </c>
      <c r="E494" s="17">
        <v>-5</v>
      </c>
      <c r="F494" s="17">
        <v>-141</v>
      </c>
      <c r="G494" s="17">
        <v>-63</v>
      </c>
      <c r="H494" s="18">
        <f t="shared" si="35"/>
        <v>60.9375</v>
      </c>
      <c r="I494" s="18">
        <v>-0.48</v>
      </c>
      <c r="J494" s="18">
        <v>-1.93</v>
      </c>
      <c r="S494" s="19">
        <v>4</v>
      </c>
      <c r="T494" s="20">
        <v>3</v>
      </c>
      <c r="AE494" s="23">
        <f t="shared" si="38"/>
        <v>41.666666666666664</v>
      </c>
      <c r="AF494" s="24">
        <f t="shared" si="37"/>
        <v>-6.3999999999999946E-2</v>
      </c>
    </row>
    <row r="495" spans="1:32" x14ac:dyDescent="0.4">
      <c r="A495" s="104">
        <v>44907</v>
      </c>
      <c r="B495" s="17">
        <v>44</v>
      </c>
      <c r="C495" s="17">
        <v>21</v>
      </c>
      <c r="D495" s="17">
        <v>-8</v>
      </c>
      <c r="E495" s="17">
        <v>-6</v>
      </c>
      <c r="F495" s="17">
        <v>-169</v>
      </c>
      <c r="G495" s="17">
        <v>-61</v>
      </c>
      <c r="H495" s="18">
        <f t="shared" si="35"/>
        <v>67.692307692307693</v>
      </c>
      <c r="I495" s="18">
        <v>0.93</v>
      </c>
      <c r="J495" s="18">
        <v>-2.1</v>
      </c>
      <c r="S495" s="19">
        <v>5</v>
      </c>
      <c r="T495" s="20">
        <v>4</v>
      </c>
      <c r="AE495" s="23">
        <f t="shared" si="38"/>
        <v>44.333333333333336</v>
      </c>
      <c r="AF495" s="24">
        <f t="shared" si="37"/>
        <v>-7.5187969924812564E-3</v>
      </c>
    </row>
    <row r="496" spans="1:32" x14ac:dyDescent="0.4">
      <c r="A496" s="104">
        <v>44908</v>
      </c>
      <c r="B496" s="17">
        <v>57</v>
      </c>
      <c r="C496" s="17">
        <v>20</v>
      </c>
      <c r="D496" s="17">
        <v>-8</v>
      </c>
      <c r="E496" s="17">
        <v>-4</v>
      </c>
      <c r="F496" s="17">
        <v>-154</v>
      </c>
      <c r="G496" s="17">
        <v>-72</v>
      </c>
      <c r="H496" s="18">
        <f t="shared" si="35"/>
        <v>74.025974025974023</v>
      </c>
      <c r="I496" s="18">
        <v>4.5</v>
      </c>
      <c r="J496" s="18">
        <v>0.87</v>
      </c>
      <c r="S496" s="19">
        <v>6</v>
      </c>
      <c r="T496" s="20">
        <v>5</v>
      </c>
      <c r="AE496" s="23">
        <f t="shared" si="38"/>
        <v>43</v>
      </c>
      <c r="AF496" s="24">
        <f t="shared" si="37"/>
        <v>0.32558139534883723</v>
      </c>
    </row>
    <row r="497" spans="1:32" x14ac:dyDescent="0.4">
      <c r="A497" s="104">
        <v>44909</v>
      </c>
      <c r="B497" s="17">
        <v>48</v>
      </c>
      <c r="C497" s="17">
        <v>18</v>
      </c>
      <c r="D497" s="17">
        <v>-20</v>
      </c>
      <c r="E497" s="17">
        <v>-8</v>
      </c>
      <c r="F497" s="17">
        <v>-208</v>
      </c>
      <c r="G497" s="17">
        <v>-131</v>
      </c>
      <c r="H497" s="18">
        <f t="shared" si="35"/>
        <v>72.727272727272734</v>
      </c>
      <c r="I497" s="18">
        <v>0.33</v>
      </c>
      <c r="J497" s="18">
        <v>-1.43</v>
      </c>
      <c r="S497" s="19">
        <v>7</v>
      </c>
      <c r="T497" s="20">
        <v>4</v>
      </c>
      <c r="AE497" s="23">
        <f t="shared" si="38"/>
        <v>46.666666666666664</v>
      </c>
      <c r="AF497" s="24">
        <f t="shared" si="37"/>
        <v>2.8571428571428623E-2</v>
      </c>
    </row>
    <row r="498" spans="1:32" x14ac:dyDescent="0.4">
      <c r="A498" s="104">
        <v>44910</v>
      </c>
      <c r="B498" s="17">
        <v>33</v>
      </c>
      <c r="C498" s="17">
        <v>24</v>
      </c>
      <c r="D498" s="17">
        <v>-11</v>
      </c>
      <c r="E498" s="17">
        <v>-2</v>
      </c>
      <c r="F498" s="17">
        <v>-107</v>
      </c>
      <c r="G498" s="17">
        <v>-54</v>
      </c>
      <c r="H498" s="18">
        <f t="shared" si="35"/>
        <v>57.894736842105267</v>
      </c>
      <c r="I498" s="18">
        <v>1.42</v>
      </c>
      <c r="J498" s="18">
        <v>-0.21</v>
      </c>
      <c r="S498" s="19">
        <v>4</v>
      </c>
      <c r="T498" s="20">
        <v>3</v>
      </c>
      <c r="AE498" s="23">
        <f t="shared" si="38"/>
        <v>49.666666666666664</v>
      </c>
      <c r="AF498" s="24">
        <f t="shared" si="37"/>
        <v>-0.33557046979865768</v>
      </c>
    </row>
    <row r="499" spans="1:32" x14ac:dyDescent="0.4">
      <c r="A499" s="104">
        <v>44911</v>
      </c>
      <c r="B499" s="17">
        <v>38</v>
      </c>
      <c r="C499" s="17">
        <v>19</v>
      </c>
      <c r="D499" s="17">
        <v>-13</v>
      </c>
      <c r="E499" s="17">
        <v>-4</v>
      </c>
      <c r="F499" s="17">
        <v>-319</v>
      </c>
      <c r="G499" s="17">
        <v>-157</v>
      </c>
      <c r="H499" s="18">
        <f t="shared" si="35"/>
        <v>66.666666666666657</v>
      </c>
      <c r="I499" s="18">
        <v>1.49</v>
      </c>
      <c r="J499" s="18">
        <v>-2.13</v>
      </c>
      <c r="S499" s="19">
        <v>5</v>
      </c>
      <c r="T499" s="20">
        <v>3</v>
      </c>
      <c r="AE499" s="23">
        <f t="shared" si="38"/>
        <v>46</v>
      </c>
      <c r="AF499" s="24">
        <f t="shared" si="37"/>
        <v>-0.17391304347826086</v>
      </c>
    </row>
    <row r="500" spans="1:32" x14ac:dyDescent="0.4">
      <c r="A500" s="104">
        <v>44914</v>
      </c>
      <c r="B500" s="17">
        <v>25</v>
      </c>
      <c r="C500" s="17">
        <v>19</v>
      </c>
      <c r="D500" s="17">
        <v>-32</v>
      </c>
      <c r="E500" s="17">
        <v>-16</v>
      </c>
      <c r="F500" s="17">
        <v>-594</v>
      </c>
      <c r="G500" s="17">
        <v>-364</v>
      </c>
      <c r="H500" s="18">
        <f t="shared" si="35"/>
        <v>56.81818181818182</v>
      </c>
      <c r="I500" s="18">
        <v>0.04</v>
      </c>
      <c r="J500" s="18">
        <v>-1.74</v>
      </c>
      <c r="S500" s="19">
        <v>3</v>
      </c>
      <c r="T500" s="20">
        <v>2</v>
      </c>
      <c r="AE500" s="23">
        <f t="shared" si="38"/>
        <v>39.666666666666664</v>
      </c>
      <c r="AF500" s="24">
        <f t="shared" si="37"/>
        <v>-0.36974789915966383</v>
      </c>
    </row>
    <row r="501" spans="1:32" x14ac:dyDescent="0.4">
      <c r="A501" s="104">
        <v>44915</v>
      </c>
      <c r="B501" s="17">
        <v>26</v>
      </c>
      <c r="C501" s="17">
        <v>14</v>
      </c>
      <c r="D501" s="17">
        <v>-43</v>
      </c>
      <c r="E501" s="17">
        <v>-27</v>
      </c>
      <c r="F501" s="17">
        <v>-293</v>
      </c>
      <c r="G501" s="17">
        <v>-147</v>
      </c>
      <c r="H501" s="18">
        <f t="shared" si="35"/>
        <v>65</v>
      </c>
      <c r="I501" s="18">
        <v>-1.07</v>
      </c>
      <c r="J501" s="18">
        <v>-5.05</v>
      </c>
      <c r="S501" s="19">
        <v>3</v>
      </c>
      <c r="T501" s="20">
        <v>2</v>
      </c>
      <c r="AE501" s="23">
        <f t="shared" si="38"/>
        <v>32</v>
      </c>
      <c r="AF501" s="24">
        <f t="shared" si="37"/>
        <v>-0.1875</v>
      </c>
    </row>
    <row r="502" spans="1:32" x14ac:dyDescent="0.4">
      <c r="A502" s="104">
        <v>44916</v>
      </c>
      <c r="B502" s="17">
        <v>27</v>
      </c>
      <c r="C502" s="17">
        <v>14</v>
      </c>
      <c r="D502" s="17">
        <v>-18</v>
      </c>
      <c r="E502" s="17">
        <v>-6</v>
      </c>
      <c r="F502" s="17">
        <v>-221</v>
      </c>
      <c r="G502" s="17">
        <v>-87</v>
      </c>
      <c r="H502" s="18">
        <f t="shared" si="35"/>
        <v>65.853658536585371</v>
      </c>
      <c r="I502" s="18">
        <v>0.77</v>
      </c>
      <c r="J502" s="18">
        <v>-2.48</v>
      </c>
      <c r="S502" s="19">
        <v>4</v>
      </c>
      <c r="T502" s="20">
        <v>2</v>
      </c>
      <c r="AE502" s="23">
        <f t="shared" si="38"/>
        <v>29.666666666666668</v>
      </c>
      <c r="AF502" s="24">
        <f t="shared" si="37"/>
        <v>-8.9887640449438241E-2</v>
      </c>
    </row>
    <row r="503" spans="1:32" x14ac:dyDescent="0.4">
      <c r="A503" s="104">
        <v>44917</v>
      </c>
      <c r="B503" s="17">
        <v>34</v>
      </c>
      <c r="C503" s="17">
        <v>27</v>
      </c>
      <c r="D503" s="17">
        <v>-19</v>
      </c>
      <c r="E503" s="17">
        <v>-9</v>
      </c>
      <c r="F503" s="17">
        <v>-297</v>
      </c>
      <c r="G503" s="17">
        <v>-160</v>
      </c>
      <c r="H503" s="18">
        <f t="shared" si="35"/>
        <v>55.737704918032783</v>
      </c>
      <c r="I503" s="18">
        <v>2.25</v>
      </c>
      <c r="J503" s="18">
        <v>-0.28999999999999998</v>
      </c>
      <c r="S503" s="19">
        <v>5</v>
      </c>
      <c r="T503" s="20">
        <v>3</v>
      </c>
      <c r="AE503" s="23">
        <f t="shared" si="38"/>
        <v>26</v>
      </c>
      <c r="AF503" s="24">
        <f t="shared" si="37"/>
        <v>0.30769230769230771</v>
      </c>
    </row>
    <row r="504" spans="1:32" x14ac:dyDescent="0.4">
      <c r="A504" s="104">
        <v>44918</v>
      </c>
      <c r="B504" s="17">
        <v>36</v>
      </c>
      <c r="C504" s="17">
        <v>25</v>
      </c>
      <c r="D504" s="17">
        <v>-27</v>
      </c>
      <c r="E504" s="17">
        <v>-13</v>
      </c>
      <c r="F504" s="17">
        <v>-318</v>
      </c>
      <c r="G504" s="17">
        <v>-144</v>
      </c>
      <c r="H504" s="18">
        <f t="shared" si="35"/>
        <v>59.016393442622949</v>
      </c>
      <c r="I504" s="18">
        <v>1.73</v>
      </c>
      <c r="J504" s="18">
        <v>-1.96</v>
      </c>
      <c r="S504" s="19">
        <v>3</v>
      </c>
      <c r="T504" s="20">
        <v>2</v>
      </c>
      <c r="AE504" s="23">
        <f t="shared" si="38"/>
        <v>29</v>
      </c>
      <c r="AF504" s="24">
        <f t="shared" si="37"/>
        <v>0.2413793103448276</v>
      </c>
    </row>
    <row r="505" spans="1:32" x14ac:dyDescent="0.4">
      <c r="A505" s="104">
        <v>44921</v>
      </c>
      <c r="B505" s="17">
        <v>60</v>
      </c>
      <c r="C505" s="17">
        <v>13</v>
      </c>
      <c r="D505" s="17">
        <v>-11</v>
      </c>
      <c r="E505" s="17">
        <v>-4</v>
      </c>
      <c r="F505" s="17">
        <v>-96</v>
      </c>
      <c r="G505" s="17">
        <v>-17</v>
      </c>
      <c r="H505" s="18">
        <f t="shared" si="35"/>
        <v>82.191780821917803</v>
      </c>
      <c r="I505" s="18">
        <v>0.94</v>
      </c>
      <c r="J505" s="18">
        <v>-1.92</v>
      </c>
      <c r="S505" s="19">
        <v>4</v>
      </c>
      <c r="T505" s="20">
        <v>3</v>
      </c>
      <c r="AE505" s="23">
        <f t="shared" si="38"/>
        <v>32.333333333333336</v>
      </c>
      <c r="AF505" s="24">
        <f t="shared" ref="AF505:AF534" si="39">(B505-AE505)/AE505</f>
        <v>0.85567010309278335</v>
      </c>
    </row>
    <row r="506" spans="1:32" x14ac:dyDescent="0.4">
      <c r="A506" s="104">
        <v>44922</v>
      </c>
      <c r="B506" s="17">
        <v>46</v>
      </c>
      <c r="C506" s="17">
        <v>19</v>
      </c>
      <c r="D506" s="17">
        <v>-14</v>
      </c>
      <c r="E506" s="17">
        <v>-7</v>
      </c>
      <c r="F506" s="17">
        <v>-214</v>
      </c>
      <c r="G506" s="17">
        <v>-72</v>
      </c>
      <c r="H506" s="18">
        <f t="shared" si="35"/>
        <v>70.769230769230774</v>
      </c>
      <c r="I506" s="18">
        <v>4.24</v>
      </c>
      <c r="J506" s="18">
        <v>2.75</v>
      </c>
      <c r="S506" s="19">
        <v>5</v>
      </c>
      <c r="T506" s="20">
        <v>4</v>
      </c>
      <c r="AE506" s="23">
        <f t="shared" si="38"/>
        <v>43.333333333333336</v>
      </c>
      <c r="AF506" s="24">
        <f t="shared" si="39"/>
        <v>6.1538461538461479E-2</v>
      </c>
    </row>
    <row r="507" spans="1:32" x14ac:dyDescent="0.4">
      <c r="A507" s="104">
        <v>44923</v>
      </c>
      <c r="B507" s="17">
        <v>34</v>
      </c>
      <c r="C507" s="17">
        <v>20</v>
      </c>
      <c r="D507" s="17">
        <v>-10</v>
      </c>
      <c r="E507" s="17">
        <v>-4</v>
      </c>
      <c r="F507" s="17">
        <v>-175</v>
      </c>
      <c r="G507" s="17">
        <v>-69</v>
      </c>
      <c r="H507" s="18">
        <f t="shared" si="35"/>
        <v>62.962962962962962</v>
      </c>
      <c r="I507" s="18">
        <v>2.46</v>
      </c>
      <c r="J507" s="18">
        <v>7.0000000000000007E-2</v>
      </c>
      <c r="S507" s="19">
        <v>6</v>
      </c>
      <c r="T507" s="20">
        <v>3</v>
      </c>
      <c r="AE507" s="23">
        <f t="shared" si="38"/>
        <v>47.333333333333336</v>
      </c>
      <c r="AF507" s="24">
        <f t="shared" si="39"/>
        <v>-0.28169014084507044</v>
      </c>
    </row>
    <row r="508" spans="1:32" x14ac:dyDescent="0.4">
      <c r="A508" s="104">
        <v>44924</v>
      </c>
      <c r="B508" s="17">
        <v>37</v>
      </c>
      <c r="C508" s="17">
        <v>15</v>
      </c>
      <c r="D508" s="17">
        <v>-10</v>
      </c>
      <c r="E508" s="17">
        <v>-4</v>
      </c>
      <c r="F508" s="17">
        <v>-127</v>
      </c>
      <c r="G508" s="17">
        <v>-75</v>
      </c>
      <c r="H508" s="18">
        <f t="shared" si="35"/>
        <v>71.15384615384616</v>
      </c>
      <c r="I508" s="18">
        <v>2.29</v>
      </c>
      <c r="J508" s="18">
        <v>-1.3</v>
      </c>
      <c r="S508" s="19">
        <v>7</v>
      </c>
      <c r="T508" s="20">
        <v>4</v>
      </c>
      <c r="AE508" s="23">
        <f t="shared" si="38"/>
        <v>46.666666666666664</v>
      </c>
      <c r="AF508" s="24">
        <f t="shared" si="39"/>
        <v>-0.2071428571428571</v>
      </c>
    </row>
    <row r="509" spans="1:32" x14ac:dyDescent="0.4">
      <c r="A509" s="104">
        <v>44925</v>
      </c>
      <c r="B509" s="17">
        <v>44</v>
      </c>
      <c r="C509" s="17">
        <v>14</v>
      </c>
      <c r="D509" s="17">
        <v>-7</v>
      </c>
      <c r="E509" s="17">
        <v>-1</v>
      </c>
      <c r="F509" s="17">
        <v>-88</v>
      </c>
      <c r="G509" s="17">
        <v>-30</v>
      </c>
      <c r="H509" s="18">
        <f t="shared" si="35"/>
        <v>75.862068965517238</v>
      </c>
      <c r="I509" s="18">
        <v>2.72</v>
      </c>
      <c r="J509" s="18">
        <v>0.44</v>
      </c>
      <c r="S509" s="19">
        <v>8</v>
      </c>
      <c r="T509" s="20">
        <v>5</v>
      </c>
      <c r="AE509" s="23">
        <f t="shared" si="38"/>
        <v>39</v>
      </c>
      <c r="AF509" s="24">
        <f t="shared" si="39"/>
        <v>0.12820512820512819</v>
      </c>
    </row>
    <row r="510" spans="1:32" x14ac:dyDescent="0.4">
      <c r="A510" s="104">
        <v>44929</v>
      </c>
      <c r="B510" s="17">
        <v>95</v>
      </c>
      <c r="C510" s="17">
        <v>19</v>
      </c>
      <c r="D510" s="17">
        <v>-6</v>
      </c>
      <c r="E510" s="17">
        <v>-2</v>
      </c>
      <c r="F510" s="17">
        <v>-91</v>
      </c>
      <c r="G510" s="17">
        <v>-20</v>
      </c>
      <c r="H510" s="18">
        <f t="shared" si="35"/>
        <v>83.333333333333343</v>
      </c>
      <c r="I510" s="18">
        <v>3.48</v>
      </c>
      <c r="J510" s="18">
        <v>2.29</v>
      </c>
      <c r="S510" s="19">
        <v>4</v>
      </c>
      <c r="T510" s="20">
        <v>3</v>
      </c>
      <c r="AE510" s="23">
        <f t="shared" ref="AE510:AE534" si="40">(B507+B508+B509)/3</f>
        <v>38.333333333333336</v>
      </c>
      <c r="AF510" s="24">
        <f t="shared" si="39"/>
        <v>1.4782608695652173</v>
      </c>
    </row>
    <row r="511" spans="1:32" x14ac:dyDescent="0.4">
      <c r="A511" s="104">
        <v>44930</v>
      </c>
      <c r="B511" s="17">
        <v>46</v>
      </c>
      <c r="C511" s="17">
        <v>25</v>
      </c>
      <c r="D511" s="17">
        <v>-10</v>
      </c>
      <c r="E511" s="17">
        <v>-6</v>
      </c>
      <c r="F511" s="17">
        <v>-120</v>
      </c>
      <c r="G511" s="17">
        <v>-50</v>
      </c>
      <c r="H511" s="18">
        <f t="shared" si="35"/>
        <v>64.788732394366207</v>
      </c>
      <c r="I511" s="18">
        <v>1.84</v>
      </c>
      <c r="J511" s="18">
        <v>0.76</v>
      </c>
      <c r="S511" s="19">
        <v>5</v>
      </c>
      <c r="T511" s="20">
        <v>4</v>
      </c>
      <c r="AE511" s="23">
        <f t="shared" si="40"/>
        <v>58.666666666666664</v>
      </c>
      <c r="AF511" s="24">
        <f t="shared" si="39"/>
        <v>-0.21590909090909088</v>
      </c>
    </row>
    <row r="512" spans="1:32" x14ac:dyDescent="0.4">
      <c r="A512" s="104">
        <v>44931</v>
      </c>
      <c r="B512" s="17">
        <v>41</v>
      </c>
      <c r="C512" s="17">
        <v>23</v>
      </c>
      <c r="D512" s="17">
        <v>-14</v>
      </c>
      <c r="E512" s="17">
        <v>-7</v>
      </c>
      <c r="F512" s="17">
        <v>-77</v>
      </c>
      <c r="G512" s="17">
        <v>-30</v>
      </c>
      <c r="H512" s="18">
        <f t="shared" si="35"/>
        <v>64.0625</v>
      </c>
      <c r="I512" s="18">
        <v>-0.04</v>
      </c>
      <c r="J512" s="18">
        <v>-2.52</v>
      </c>
      <c r="S512" s="19">
        <v>3</v>
      </c>
      <c r="T512" s="20">
        <v>2</v>
      </c>
      <c r="AE512" s="23">
        <f t="shared" si="40"/>
        <v>61.666666666666664</v>
      </c>
      <c r="AF512" s="24">
        <f t="shared" si="39"/>
        <v>-0.3351351351351351</v>
      </c>
    </row>
    <row r="513" spans="1:32" x14ac:dyDescent="0.4">
      <c r="A513" s="104">
        <v>44932</v>
      </c>
      <c r="B513" s="17">
        <v>30</v>
      </c>
      <c r="C513" s="17">
        <v>32</v>
      </c>
      <c r="D513" s="17">
        <v>-15</v>
      </c>
      <c r="E513" s="17">
        <v>-9</v>
      </c>
      <c r="F513" s="17">
        <v>-123</v>
      </c>
      <c r="G513" s="17">
        <v>-73</v>
      </c>
      <c r="H513" s="18">
        <f t="shared" si="35"/>
        <v>48.387096774193552</v>
      </c>
      <c r="I513" s="18">
        <v>0.35</v>
      </c>
      <c r="J513" s="18">
        <v>-2.77</v>
      </c>
      <c r="S513" s="19">
        <v>3</v>
      </c>
      <c r="T513" s="20">
        <v>2</v>
      </c>
      <c r="AE513" s="23">
        <f t="shared" si="40"/>
        <v>60.666666666666664</v>
      </c>
      <c r="AF513" s="24">
        <f t="shared" si="39"/>
        <v>-0.50549450549450547</v>
      </c>
    </row>
    <row r="514" spans="1:32" x14ac:dyDescent="0.4">
      <c r="A514" s="104">
        <v>44935</v>
      </c>
      <c r="B514" s="17">
        <v>40</v>
      </c>
      <c r="C514" s="17">
        <v>23</v>
      </c>
      <c r="D514" s="17">
        <v>-3</v>
      </c>
      <c r="E514" s="17">
        <v>-1</v>
      </c>
      <c r="F514" s="17">
        <v>-65</v>
      </c>
      <c r="G514" s="17">
        <v>-20</v>
      </c>
      <c r="H514" s="18">
        <f t="shared" si="35"/>
        <v>63.492063492063487</v>
      </c>
      <c r="I514" s="18">
        <v>1.52</v>
      </c>
      <c r="J514" s="18">
        <v>-0.81</v>
      </c>
      <c r="S514" s="19">
        <v>3</v>
      </c>
      <c r="T514" s="20">
        <v>2</v>
      </c>
      <c r="AE514" s="23">
        <f t="shared" si="40"/>
        <v>39</v>
      </c>
      <c r="AF514" s="24">
        <f t="shared" si="39"/>
        <v>2.564102564102564E-2</v>
      </c>
    </row>
    <row r="515" spans="1:32" x14ac:dyDescent="0.4">
      <c r="A515" s="104">
        <v>44936</v>
      </c>
      <c r="B515" s="17">
        <v>36</v>
      </c>
      <c r="C515" s="17">
        <v>10</v>
      </c>
      <c r="D515" s="17">
        <v>-3</v>
      </c>
      <c r="E515" s="17">
        <v>-1</v>
      </c>
      <c r="F515" s="17">
        <v>-55</v>
      </c>
      <c r="G515" s="17">
        <v>-10</v>
      </c>
      <c r="H515" s="18">
        <f t="shared" si="35"/>
        <v>78.260869565217391</v>
      </c>
      <c r="I515" s="18">
        <v>1.7</v>
      </c>
      <c r="J515" s="18">
        <v>-0.46</v>
      </c>
      <c r="S515" s="19">
        <v>4</v>
      </c>
      <c r="T515" s="20">
        <v>2</v>
      </c>
      <c r="AE515" s="23">
        <f t="shared" si="40"/>
        <v>37</v>
      </c>
      <c r="AF515" s="24">
        <f t="shared" si="39"/>
        <v>-2.7027027027027029E-2</v>
      </c>
    </row>
    <row r="516" spans="1:32" x14ac:dyDescent="0.4">
      <c r="A516" s="104">
        <v>44937</v>
      </c>
      <c r="B516" s="17">
        <v>28</v>
      </c>
      <c r="C516" s="17">
        <v>20</v>
      </c>
      <c r="D516" s="17">
        <v>-3</v>
      </c>
      <c r="E516" s="17">
        <v>-1</v>
      </c>
      <c r="F516" s="17">
        <v>-121</v>
      </c>
      <c r="G516" s="17">
        <v>-73</v>
      </c>
      <c r="H516" s="18">
        <f t="shared" si="35"/>
        <v>58.333333333333336</v>
      </c>
      <c r="I516" s="18">
        <v>1.85</v>
      </c>
      <c r="J516" s="18">
        <v>-0.1</v>
      </c>
      <c r="S516" s="19">
        <v>5</v>
      </c>
      <c r="T516" s="20">
        <v>3</v>
      </c>
      <c r="AE516" s="23">
        <f t="shared" si="40"/>
        <v>35.333333333333336</v>
      </c>
      <c r="AF516" s="24">
        <f t="shared" si="39"/>
        <v>-0.20754716981132082</v>
      </c>
    </row>
    <row r="517" spans="1:32" x14ac:dyDescent="0.4">
      <c r="A517" s="104">
        <v>44938</v>
      </c>
      <c r="B517" s="17">
        <v>32</v>
      </c>
      <c r="C517" s="17">
        <v>21</v>
      </c>
      <c r="D517" s="17">
        <v>-9</v>
      </c>
      <c r="E517" s="17">
        <v>-5</v>
      </c>
      <c r="F517" s="17">
        <v>-77</v>
      </c>
      <c r="G517" s="17">
        <v>-42</v>
      </c>
      <c r="H517" s="18">
        <f t="shared" si="35"/>
        <v>60.377358490566039</v>
      </c>
      <c r="I517" s="18">
        <v>0.83</v>
      </c>
      <c r="J517" s="18">
        <v>-1.76</v>
      </c>
      <c r="S517" s="19">
        <v>6</v>
      </c>
      <c r="T517" s="20">
        <v>4</v>
      </c>
      <c r="AE517" s="23">
        <f t="shared" si="40"/>
        <v>34.666666666666664</v>
      </c>
      <c r="AF517" s="24">
        <f t="shared" si="39"/>
        <v>-7.6923076923076858E-2</v>
      </c>
    </row>
    <row r="518" spans="1:32" x14ac:dyDescent="0.4">
      <c r="A518" s="104">
        <v>44939</v>
      </c>
      <c r="B518" s="17">
        <v>33</v>
      </c>
      <c r="C518" s="17">
        <v>21</v>
      </c>
      <c r="D518" s="17">
        <v>-12</v>
      </c>
      <c r="E518" s="17">
        <v>-8</v>
      </c>
      <c r="F518" s="17">
        <v>-82</v>
      </c>
      <c r="G518" s="17">
        <v>-39</v>
      </c>
      <c r="H518" s="18">
        <f t="shared" si="35"/>
        <v>61.111111111111114</v>
      </c>
      <c r="I518" s="18">
        <v>1.87</v>
      </c>
      <c r="J518" s="18">
        <v>-1.32</v>
      </c>
      <c r="S518" s="19">
        <v>4</v>
      </c>
      <c r="T518" s="20">
        <v>3</v>
      </c>
      <c r="AE518" s="23">
        <f t="shared" si="40"/>
        <v>32</v>
      </c>
      <c r="AF518" s="24">
        <f t="shared" si="39"/>
        <v>3.125E-2</v>
      </c>
    </row>
    <row r="519" spans="1:32" x14ac:dyDescent="0.4">
      <c r="A519" s="104">
        <v>44942</v>
      </c>
      <c r="B519" s="17">
        <v>41</v>
      </c>
      <c r="C519" s="17">
        <v>26</v>
      </c>
      <c r="D519" s="17">
        <v>-9</v>
      </c>
      <c r="E519" s="17">
        <v>-5</v>
      </c>
      <c r="F519" s="17">
        <v>-88</v>
      </c>
      <c r="G519" s="17">
        <v>-35</v>
      </c>
      <c r="H519" s="18">
        <f t="shared" si="35"/>
        <v>61.194029850746269</v>
      </c>
      <c r="I519" s="18">
        <v>3.19</v>
      </c>
      <c r="J519" s="18">
        <v>-0.48</v>
      </c>
      <c r="S519" s="19">
        <v>4</v>
      </c>
      <c r="T519" s="20">
        <v>3</v>
      </c>
      <c r="AE519" s="23">
        <f t="shared" si="40"/>
        <v>31</v>
      </c>
      <c r="AF519" s="24">
        <f t="shared" si="39"/>
        <v>0.32258064516129031</v>
      </c>
    </row>
    <row r="520" spans="1:32" x14ac:dyDescent="0.4">
      <c r="A520" s="104">
        <v>44943</v>
      </c>
      <c r="B520" s="17">
        <v>33</v>
      </c>
      <c r="C520" s="17">
        <v>18</v>
      </c>
      <c r="D520" s="17">
        <v>-12</v>
      </c>
      <c r="E520" s="17">
        <v>-5</v>
      </c>
      <c r="F520" s="17">
        <v>-84</v>
      </c>
      <c r="G520" s="17">
        <v>-39</v>
      </c>
      <c r="H520" s="18">
        <f t="shared" si="35"/>
        <v>64.705882352941174</v>
      </c>
      <c r="I520" s="18">
        <v>2.41</v>
      </c>
      <c r="J520" s="18">
        <v>-0.14000000000000001</v>
      </c>
      <c r="S520" s="19">
        <v>4</v>
      </c>
      <c r="T520" s="20">
        <v>3</v>
      </c>
      <c r="AE520" s="23">
        <f t="shared" si="40"/>
        <v>35.333333333333336</v>
      </c>
      <c r="AF520" s="24">
        <f t="shared" si="39"/>
        <v>-6.6037735849056672E-2</v>
      </c>
    </row>
    <row r="521" spans="1:32" x14ac:dyDescent="0.4">
      <c r="A521" s="104">
        <v>44944</v>
      </c>
      <c r="B521" s="17">
        <v>35</v>
      </c>
      <c r="C521" s="17">
        <v>14</v>
      </c>
      <c r="D521" s="17">
        <v>-7</v>
      </c>
      <c r="E521" s="17">
        <v>-4</v>
      </c>
      <c r="F521" s="17">
        <v>-74</v>
      </c>
      <c r="G521" s="17">
        <v>-37</v>
      </c>
      <c r="H521" s="18">
        <f t="shared" si="35"/>
        <v>71.428571428571431</v>
      </c>
      <c r="I521" s="18">
        <v>1.26</v>
      </c>
      <c r="J521" s="18">
        <v>-1.22</v>
      </c>
      <c r="S521" s="19">
        <v>5</v>
      </c>
      <c r="T521" s="20">
        <v>4</v>
      </c>
      <c r="AE521" s="23">
        <f t="shared" si="40"/>
        <v>35.666666666666664</v>
      </c>
      <c r="AF521" s="24">
        <f t="shared" si="39"/>
        <v>-1.8691588785046665E-2</v>
      </c>
    </row>
    <row r="522" spans="1:32" x14ac:dyDescent="0.4">
      <c r="A522" s="104">
        <v>44945</v>
      </c>
      <c r="B522" s="17">
        <v>29</v>
      </c>
      <c r="C522" s="17">
        <v>16</v>
      </c>
      <c r="D522" s="17">
        <v>-18</v>
      </c>
      <c r="E522" s="17">
        <v>-9</v>
      </c>
      <c r="F522" s="17">
        <v>-78</v>
      </c>
      <c r="G522" s="17">
        <v>-46</v>
      </c>
      <c r="H522" s="18">
        <f t="shared" si="35"/>
        <v>64.444444444444443</v>
      </c>
      <c r="I522" s="18">
        <v>-0.92</v>
      </c>
      <c r="J522" s="18">
        <v>-2.79</v>
      </c>
      <c r="S522" s="19">
        <v>5</v>
      </c>
      <c r="T522" s="20">
        <v>2</v>
      </c>
      <c r="AE522" s="23">
        <f t="shared" si="40"/>
        <v>36.333333333333336</v>
      </c>
      <c r="AF522" s="24">
        <f t="shared" si="39"/>
        <v>-0.20183486238532114</v>
      </c>
    </row>
    <row r="523" spans="1:32" x14ac:dyDescent="0.4">
      <c r="A523" s="104">
        <v>44946</v>
      </c>
      <c r="B523" s="17">
        <v>25</v>
      </c>
      <c r="C523" s="17">
        <v>18</v>
      </c>
      <c r="D523" s="17">
        <v>-11</v>
      </c>
      <c r="E523" s="17">
        <v>-5</v>
      </c>
      <c r="F523" s="17">
        <v>-64</v>
      </c>
      <c r="G523" s="17">
        <v>-26</v>
      </c>
      <c r="H523" s="18">
        <f t="shared" si="35"/>
        <v>58.139534883720934</v>
      </c>
      <c r="I523" s="18">
        <v>0.95</v>
      </c>
      <c r="J523" s="18">
        <v>-1.28</v>
      </c>
      <c r="S523" s="19">
        <v>5</v>
      </c>
      <c r="T523" s="20">
        <v>3</v>
      </c>
      <c r="AE523" s="23">
        <f t="shared" si="40"/>
        <v>32.333333333333336</v>
      </c>
      <c r="AF523" s="24">
        <f t="shared" si="39"/>
        <v>-0.22680412371134026</v>
      </c>
    </row>
    <row r="524" spans="1:32" x14ac:dyDescent="0.4">
      <c r="A524" s="104">
        <v>44956</v>
      </c>
      <c r="B524" s="17">
        <v>81</v>
      </c>
      <c r="C524" s="17">
        <v>31</v>
      </c>
      <c r="D524" s="17">
        <v>-1</v>
      </c>
      <c r="E524" s="17">
        <v>0</v>
      </c>
      <c r="F524" s="17">
        <v>-70</v>
      </c>
      <c r="G524" s="17">
        <v>-30</v>
      </c>
      <c r="H524" s="18">
        <f t="shared" si="35"/>
        <v>72.321428571428569</v>
      </c>
      <c r="I524" s="18">
        <v>5.0599999999999996</v>
      </c>
      <c r="J524" s="18">
        <v>2.54</v>
      </c>
      <c r="S524" s="19">
        <v>6</v>
      </c>
      <c r="T524" s="20">
        <v>4</v>
      </c>
      <c r="AE524" s="23">
        <f t="shared" si="40"/>
        <v>29.666666666666668</v>
      </c>
      <c r="AF524" s="24">
        <f t="shared" si="39"/>
        <v>1.7303370786516852</v>
      </c>
    </row>
    <row r="525" spans="1:32" x14ac:dyDescent="0.4">
      <c r="A525" s="104">
        <v>44957</v>
      </c>
      <c r="B525" s="17">
        <v>39</v>
      </c>
      <c r="C525" s="17">
        <v>23</v>
      </c>
      <c r="D525" s="17">
        <v>-14</v>
      </c>
      <c r="E525" s="17">
        <v>-8</v>
      </c>
      <c r="F525" s="17">
        <v>-166</v>
      </c>
      <c r="G525" s="17">
        <v>-69</v>
      </c>
      <c r="H525" s="18">
        <f t="shared" si="35"/>
        <v>62.903225806451616</v>
      </c>
      <c r="I525" s="18">
        <v>2.8</v>
      </c>
      <c r="J525" s="18">
        <v>0.81</v>
      </c>
      <c r="S525" s="19">
        <v>7</v>
      </c>
      <c r="T525" s="20">
        <v>3</v>
      </c>
      <c r="AE525" s="23">
        <f t="shared" si="40"/>
        <v>45</v>
      </c>
      <c r="AF525" s="24">
        <f t="shared" si="39"/>
        <v>-0.13333333333333333</v>
      </c>
    </row>
    <row r="526" spans="1:32" x14ac:dyDescent="0.4">
      <c r="A526" s="104">
        <v>44958</v>
      </c>
      <c r="B526" s="17">
        <v>68</v>
      </c>
      <c r="C526" s="17">
        <v>16</v>
      </c>
      <c r="D526" s="17">
        <v>-2</v>
      </c>
      <c r="E526" s="17">
        <v>0</v>
      </c>
      <c r="F526" s="17">
        <v>-57</v>
      </c>
      <c r="G526" s="17">
        <v>-9</v>
      </c>
      <c r="H526" s="18">
        <f t="shared" si="35"/>
        <v>80.952380952380949</v>
      </c>
      <c r="I526" s="18">
        <v>5.9</v>
      </c>
      <c r="J526" s="18">
        <v>2.93</v>
      </c>
      <c r="S526" s="19">
        <v>8</v>
      </c>
      <c r="T526" s="20">
        <v>4</v>
      </c>
      <c r="AE526" s="23">
        <f t="shared" si="40"/>
        <v>48.333333333333336</v>
      </c>
      <c r="AF526" s="24">
        <f t="shared" si="39"/>
        <v>0.40689655172413786</v>
      </c>
    </row>
    <row r="527" spans="1:32" x14ac:dyDescent="0.4">
      <c r="A527" s="104">
        <v>44959</v>
      </c>
      <c r="B527" s="17">
        <v>47</v>
      </c>
      <c r="C527" s="17">
        <v>23</v>
      </c>
      <c r="D527" s="17">
        <v>-4</v>
      </c>
      <c r="E527" s="17">
        <v>-3</v>
      </c>
      <c r="F527" s="17">
        <v>-96</v>
      </c>
      <c r="G527" s="17">
        <v>-34</v>
      </c>
      <c r="H527" s="18">
        <f t="shared" si="35"/>
        <v>67.142857142857139</v>
      </c>
      <c r="I527" s="18">
        <v>1.37</v>
      </c>
      <c r="J527" s="18">
        <v>0.6</v>
      </c>
      <c r="S527" s="19">
        <v>5</v>
      </c>
      <c r="T527" s="20">
        <v>4</v>
      </c>
      <c r="AE527" s="23">
        <f t="shared" si="40"/>
        <v>62.666666666666664</v>
      </c>
      <c r="AF527" s="24">
        <f t="shared" si="39"/>
        <v>-0.24999999999999997</v>
      </c>
    </row>
    <row r="528" spans="1:32" x14ac:dyDescent="0.4">
      <c r="A528" s="104">
        <v>44960</v>
      </c>
      <c r="B528" s="17">
        <v>38</v>
      </c>
      <c r="C528" s="17">
        <v>15</v>
      </c>
      <c r="D528" s="17">
        <v>-7</v>
      </c>
      <c r="E528" s="17">
        <v>-3</v>
      </c>
      <c r="F528" s="17">
        <v>-87</v>
      </c>
      <c r="G528" s="17">
        <v>-18</v>
      </c>
      <c r="H528" s="18">
        <f t="shared" si="35"/>
        <v>71.698113207547166</v>
      </c>
      <c r="I528" s="18">
        <v>0.64</v>
      </c>
      <c r="J528" s="18">
        <v>-1.37</v>
      </c>
      <c r="S528" s="19">
        <v>6</v>
      </c>
      <c r="T528" s="20">
        <v>5</v>
      </c>
      <c r="AE528" s="23">
        <f t="shared" si="40"/>
        <v>51.333333333333336</v>
      </c>
      <c r="AF528" s="24">
        <f t="shared" si="39"/>
        <v>-0.25974025974025977</v>
      </c>
    </row>
    <row r="529" spans="1:32" x14ac:dyDescent="0.4">
      <c r="A529" s="104">
        <v>44963</v>
      </c>
      <c r="B529" s="17">
        <v>36</v>
      </c>
      <c r="C529" s="17">
        <v>24</v>
      </c>
      <c r="D529" s="17">
        <v>-8</v>
      </c>
      <c r="E529" s="17">
        <v>-4</v>
      </c>
      <c r="F529" s="17">
        <v>-145</v>
      </c>
      <c r="G529" s="17">
        <v>-51</v>
      </c>
      <c r="H529" s="18">
        <f t="shared" si="35"/>
        <v>60</v>
      </c>
      <c r="I529" s="18">
        <v>2.71</v>
      </c>
      <c r="J529" s="18">
        <v>0.08</v>
      </c>
      <c r="S529" s="19">
        <v>6</v>
      </c>
      <c r="T529" s="20">
        <v>3</v>
      </c>
      <c r="AE529" s="23">
        <f t="shared" si="40"/>
        <v>51</v>
      </c>
      <c r="AF529" s="24">
        <f t="shared" si="39"/>
        <v>-0.29411764705882354</v>
      </c>
    </row>
    <row r="530" spans="1:32" x14ac:dyDescent="0.4">
      <c r="A530" s="104">
        <v>44964</v>
      </c>
      <c r="B530" s="17">
        <v>40</v>
      </c>
      <c r="C530" s="17">
        <v>22</v>
      </c>
      <c r="D530" s="17">
        <v>-4</v>
      </c>
      <c r="E530" s="17">
        <v>-2</v>
      </c>
      <c r="F530" s="17">
        <v>-101</v>
      </c>
      <c r="G530" s="17">
        <v>-29</v>
      </c>
      <c r="H530" s="18">
        <f t="shared" si="35"/>
        <v>64.516129032258064</v>
      </c>
      <c r="I530" s="18">
        <v>3.79</v>
      </c>
      <c r="J530" s="18">
        <v>-0.9</v>
      </c>
      <c r="S530" s="19">
        <v>7</v>
      </c>
      <c r="T530" s="20">
        <v>4</v>
      </c>
      <c r="AE530" s="23">
        <f t="shared" si="40"/>
        <v>40.333333333333336</v>
      </c>
      <c r="AF530" s="24">
        <f t="shared" si="39"/>
        <v>-8.2644628099174128E-3</v>
      </c>
    </row>
    <row r="531" spans="1:32" x14ac:dyDescent="0.4">
      <c r="A531" s="104">
        <v>44965</v>
      </c>
      <c r="B531" s="17">
        <v>30</v>
      </c>
      <c r="C531" s="17">
        <v>24</v>
      </c>
      <c r="D531" s="17">
        <v>-3</v>
      </c>
      <c r="E531" s="17">
        <v>0</v>
      </c>
      <c r="F531" s="17">
        <v>-111</v>
      </c>
      <c r="G531" s="17">
        <v>-62</v>
      </c>
      <c r="H531" s="18">
        <f t="shared" si="35"/>
        <v>55.555555555555557</v>
      </c>
      <c r="I531" s="18">
        <v>1</v>
      </c>
      <c r="J531" s="18">
        <v>-1.41</v>
      </c>
      <c r="S531" s="19">
        <v>4</v>
      </c>
      <c r="T531" s="20">
        <v>3</v>
      </c>
      <c r="AE531" s="23">
        <f t="shared" si="40"/>
        <v>38</v>
      </c>
      <c r="AF531" s="24">
        <f t="shared" si="39"/>
        <v>-0.21052631578947367</v>
      </c>
    </row>
    <row r="532" spans="1:32" x14ac:dyDescent="0.4">
      <c r="A532" s="104">
        <v>44966</v>
      </c>
      <c r="B532" s="17">
        <v>32</v>
      </c>
      <c r="C532" s="17">
        <v>23</v>
      </c>
      <c r="D532" s="17">
        <v>-5</v>
      </c>
      <c r="E532" s="17">
        <v>-2</v>
      </c>
      <c r="F532" s="17">
        <v>-69</v>
      </c>
      <c r="G532" s="17">
        <v>-17</v>
      </c>
      <c r="H532" s="18">
        <f t="shared" si="35"/>
        <v>58.18181818181818</v>
      </c>
      <c r="I532" s="18">
        <v>2.39</v>
      </c>
      <c r="J532" s="18">
        <v>-1.75</v>
      </c>
      <c r="S532" s="19">
        <v>4</v>
      </c>
      <c r="T532" s="20">
        <v>3</v>
      </c>
      <c r="AE532" s="23">
        <f t="shared" si="40"/>
        <v>35.333333333333336</v>
      </c>
      <c r="AF532" s="24">
        <f t="shared" si="39"/>
        <v>-9.4339622641509496E-2</v>
      </c>
    </row>
    <row r="533" spans="1:32" x14ac:dyDescent="0.4">
      <c r="A533" s="104">
        <v>44967</v>
      </c>
      <c r="B533" s="17">
        <v>21</v>
      </c>
      <c r="C533" s="17">
        <v>20</v>
      </c>
      <c r="D533" s="17">
        <v>-6</v>
      </c>
      <c r="E533" s="17">
        <v>-5</v>
      </c>
      <c r="F533" s="17">
        <v>-113</v>
      </c>
      <c r="G533" s="17">
        <v>-53</v>
      </c>
      <c r="H533" s="18">
        <f t="shared" si="35"/>
        <v>51.219512195121951</v>
      </c>
      <c r="I533" s="18">
        <v>0.64</v>
      </c>
      <c r="J533" s="18">
        <v>-2.21</v>
      </c>
      <c r="S533" s="19">
        <v>4</v>
      </c>
      <c r="T533" s="20">
        <v>3</v>
      </c>
      <c r="AE533" s="23">
        <f t="shared" si="40"/>
        <v>34</v>
      </c>
      <c r="AF533" s="24">
        <f t="shared" si="39"/>
        <v>-0.38235294117647056</v>
      </c>
    </row>
    <row r="534" spans="1:32" x14ac:dyDescent="0.4">
      <c r="A534" s="104">
        <v>44970</v>
      </c>
      <c r="B534" s="17">
        <v>41</v>
      </c>
      <c r="C534" s="17">
        <v>22</v>
      </c>
      <c r="D534" s="17">
        <v>-1</v>
      </c>
      <c r="E534" s="17">
        <v>0</v>
      </c>
      <c r="F534" s="17">
        <v>-56</v>
      </c>
      <c r="G534" s="17">
        <v>-9</v>
      </c>
      <c r="H534" s="18">
        <f t="shared" si="35"/>
        <v>65.079365079365076</v>
      </c>
      <c r="I534" s="18">
        <v>4.55</v>
      </c>
      <c r="J534" s="18">
        <v>-0.21</v>
      </c>
      <c r="S534" s="19">
        <v>8</v>
      </c>
      <c r="T534" s="20">
        <v>5</v>
      </c>
      <c r="AE534" s="23">
        <f t="shared" si="40"/>
        <v>27.666666666666668</v>
      </c>
      <c r="AF534" s="24">
        <f t="shared" si="39"/>
        <v>0.48192771084337344</v>
      </c>
    </row>
    <row r="535" spans="1:32" x14ac:dyDescent="0.4">
      <c r="A535" s="104">
        <v>44971</v>
      </c>
      <c r="B535" s="17">
        <v>22</v>
      </c>
      <c r="C535" s="17">
        <v>20</v>
      </c>
      <c r="D535" s="17">
        <v>-3</v>
      </c>
      <c r="E535" s="17">
        <v>-1</v>
      </c>
      <c r="F535" s="17">
        <v>-97</v>
      </c>
      <c r="G535" s="17">
        <v>-46</v>
      </c>
      <c r="H535" s="18">
        <f t="shared" si="35"/>
        <v>52.380952380952387</v>
      </c>
      <c r="I535" s="18">
        <v>1.45</v>
      </c>
      <c r="J535" s="18">
        <v>-0.66</v>
      </c>
      <c r="S535" s="19">
        <v>2</v>
      </c>
      <c r="T535" s="20">
        <v>1</v>
      </c>
      <c r="AE535" s="23">
        <f t="shared" ref="AE535:AE574" si="41">(B532+B533+B534)/3</f>
        <v>31.333333333333332</v>
      </c>
      <c r="AF535" s="24">
        <f t="shared" ref="AF535:AF574" si="42">(B535-AE535)/AE535</f>
        <v>-0.2978723404255319</v>
      </c>
    </row>
    <row r="536" spans="1:32" x14ac:dyDescent="0.4">
      <c r="A536" s="104">
        <v>44972</v>
      </c>
      <c r="B536" s="17">
        <v>34</v>
      </c>
      <c r="C536" s="17">
        <v>13</v>
      </c>
      <c r="D536" s="17">
        <v>0</v>
      </c>
      <c r="E536" s="17">
        <v>0</v>
      </c>
      <c r="F536" s="17">
        <v>-48</v>
      </c>
      <c r="G536" s="17">
        <v>-11</v>
      </c>
      <c r="H536" s="18">
        <f t="shared" si="35"/>
        <v>72.340425531914903</v>
      </c>
      <c r="I536" s="18">
        <v>3.25</v>
      </c>
      <c r="J536" s="18">
        <v>-0.56999999999999995</v>
      </c>
      <c r="S536" s="19">
        <v>3</v>
      </c>
      <c r="T536" s="20">
        <v>2</v>
      </c>
      <c r="AE536" s="23">
        <f t="shared" si="41"/>
        <v>28</v>
      </c>
      <c r="AF536" s="24">
        <f t="shared" si="42"/>
        <v>0.21428571428571427</v>
      </c>
    </row>
    <row r="537" spans="1:32" x14ac:dyDescent="0.4">
      <c r="A537" s="104">
        <v>44973</v>
      </c>
      <c r="B537" s="17">
        <v>16</v>
      </c>
      <c r="C537" s="17">
        <v>25</v>
      </c>
      <c r="D537" s="17">
        <v>-11</v>
      </c>
      <c r="E537" s="17">
        <v>-2</v>
      </c>
      <c r="F537" s="17">
        <v>-712</v>
      </c>
      <c r="G537" s="17">
        <v>-337</v>
      </c>
      <c r="H537" s="18">
        <f t="shared" si="35"/>
        <v>39.024390243902438</v>
      </c>
      <c r="I537" s="18">
        <v>-1.0900000000000001</v>
      </c>
      <c r="J537" s="18">
        <v>-2.33</v>
      </c>
      <c r="S537" s="19">
        <v>2</v>
      </c>
      <c r="T537" s="20">
        <v>1</v>
      </c>
      <c r="AE537" s="23">
        <f t="shared" si="41"/>
        <v>32.333333333333336</v>
      </c>
      <c r="AF537" s="24">
        <f t="shared" si="42"/>
        <v>-0.50515463917525771</v>
      </c>
    </row>
    <row r="538" spans="1:32" x14ac:dyDescent="0.4">
      <c r="A538" s="104">
        <v>44974</v>
      </c>
      <c r="B538" s="17">
        <v>24</v>
      </c>
      <c r="C538" s="17">
        <v>19</v>
      </c>
      <c r="D538" s="17">
        <v>-9</v>
      </c>
      <c r="E538" s="17">
        <v>-2</v>
      </c>
      <c r="F538" s="17">
        <v>-232</v>
      </c>
      <c r="G538" s="17">
        <v>-159</v>
      </c>
      <c r="H538" s="18">
        <f t="shared" si="35"/>
        <v>55.813953488372093</v>
      </c>
      <c r="I538" s="18">
        <v>0.47</v>
      </c>
      <c r="J538" s="18">
        <v>-4.62</v>
      </c>
      <c r="S538" s="19">
        <v>3</v>
      </c>
      <c r="T538" s="20">
        <v>2</v>
      </c>
      <c r="AE538" s="23">
        <f t="shared" si="41"/>
        <v>24</v>
      </c>
      <c r="AF538" s="24">
        <f t="shared" si="42"/>
        <v>0</v>
      </c>
    </row>
    <row r="539" spans="1:32" x14ac:dyDescent="0.4">
      <c r="A539" s="104">
        <v>44977</v>
      </c>
      <c r="B539" s="17">
        <v>36</v>
      </c>
      <c r="C539" s="17">
        <v>15</v>
      </c>
      <c r="D539" s="17">
        <v>-9</v>
      </c>
      <c r="E539" s="17">
        <v>-4</v>
      </c>
      <c r="F539" s="17">
        <v>-127</v>
      </c>
      <c r="G539" s="17">
        <v>-20</v>
      </c>
      <c r="H539" s="18">
        <f t="shared" si="35"/>
        <v>70.588235294117652</v>
      </c>
      <c r="I539" s="18">
        <v>1.17</v>
      </c>
      <c r="J539" s="18">
        <v>-2</v>
      </c>
      <c r="S539" s="19">
        <v>2</v>
      </c>
      <c r="T539" s="20">
        <v>1</v>
      </c>
      <c r="AE539" s="23">
        <f t="shared" si="41"/>
        <v>24.666666666666668</v>
      </c>
      <c r="AF539" s="24">
        <f t="shared" si="42"/>
        <v>0.45945945945945937</v>
      </c>
    </row>
    <row r="540" spans="1:32" x14ac:dyDescent="0.4">
      <c r="A540" s="104">
        <v>44978</v>
      </c>
      <c r="B540" s="17">
        <v>14</v>
      </c>
      <c r="C540" s="17">
        <v>13</v>
      </c>
      <c r="D540" s="17">
        <v>-4</v>
      </c>
      <c r="E540" s="17">
        <v>-1</v>
      </c>
      <c r="F540" s="17">
        <v>-87</v>
      </c>
      <c r="G540" s="17">
        <v>-24</v>
      </c>
      <c r="H540" s="18">
        <f t="shared" si="35"/>
        <v>51.851851851851848</v>
      </c>
      <c r="I540" s="18">
        <v>0.99</v>
      </c>
      <c r="J540" s="18">
        <v>-0.57999999999999996</v>
      </c>
      <c r="S540" s="19">
        <v>2</v>
      </c>
      <c r="T540" s="20">
        <v>1</v>
      </c>
      <c r="AE540" s="23">
        <f t="shared" si="41"/>
        <v>25.333333333333332</v>
      </c>
      <c r="AF540" s="24">
        <f t="shared" si="42"/>
        <v>-0.44736842105263153</v>
      </c>
    </row>
    <row r="541" spans="1:32" x14ac:dyDescent="0.4">
      <c r="A541" s="104">
        <v>44979</v>
      </c>
      <c r="B541" s="17">
        <v>22</v>
      </c>
      <c r="C541" s="17">
        <v>7</v>
      </c>
      <c r="D541" s="17">
        <v>-1</v>
      </c>
      <c r="E541" s="17">
        <v>-1</v>
      </c>
      <c r="F541" s="17">
        <v>-58</v>
      </c>
      <c r="G541" s="17">
        <v>-11</v>
      </c>
      <c r="H541" s="18">
        <f t="shared" si="35"/>
        <v>75.862068965517238</v>
      </c>
      <c r="I541" s="18">
        <v>2.09</v>
      </c>
      <c r="J541" s="18">
        <v>0.74</v>
      </c>
      <c r="S541" s="19">
        <v>3</v>
      </c>
      <c r="T541" s="20">
        <v>2</v>
      </c>
      <c r="AE541" s="23">
        <f t="shared" si="41"/>
        <v>24.666666666666668</v>
      </c>
      <c r="AF541" s="24">
        <f t="shared" si="42"/>
        <v>-0.10810810810810816</v>
      </c>
    </row>
    <row r="542" spans="1:32" x14ac:dyDescent="0.4">
      <c r="A542" s="104">
        <v>44980</v>
      </c>
      <c r="B542" s="17">
        <v>21</v>
      </c>
      <c r="C542" s="17">
        <v>8</v>
      </c>
      <c r="D542" s="17">
        <v>-3</v>
      </c>
      <c r="E542" s="17">
        <v>-1</v>
      </c>
      <c r="F542" s="17">
        <v>-94</v>
      </c>
      <c r="G542" s="17">
        <v>-55</v>
      </c>
      <c r="H542" s="18">
        <f t="shared" si="35"/>
        <v>72.41379310344827</v>
      </c>
      <c r="I542" s="18">
        <v>0.6</v>
      </c>
      <c r="J542" s="18">
        <v>-0.94</v>
      </c>
      <c r="S542" s="19">
        <v>3</v>
      </c>
      <c r="T542" s="20">
        <v>2</v>
      </c>
      <c r="AE542" s="23">
        <f t="shared" si="41"/>
        <v>24</v>
      </c>
      <c r="AF542" s="24">
        <f t="shared" si="42"/>
        <v>-0.125</v>
      </c>
    </row>
    <row r="543" spans="1:32" x14ac:dyDescent="0.4">
      <c r="A543" s="104">
        <v>44981</v>
      </c>
      <c r="B543" s="17">
        <v>14</v>
      </c>
      <c r="C543" s="17">
        <v>9</v>
      </c>
      <c r="D543" s="17">
        <v>-2</v>
      </c>
      <c r="E543" s="17">
        <v>0</v>
      </c>
      <c r="F543" s="17">
        <v>-75</v>
      </c>
      <c r="G543" s="17">
        <v>-33</v>
      </c>
      <c r="H543" s="18">
        <f t="shared" si="35"/>
        <v>60.869565217391312</v>
      </c>
      <c r="I543" s="18">
        <v>-0.26</v>
      </c>
      <c r="J543" s="18">
        <v>-2.11</v>
      </c>
      <c r="S543" s="19">
        <v>4</v>
      </c>
      <c r="T543" s="20">
        <v>3</v>
      </c>
      <c r="AE543" s="23">
        <f t="shared" si="41"/>
        <v>19</v>
      </c>
      <c r="AF543" s="24">
        <f t="shared" si="42"/>
        <v>-0.26315789473684209</v>
      </c>
    </row>
    <row r="544" spans="1:32" x14ac:dyDescent="0.4">
      <c r="A544" s="104">
        <v>44984</v>
      </c>
      <c r="B544" s="17">
        <v>16</v>
      </c>
      <c r="C544" s="17">
        <v>17</v>
      </c>
      <c r="D544" s="17">
        <v>-2</v>
      </c>
      <c r="E544" s="17">
        <v>0</v>
      </c>
      <c r="F544" s="17">
        <v>-116</v>
      </c>
      <c r="G544" s="17">
        <v>-58</v>
      </c>
      <c r="H544" s="18">
        <f t="shared" si="35"/>
        <v>48.484848484848484</v>
      </c>
      <c r="I544" s="18">
        <v>-0.81</v>
      </c>
      <c r="J544" s="18">
        <v>-2.81</v>
      </c>
      <c r="S544" s="19">
        <v>2</v>
      </c>
      <c r="T544" s="20">
        <v>1</v>
      </c>
      <c r="AE544" s="23">
        <f t="shared" si="41"/>
        <v>19</v>
      </c>
      <c r="AF544" s="24">
        <f t="shared" si="42"/>
        <v>-0.15789473684210525</v>
      </c>
    </row>
    <row r="545" spans="1:34" x14ac:dyDescent="0.4">
      <c r="A545" s="104">
        <v>44985</v>
      </c>
      <c r="B545" s="17">
        <v>22</v>
      </c>
      <c r="C545" s="17">
        <v>10</v>
      </c>
      <c r="D545" s="17">
        <v>-3</v>
      </c>
      <c r="E545" s="17">
        <v>-1</v>
      </c>
      <c r="F545" s="17">
        <v>-62</v>
      </c>
      <c r="G545" s="17">
        <v>-13</v>
      </c>
      <c r="H545" s="18">
        <f t="shared" si="35"/>
        <v>68.75</v>
      </c>
      <c r="I545" s="18">
        <v>3.05</v>
      </c>
      <c r="J545" s="18">
        <v>-0.44</v>
      </c>
      <c r="S545" s="19">
        <v>3</v>
      </c>
      <c r="T545" s="20">
        <v>2</v>
      </c>
      <c r="AE545" s="23">
        <f t="shared" si="41"/>
        <v>17</v>
      </c>
      <c r="AF545" s="24">
        <f t="shared" si="42"/>
        <v>0.29411764705882354</v>
      </c>
    </row>
    <row r="546" spans="1:34" x14ac:dyDescent="0.4">
      <c r="A546" s="104">
        <v>44986</v>
      </c>
      <c r="B546" s="17">
        <v>28</v>
      </c>
      <c r="C546" s="17">
        <v>17</v>
      </c>
      <c r="D546" s="17">
        <v>-2</v>
      </c>
      <c r="E546" s="17">
        <v>0</v>
      </c>
      <c r="F546" s="17">
        <v>-38</v>
      </c>
      <c r="G546" s="17">
        <v>-10</v>
      </c>
      <c r="H546" s="18">
        <f t="shared" si="35"/>
        <v>62.222222222222221</v>
      </c>
      <c r="I546" s="18">
        <v>2.96</v>
      </c>
      <c r="J546" s="18">
        <v>1.25</v>
      </c>
      <c r="S546" s="19">
        <v>4</v>
      </c>
      <c r="T546" s="20">
        <v>3</v>
      </c>
      <c r="AE546" s="23">
        <f t="shared" si="41"/>
        <v>17.333333333333332</v>
      </c>
      <c r="AF546" s="24">
        <f t="shared" si="42"/>
        <v>0.61538461538461553</v>
      </c>
    </row>
    <row r="547" spans="1:34" x14ac:dyDescent="0.4">
      <c r="A547" s="104">
        <v>44987</v>
      </c>
      <c r="B547" s="17">
        <v>24</v>
      </c>
      <c r="C547" s="17">
        <v>17</v>
      </c>
      <c r="D547" s="17">
        <v>-7</v>
      </c>
      <c r="E547" s="17">
        <v>-3</v>
      </c>
      <c r="F547" s="17">
        <v>-121</v>
      </c>
      <c r="G547" s="17">
        <v>-70</v>
      </c>
      <c r="H547" s="18">
        <f t="shared" si="35"/>
        <v>58.536585365853654</v>
      </c>
      <c r="I547" s="18">
        <v>3.24</v>
      </c>
      <c r="J547" s="18">
        <v>1.3</v>
      </c>
      <c r="S547" s="19">
        <v>5</v>
      </c>
      <c r="T547" s="20">
        <v>4</v>
      </c>
      <c r="AE547" s="23">
        <f t="shared" si="41"/>
        <v>22</v>
      </c>
      <c r="AF547" s="24">
        <f t="shared" si="42"/>
        <v>9.0909090909090912E-2</v>
      </c>
    </row>
    <row r="548" spans="1:34" x14ac:dyDescent="0.4">
      <c r="A548" s="104">
        <v>44988</v>
      </c>
      <c r="B548" s="17">
        <v>17</v>
      </c>
      <c r="C548" s="17">
        <v>8</v>
      </c>
      <c r="D548" s="17">
        <v>-4</v>
      </c>
      <c r="E548" s="17">
        <v>-3</v>
      </c>
      <c r="F548" s="17">
        <v>-96</v>
      </c>
      <c r="G548" s="17">
        <v>-32</v>
      </c>
      <c r="H548" s="18">
        <f t="shared" si="35"/>
        <v>68</v>
      </c>
      <c r="I548" s="18">
        <v>-0.72</v>
      </c>
      <c r="J548" s="18">
        <v>-3.01</v>
      </c>
      <c r="S548" s="19">
        <v>5</v>
      </c>
      <c r="T548" s="20">
        <v>2</v>
      </c>
      <c r="AE548" s="23">
        <f t="shared" si="41"/>
        <v>24.666666666666668</v>
      </c>
      <c r="AF548" s="24">
        <f t="shared" si="42"/>
        <v>-0.31081081081081086</v>
      </c>
    </row>
    <row r="549" spans="1:34" x14ac:dyDescent="0.4">
      <c r="A549" s="104">
        <v>44991</v>
      </c>
      <c r="B549" s="17">
        <v>17</v>
      </c>
      <c r="C549" s="17">
        <v>15</v>
      </c>
      <c r="D549" s="17">
        <v>-6</v>
      </c>
      <c r="E549" s="17">
        <v>-2</v>
      </c>
      <c r="F549" s="17">
        <v>-88</v>
      </c>
      <c r="G549" s="17">
        <v>-29</v>
      </c>
      <c r="H549" s="18">
        <f t="shared" si="35"/>
        <v>53.125</v>
      </c>
      <c r="I549" s="18">
        <v>7.0000000000000007E-2</v>
      </c>
      <c r="J549" s="18">
        <v>-0.98</v>
      </c>
      <c r="S549" s="19">
        <v>3</v>
      </c>
      <c r="T549" s="20">
        <v>2</v>
      </c>
      <c r="AE549" s="23">
        <f t="shared" si="41"/>
        <v>23</v>
      </c>
      <c r="AF549" s="24">
        <f t="shared" si="42"/>
        <v>-0.2608695652173913</v>
      </c>
    </row>
    <row r="550" spans="1:34" x14ac:dyDescent="0.4">
      <c r="A550" s="104">
        <v>44992</v>
      </c>
      <c r="B550" s="17">
        <v>16</v>
      </c>
      <c r="C550" s="17">
        <v>8</v>
      </c>
      <c r="D550" s="17">
        <v>-3</v>
      </c>
      <c r="E550" s="17">
        <v>0</v>
      </c>
      <c r="F550" s="17">
        <v>-216</v>
      </c>
      <c r="G550" s="17">
        <v>-150</v>
      </c>
      <c r="H550" s="18">
        <f t="shared" si="35"/>
        <v>66.666666666666657</v>
      </c>
      <c r="I550" s="18">
        <v>0.97</v>
      </c>
      <c r="J550" s="18">
        <v>-1.72</v>
      </c>
      <c r="S550" s="19">
        <v>4</v>
      </c>
      <c r="T550" s="20">
        <v>2</v>
      </c>
      <c r="AE550" s="23">
        <f t="shared" si="41"/>
        <v>19.333333333333332</v>
      </c>
      <c r="AF550" s="24">
        <f t="shared" si="42"/>
        <v>-0.17241379310344823</v>
      </c>
    </row>
    <row r="551" spans="1:34" x14ac:dyDescent="0.4">
      <c r="A551" s="104">
        <v>44993</v>
      </c>
      <c r="B551" s="17">
        <v>19</v>
      </c>
      <c r="C551" s="17">
        <v>6</v>
      </c>
      <c r="D551" s="17">
        <v>-2</v>
      </c>
      <c r="E551" s="17">
        <v>0</v>
      </c>
      <c r="F551" s="17">
        <v>-56</v>
      </c>
      <c r="G551" s="17">
        <v>-8</v>
      </c>
      <c r="H551" s="18">
        <f t="shared" si="35"/>
        <v>76</v>
      </c>
      <c r="I551" s="18">
        <v>1.67</v>
      </c>
      <c r="J551" s="18">
        <v>-0.45</v>
      </c>
      <c r="S551" s="19">
        <v>3</v>
      </c>
      <c r="T551" s="20">
        <v>2</v>
      </c>
      <c r="AE551" s="23">
        <f t="shared" si="41"/>
        <v>16.666666666666668</v>
      </c>
      <c r="AF551" s="24">
        <f t="shared" si="42"/>
        <v>0.13999999999999993</v>
      </c>
    </row>
    <row r="552" spans="1:34" x14ac:dyDescent="0.4">
      <c r="A552" s="104">
        <v>44994</v>
      </c>
      <c r="B552" s="17">
        <v>23</v>
      </c>
      <c r="C552" s="17">
        <v>10</v>
      </c>
      <c r="D552" s="17">
        <v>-2</v>
      </c>
      <c r="E552" s="17">
        <v>0</v>
      </c>
      <c r="F552" s="17">
        <v>-61</v>
      </c>
      <c r="G552" s="17">
        <v>-19</v>
      </c>
      <c r="H552" s="18">
        <f t="shared" si="35"/>
        <v>69.696969696969703</v>
      </c>
      <c r="I552" s="18">
        <v>5.19</v>
      </c>
      <c r="J552" s="18">
        <v>2.46</v>
      </c>
      <c r="S552" s="19">
        <v>3</v>
      </c>
      <c r="T552" s="20">
        <v>2</v>
      </c>
      <c r="AE552" s="23">
        <f t="shared" si="41"/>
        <v>17.333333333333332</v>
      </c>
      <c r="AF552" s="24">
        <f t="shared" si="42"/>
        <v>0.32692307692307704</v>
      </c>
    </row>
    <row r="553" spans="1:34" x14ac:dyDescent="0.4">
      <c r="A553" s="104">
        <v>44995</v>
      </c>
      <c r="B553" s="17">
        <v>16</v>
      </c>
      <c r="C553" s="17">
        <v>7</v>
      </c>
      <c r="D553" s="17">
        <v>-7</v>
      </c>
      <c r="E553" s="17">
        <v>-3</v>
      </c>
      <c r="F553" s="17">
        <v>-171</v>
      </c>
      <c r="G553" s="17">
        <v>-105</v>
      </c>
      <c r="H553" s="18">
        <f t="shared" si="35"/>
        <v>69.565217391304344</v>
      </c>
      <c r="I553" s="18">
        <v>0.14000000000000001</v>
      </c>
      <c r="J553" s="18">
        <v>-2.78</v>
      </c>
      <c r="S553" s="19">
        <v>2</v>
      </c>
      <c r="T553" s="20">
        <v>1</v>
      </c>
      <c r="AE553" s="23">
        <f t="shared" si="41"/>
        <v>19.333333333333332</v>
      </c>
      <c r="AF553" s="24">
        <f t="shared" si="42"/>
        <v>-0.17241379310344823</v>
      </c>
      <c r="AH553" s="23"/>
    </row>
    <row r="554" spans="1:34" x14ac:dyDescent="0.4">
      <c r="A554" s="104">
        <v>44998</v>
      </c>
      <c r="B554" s="17">
        <v>28</v>
      </c>
      <c r="C554" s="17">
        <v>10</v>
      </c>
      <c r="D554" s="17">
        <v>-4</v>
      </c>
      <c r="E554" s="17">
        <v>-1</v>
      </c>
      <c r="F554" s="17">
        <v>-301</v>
      </c>
      <c r="G554" s="17">
        <v>-28</v>
      </c>
      <c r="H554" s="18">
        <f t="shared" si="35"/>
        <v>73.68421052631578</v>
      </c>
      <c r="I554" s="18">
        <v>-0.74</v>
      </c>
      <c r="J554" s="18">
        <v>-2.91</v>
      </c>
      <c r="S554" s="19">
        <v>3</v>
      </c>
      <c r="T554" s="20">
        <v>1</v>
      </c>
      <c r="AE554" s="23">
        <f t="shared" si="41"/>
        <v>19.333333333333332</v>
      </c>
      <c r="AF554" s="24">
        <f t="shared" si="42"/>
        <v>0.44827586206896558</v>
      </c>
    </row>
    <row r="555" spans="1:34" x14ac:dyDescent="0.4">
      <c r="A555" s="104">
        <v>44999</v>
      </c>
      <c r="B555" s="17">
        <v>15</v>
      </c>
      <c r="C555" s="17">
        <v>14</v>
      </c>
      <c r="D555" s="17">
        <v>-4</v>
      </c>
      <c r="E555" s="17">
        <v>-2</v>
      </c>
      <c r="F555" s="17">
        <v>-272</v>
      </c>
      <c r="G555" s="17">
        <v>-65</v>
      </c>
      <c r="H555" s="18">
        <f t="shared" si="35"/>
        <v>51.724137931034484</v>
      </c>
      <c r="I555" s="18">
        <v>0.98</v>
      </c>
      <c r="J555" s="18">
        <v>-0.85</v>
      </c>
      <c r="S555" s="19">
        <v>4</v>
      </c>
      <c r="T555" s="20">
        <v>2</v>
      </c>
      <c r="AE555" s="23">
        <f t="shared" si="41"/>
        <v>22.333333333333332</v>
      </c>
      <c r="AF555" s="24">
        <f t="shared" si="42"/>
        <v>-0.32835820895522383</v>
      </c>
    </row>
    <row r="556" spans="1:34" x14ac:dyDescent="0.4">
      <c r="A556" s="104">
        <v>45000</v>
      </c>
      <c r="B556" s="17">
        <v>26</v>
      </c>
      <c r="C556" s="17">
        <v>17</v>
      </c>
      <c r="D556" s="17">
        <v>0</v>
      </c>
      <c r="E556" s="17">
        <v>0</v>
      </c>
      <c r="F556" s="17">
        <v>-74</v>
      </c>
      <c r="G556" s="17">
        <v>-32</v>
      </c>
      <c r="H556" s="18">
        <f t="shared" si="35"/>
        <v>60.465116279069761</v>
      </c>
      <c r="I556" s="18">
        <v>2.44</v>
      </c>
      <c r="J556" s="18">
        <v>-0.75</v>
      </c>
      <c r="S556" s="19">
        <v>3</v>
      </c>
      <c r="T556" s="20">
        <v>2</v>
      </c>
      <c r="AE556" s="23">
        <f t="shared" si="41"/>
        <v>19.666666666666668</v>
      </c>
      <c r="AF556" s="24">
        <f t="shared" si="42"/>
        <v>0.32203389830508466</v>
      </c>
    </row>
    <row r="557" spans="1:34" x14ac:dyDescent="0.4">
      <c r="A557" s="104">
        <v>45001</v>
      </c>
      <c r="B557" s="17">
        <v>17</v>
      </c>
      <c r="C557" s="17">
        <v>7</v>
      </c>
      <c r="D557" s="17">
        <v>-13</v>
      </c>
      <c r="E557" s="17">
        <v>-5</v>
      </c>
      <c r="F557" s="17">
        <v>-214</v>
      </c>
      <c r="G557" s="17">
        <v>-135</v>
      </c>
      <c r="H557" s="18">
        <f t="shared" si="35"/>
        <v>70.833333333333343</v>
      </c>
      <c r="I557" s="18">
        <v>0.34</v>
      </c>
      <c r="J557" s="18">
        <v>-1.93</v>
      </c>
      <c r="S557" s="19">
        <v>3</v>
      </c>
      <c r="T557" s="20">
        <v>2</v>
      </c>
      <c r="AE557" s="23">
        <f t="shared" si="41"/>
        <v>23</v>
      </c>
      <c r="AF557" s="24">
        <f t="shared" si="42"/>
        <v>-0.2608695652173913</v>
      </c>
    </row>
    <row r="558" spans="1:34" x14ac:dyDescent="0.4">
      <c r="A558" s="104">
        <v>45002</v>
      </c>
      <c r="B558" s="17">
        <v>29</v>
      </c>
      <c r="C558" s="17">
        <v>11</v>
      </c>
      <c r="D558" s="17">
        <v>-3</v>
      </c>
      <c r="E558" s="17">
        <v>-1</v>
      </c>
      <c r="F558" s="17">
        <v>-58</v>
      </c>
      <c r="G558" s="17">
        <v>-32</v>
      </c>
      <c r="H558" s="18">
        <f t="shared" si="35"/>
        <v>72.5</v>
      </c>
      <c r="I558" s="18">
        <v>3.11</v>
      </c>
      <c r="J558" s="18">
        <v>1.9</v>
      </c>
      <c r="S558" s="19">
        <v>4</v>
      </c>
      <c r="T558" s="20">
        <v>3</v>
      </c>
      <c r="AE558" s="23">
        <f t="shared" si="41"/>
        <v>19.333333333333332</v>
      </c>
      <c r="AF558" s="24">
        <f t="shared" si="42"/>
        <v>0.50000000000000011</v>
      </c>
    </row>
    <row r="559" spans="1:34" x14ac:dyDescent="0.4">
      <c r="A559" s="16">
        <v>45005</v>
      </c>
      <c r="B559" s="17">
        <v>18</v>
      </c>
      <c r="C559" s="17">
        <v>28</v>
      </c>
      <c r="D559" s="17">
        <v>-12</v>
      </c>
      <c r="E559" s="17">
        <v>-6</v>
      </c>
      <c r="F559" s="17">
        <v>-263</v>
      </c>
      <c r="G559" s="17">
        <v>-116</v>
      </c>
      <c r="H559" s="18">
        <f t="shared" ref="H559:H568" si="43">B559/(B559+C559)*100</f>
        <v>39.130434782608695</v>
      </c>
      <c r="I559" s="18">
        <v>3.1</v>
      </c>
      <c r="J559" s="18">
        <v>2.1800000000000002</v>
      </c>
      <c r="S559" s="19">
        <v>5</v>
      </c>
      <c r="T559" s="20">
        <v>2</v>
      </c>
      <c r="AE559" s="23">
        <f t="shared" si="41"/>
        <v>24</v>
      </c>
      <c r="AF559" s="24">
        <f t="shared" si="42"/>
        <v>-0.25</v>
      </c>
    </row>
    <row r="560" spans="1:34" x14ac:dyDescent="0.4">
      <c r="A560" s="16">
        <v>45006</v>
      </c>
      <c r="B560" s="17">
        <v>34</v>
      </c>
      <c r="C560" s="17">
        <v>6</v>
      </c>
      <c r="D560" s="17">
        <v>-7</v>
      </c>
      <c r="E560" s="17">
        <v>-4</v>
      </c>
      <c r="F560" s="17">
        <v>-79</v>
      </c>
      <c r="G560" s="17">
        <v>-27</v>
      </c>
      <c r="H560" s="18">
        <f t="shared" si="43"/>
        <v>85</v>
      </c>
      <c r="I560" s="18">
        <v>4.0599999999999996</v>
      </c>
      <c r="J560" s="18">
        <v>0.4</v>
      </c>
      <c r="S560" s="19">
        <v>3</v>
      </c>
      <c r="T560" s="20">
        <v>2</v>
      </c>
      <c r="AE560" s="23">
        <f t="shared" si="41"/>
        <v>21.333333333333332</v>
      </c>
      <c r="AF560" s="24">
        <f t="shared" si="42"/>
        <v>0.59375000000000011</v>
      </c>
    </row>
    <row r="561" spans="1:32" x14ac:dyDescent="0.4">
      <c r="A561" s="16">
        <v>45007</v>
      </c>
      <c r="B561" s="17">
        <v>28</v>
      </c>
      <c r="C561" s="17">
        <v>13</v>
      </c>
      <c r="D561" s="17">
        <v>-4</v>
      </c>
      <c r="E561" s="17">
        <v>-3</v>
      </c>
      <c r="F561" s="17">
        <v>-89</v>
      </c>
      <c r="G561" s="17">
        <v>-34</v>
      </c>
      <c r="H561" s="18">
        <f t="shared" si="43"/>
        <v>68.292682926829272</v>
      </c>
      <c r="I561" s="18">
        <v>0.78</v>
      </c>
      <c r="J561" s="18">
        <v>-0.4</v>
      </c>
      <c r="S561" s="19">
        <v>4</v>
      </c>
      <c r="T561" s="20">
        <v>2</v>
      </c>
      <c r="AE561" s="23">
        <f t="shared" si="41"/>
        <v>27</v>
      </c>
      <c r="AF561" s="24">
        <f t="shared" si="42"/>
        <v>3.7037037037037035E-2</v>
      </c>
    </row>
    <row r="562" spans="1:32" x14ac:dyDescent="0.4">
      <c r="A562" s="16">
        <v>45008</v>
      </c>
      <c r="B562" s="17">
        <v>19</v>
      </c>
      <c r="C562" s="17">
        <v>14</v>
      </c>
      <c r="D562" s="17">
        <v>-6</v>
      </c>
      <c r="E562" s="17">
        <v>-2</v>
      </c>
      <c r="F562" s="17">
        <v>-106</v>
      </c>
      <c r="G562" s="17">
        <v>-37</v>
      </c>
      <c r="H562" s="18">
        <f t="shared" si="43"/>
        <v>57.575757575757578</v>
      </c>
      <c r="I562" s="18">
        <v>2.62</v>
      </c>
      <c r="J562" s="18">
        <v>-0.35</v>
      </c>
      <c r="S562" s="19">
        <v>2</v>
      </c>
      <c r="T562" s="20">
        <v>1</v>
      </c>
      <c r="AE562" s="23">
        <f t="shared" si="41"/>
        <v>26.666666666666668</v>
      </c>
      <c r="AF562" s="24">
        <f t="shared" si="42"/>
        <v>-0.28750000000000003</v>
      </c>
    </row>
    <row r="563" spans="1:32" x14ac:dyDescent="0.4">
      <c r="A563" s="16">
        <v>45009</v>
      </c>
      <c r="B563" s="17">
        <v>20</v>
      </c>
      <c r="C563" s="17">
        <v>10</v>
      </c>
      <c r="D563" s="17">
        <v>-10</v>
      </c>
      <c r="E563" s="17">
        <v>-3</v>
      </c>
      <c r="F563" s="17">
        <v>-125</v>
      </c>
      <c r="G563" s="17">
        <v>-53</v>
      </c>
      <c r="H563" s="18">
        <f t="shared" si="43"/>
        <v>66.666666666666657</v>
      </c>
      <c r="I563" s="18">
        <v>1.62</v>
      </c>
      <c r="J563" s="18">
        <v>-0.62</v>
      </c>
      <c r="S563" s="19">
        <v>3</v>
      </c>
      <c r="T563" s="20">
        <v>1</v>
      </c>
      <c r="AE563" s="23">
        <f t="shared" si="41"/>
        <v>27</v>
      </c>
      <c r="AF563" s="24">
        <f t="shared" si="42"/>
        <v>-0.25925925925925924</v>
      </c>
    </row>
    <row r="564" spans="1:32" x14ac:dyDescent="0.4">
      <c r="A564" s="16">
        <v>45012</v>
      </c>
      <c r="B564" s="17">
        <v>35</v>
      </c>
      <c r="C564" s="17">
        <v>20</v>
      </c>
      <c r="D564" s="17">
        <v>-6</v>
      </c>
      <c r="E564" s="17">
        <v>-4</v>
      </c>
      <c r="F564" s="17">
        <v>-166</v>
      </c>
      <c r="G564" s="17">
        <v>-43</v>
      </c>
      <c r="H564" s="18">
        <f t="shared" si="43"/>
        <v>63.636363636363633</v>
      </c>
      <c r="I564" s="18">
        <v>5.57</v>
      </c>
      <c r="J564" s="18">
        <v>2.89</v>
      </c>
      <c r="S564" s="19">
        <v>4</v>
      </c>
      <c r="T564" s="20">
        <v>2</v>
      </c>
      <c r="AE564" s="23">
        <f t="shared" si="41"/>
        <v>22.333333333333332</v>
      </c>
      <c r="AF564" s="24">
        <f t="shared" si="42"/>
        <v>0.56716417910447769</v>
      </c>
    </row>
    <row r="565" spans="1:32" x14ac:dyDescent="0.4">
      <c r="A565" s="16">
        <v>45013</v>
      </c>
      <c r="B565" s="17">
        <v>24</v>
      </c>
      <c r="C565" s="17">
        <v>17</v>
      </c>
      <c r="D565" s="17">
        <v>-8</v>
      </c>
      <c r="E565" s="17">
        <v>-3</v>
      </c>
      <c r="F565" s="17">
        <v>-259</v>
      </c>
      <c r="G565" s="17">
        <v>-171</v>
      </c>
      <c r="H565" s="18">
        <f t="shared" si="43"/>
        <v>58.536585365853654</v>
      </c>
      <c r="I565" s="18">
        <v>-0.2</v>
      </c>
      <c r="J565" s="18">
        <v>-2.65</v>
      </c>
      <c r="S565" s="19">
        <v>2</v>
      </c>
      <c r="T565" s="20">
        <v>1</v>
      </c>
      <c r="AE565" s="23">
        <f>(B562+B563+B564)/3</f>
        <v>24.666666666666668</v>
      </c>
      <c r="AF565" s="24">
        <f>(B565-AE565)/AE565</f>
        <v>-2.7027027027027074E-2</v>
      </c>
    </row>
    <row r="566" spans="1:32" x14ac:dyDescent="0.4">
      <c r="A566" s="16">
        <v>45014</v>
      </c>
      <c r="B566" s="17">
        <v>16</v>
      </c>
      <c r="C566" s="17">
        <v>21</v>
      </c>
      <c r="D566" s="17">
        <v>-7</v>
      </c>
      <c r="E566" s="17">
        <v>-2</v>
      </c>
      <c r="F566" s="17">
        <v>-160</v>
      </c>
      <c r="G566" s="17">
        <v>-57</v>
      </c>
      <c r="H566" s="18">
        <f t="shared" si="43"/>
        <v>43.243243243243242</v>
      </c>
      <c r="I566" s="18">
        <v>0.93</v>
      </c>
      <c r="J566" s="18">
        <v>-2.52</v>
      </c>
      <c r="S566" s="19">
        <v>2</v>
      </c>
      <c r="T566" s="20">
        <v>1</v>
      </c>
      <c r="AE566" s="23">
        <f t="shared" si="41"/>
        <v>26.333333333333332</v>
      </c>
      <c r="AF566" s="24">
        <f t="shared" si="42"/>
        <v>-0.39240506329113922</v>
      </c>
    </row>
    <row r="567" spans="1:32" x14ac:dyDescent="0.4">
      <c r="A567" s="16">
        <v>45015</v>
      </c>
      <c r="B567" s="17">
        <v>18</v>
      </c>
      <c r="C567" s="17">
        <v>6</v>
      </c>
      <c r="D567" s="17">
        <v>-5</v>
      </c>
      <c r="E567" s="17">
        <v>0</v>
      </c>
      <c r="F567" s="17">
        <v>-202</v>
      </c>
      <c r="G567" s="17">
        <v>-100</v>
      </c>
      <c r="H567" s="18">
        <f t="shared" si="43"/>
        <v>75</v>
      </c>
      <c r="I567" s="18">
        <v>1.47</v>
      </c>
      <c r="J567" s="18">
        <v>-3.8</v>
      </c>
      <c r="S567" s="19">
        <v>3</v>
      </c>
      <c r="T567" s="20">
        <v>2</v>
      </c>
      <c r="AE567" s="23">
        <f t="shared" si="41"/>
        <v>25</v>
      </c>
      <c r="AF567" s="24">
        <f t="shared" si="42"/>
        <v>-0.28000000000000003</v>
      </c>
    </row>
    <row r="568" spans="1:32" x14ac:dyDescent="0.4">
      <c r="A568" s="16">
        <v>45016</v>
      </c>
      <c r="B568" s="17">
        <v>29</v>
      </c>
      <c r="C568" s="17">
        <v>8</v>
      </c>
      <c r="D568" s="17">
        <v>-5</v>
      </c>
      <c r="E568" s="17">
        <v>0</v>
      </c>
      <c r="F568" s="17">
        <v>-99</v>
      </c>
      <c r="G568" s="17">
        <v>-41</v>
      </c>
      <c r="H568" s="18">
        <f t="shared" si="43"/>
        <v>78.378378378378372</v>
      </c>
      <c r="I568" s="18">
        <v>0.69</v>
      </c>
      <c r="J568" s="18">
        <v>0.26</v>
      </c>
      <c r="S568" s="19">
        <v>4</v>
      </c>
      <c r="T568" s="20">
        <v>1</v>
      </c>
      <c r="AE568" s="23">
        <f t="shared" si="41"/>
        <v>19.333333333333332</v>
      </c>
      <c r="AF568" s="24">
        <f t="shared" si="42"/>
        <v>0.50000000000000011</v>
      </c>
    </row>
    <row r="569" spans="1:32" x14ac:dyDescent="0.4">
      <c r="A569" s="16">
        <v>45019</v>
      </c>
      <c r="B569" s="17">
        <v>39</v>
      </c>
      <c r="C569" s="17">
        <v>16</v>
      </c>
      <c r="D569" s="17">
        <v>-2</v>
      </c>
      <c r="E569" s="17">
        <v>0</v>
      </c>
      <c r="F569" s="17">
        <v>-119</v>
      </c>
      <c r="G569" s="17">
        <v>-27</v>
      </c>
      <c r="H569" s="18">
        <f t="shared" ref="H569:H587" si="44">B569/(B569+C569)*100</f>
        <v>70.909090909090907</v>
      </c>
      <c r="I569" s="18">
        <v>3.7</v>
      </c>
      <c r="J569" s="18">
        <v>3.68</v>
      </c>
      <c r="S569" s="19">
        <v>2</v>
      </c>
      <c r="T569" s="20">
        <v>1</v>
      </c>
      <c r="AE569" s="23">
        <f t="shared" si="41"/>
        <v>21</v>
      </c>
      <c r="AF569" s="24">
        <f>(B569-AE569)/AE569</f>
        <v>0.8571428571428571</v>
      </c>
    </row>
    <row r="570" spans="1:32" x14ac:dyDescent="0.4">
      <c r="A570" s="16">
        <v>45020</v>
      </c>
      <c r="B570" s="17">
        <v>23</v>
      </c>
      <c r="C570" s="17">
        <v>16</v>
      </c>
      <c r="D570" s="17">
        <v>-8</v>
      </c>
      <c r="E570" s="17">
        <v>-1</v>
      </c>
      <c r="F570" s="17">
        <v>-281</v>
      </c>
      <c r="G570" s="17">
        <v>-120</v>
      </c>
      <c r="H570" s="18">
        <f t="shared" si="44"/>
        <v>58.974358974358978</v>
      </c>
      <c r="I570" s="18">
        <v>3.5</v>
      </c>
      <c r="J570" s="18">
        <v>2</v>
      </c>
      <c r="S570" s="19">
        <v>3</v>
      </c>
      <c r="T570" s="20">
        <v>2</v>
      </c>
      <c r="AE570" s="23">
        <f t="shared" si="41"/>
        <v>28.666666666666668</v>
      </c>
      <c r="AF570" s="24">
        <f t="shared" si="42"/>
        <v>-0.19767441860465121</v>
      </c>
    </row>
    <row r="571" spans="1:32" x14ac:dyDescent="0.4">
      <c r="A571" s="16">
        <v>45022</v>
      </c>
      <c r="B571" s="17">
        <v>28</v>
      </c>
      <c r="C571" s="17">
        <v>13</v>
      </c>
      <c r="D571" s="17">
        <v>-10</v>
      </c>
      <c r="E571" s="17">
        <v>-7</v>
      </c>
      <c r="F571" s="17">
        <v>-226</v>
      </c>
      <c r="G571" s="17">
        <v>-97</v>
      </c>
      <c r="H571" s="18">
        <f t="shared" si="44"/>
        <v>68.292682926829272</v>
      </c>
      <c r="I571" s="18">
        <v>1.66</v>
      </c>
      <c r="J571" s="18">
        <v>0.2</v>
      </c>
      <c r="S571" s="19">
        <v>3</v>
      </c>
      <c r="T571" s="20">
        <v>2</v>
      </c>
      <c r="AE571" s="23">
        <f t="shared" si="41"/>
        <v>30.333333333333332</v>
      </c>
      <c r="AF571" s="24">
        <f t="shared" si="42"/>
        <v>-7.6923076923076886E-2</v>
      </c>
    </row>
    <row r="572" spans="1:32" x14ac:dyDescent="0.4">
      <c r="A572" s="16">
        <v>45023</v>
      </c>
      <c r="B572" s="17">
        <v>46</v>
      </c>
      <c r="C572" s="17">
        <v>12</v>
      </c>
      <c r="D572" s="17">
        <v>-2</v>
      </c>
      <c r="E572" s="17">
        <v>-1</v>
      </c>
      <c r="F572" s="17">
        <v>-98</v>
      </c>
      <c r="G572" s="17">
        <v>-24</v>
      </c>
      <c r="H572" s="18">
        <f t="shared" si="44"/>
        <v>79.310344827586206</v>
      </c>
      <c r="I572" s="18">
        <v>1.69</v>
      </c>
      <c r="J572" s="18">
        <v>0.41</v>
      </c>
      <c r="S572" s="19">
        <v>2</v>
      </c>
      <c r="T572" s="20">
        <v>1</v>
      </c>
      <c r="AE572" s="23">
        <f t="shared" si="41"/>
        <v>30</v>
      </c>
      <c r="AF572" s="24">
        <f t="shared" si="42"/>
        <v>0.53333333333333333</v>
      </c>
    </row>
    <row r="573" spans="1:32" x14ac:dyDescent="0.4">
      <c r="A573" s="16">
        <v>45026</v>
      </c>
      <c r="B573" s="17">
        <v>18</v>
      </c>
      <c r="C573" s="17">
        <v>19</v>
      </c>
      <c r="D573" s="17">
        <v>-26</v>
      </c>
      <c r="E573" s="17">
        <v>-16</v>
      </c>
      <c r="F573" s="17">
        <v>-454</v>
      </c>
      <c r="G573" s="17">
        <v>-329</v>
      </c>
      <c r="H573" s="18">
        <f t="shared" si="44"/>
        <v>48.648648648648653</v>
      </c>
      <c r="I573" s="18">
        <v>0.72</v>
      </c>
      <c r="J573" s="18">
        <v>-0.48</v>
      </c>
      <c r="S573" s="19">
        <v>2</v>
      </c>
      <c r="T573" s="20">
        <v>1</v>
      </c>
      <c r="AE573" s="23">
        <f t="shared" si="41"/>
        <v>32.333333333333336</v>
      </c>
      <c r="AF573" s="24">
        <f t="shared" si="42"/>
        <v>-0.44329896907216498</v>
      </c>
    </row>
    <row r="574" spans="1:32" x14ac:dyDescent="0.4">
      <c r="A574" s="16">
        <v>45027</v>
      </c>
      <c r="B574" s="17">
        <v>30</v>
      </c>
      <c r="C574" s="17">
        <v>13</v>
      </c>
      <c r="D574" s="17">
        <v>-7</v>
      </c>
      <c r="E574" s="17">
        <v>-2</v>
      </c>
      <c r="F574" s="17">
        <v>-138</v>
      </c>
      <c r="G574" s="17">
        <v>-46</v>
      </c>
      <c r="H574" s="18">
        <f t="shared" si="44"/>
        <v>69.767441860465112</v>
      </c>
      <c r="I574" s="18">
        <v>5.04</v>
      </c>
      <c r="J574" s="18">
        <v>1.34</v>
      </c>
      <c r="S574" s="19">
        <v>3</v>
      </c>
      <c r="T574" s="20">
        <v>2</v>
      </c>
      <c r="AE574" s="23">
        <f t="shared" si="41"/>
        <v>30.666666666666668</v>
      </c>
      <c r="AF574" s="24">
        <f t="shared" si="42"/>
        <v>-2.1739130434782646E-2</v>
      </c>
    </row>
    <row r="575" spans="1:32" x14ac:dyDescent="0.4">
      <c r="A575" s="16">
        <v>45028</v>
      </c>
      <c r="B575" s="17">
        <v>53</v>
      </c>
      <c r="C575" s="17">
        <v>14</v>
      </c>
      <c r="D575" s="17">
        <v>-4</v>
      </c>
      <c r="E575" s="17">
        <v>-1</v>
      </c>
      <c r="F575" s="17">
        <v>-101</v>
      </c>
      <c r="G575" s="17">
        <v>-19</v>
      </c>
      <c r="H575" s="18">
        <f t="shared" si="44"/>
        <v>79.104477611940297</v>
      </c>
      <c r="I575" s="18">
        <v>3.41</v>
      </c>
      <c r="J575" s="18">
        <v>2.7</v>
      </c>
      <c r="S575" s="19">
        <v>4</v>
      </c>
      <c r="T575" s="20">
        <v>3</v>
      </c>
      <c r="AE575" s="23">
        <f t="shared" ref="AE575" si="45">(B572+B573+B574)/3</f>
        <v>31.333333333333332</v>
      </c>
      <c r="AF575" s="24">
        <f t="shared" ref="AF575" si="46">(B575-AE575)/AE575</f>
        <v>0.69148936170212771</v>
      </c>
    </row>
    <row r="576" spans="1:32" x14ac:dyDescent="0.4">
      <c r="A576" s="16">
        <v>45029</v>
      </c>
      <c r="B576" s="17">
        <v>31</v>
      </c>
      <c r="C576" s="17">
        <v>18</v>
      </c>
      <c r="D576" s="17">
        <v>-5</v>
      </c>
      <c r="E576" s="17">
        <v>-2</v>
      </c>
      <c r="F576" s="17">
        <v>-225</v>
      </c>
      <c r="G576" s="17">
        <v>-142</v>
      </c>
      <c r="H576" s="18">
        <f t="shared" si="44"/>
        <v>63.265306122448983</v>
      </c>
      <c r="I576" s="18">
        <v>1.2</v>
      </c>
      <c r="J576" s="18">
        <v>0.62</v>
      </c>
      <c r="S576" s="19">
        <v>5</v>
      </c>
      <c r="T576" s="20">
        <v>4</v>
      </c>
      <c r="AE576" s="23">
        <f t="shared" ref="AE576" si="47">(B573+B574+B575)/3</f>
        <v>33.666666666666664</v>
      </c>
      <c r="AF576" s="24">
        <f t="shared" ref="AF576" si="48">(B576-AE576)/AE576</f>
        <v>-7.9207920792079139E-2</v>
      </c>
    </row>
    <row r="577" spans="1:32" x14ac:dyDescent="0.4">
      <c r="A577" s="16">
        <v>45030</v>
      </c>
      <c r="B577" s="17">
        <v>31</v>
      </c>
      <c r="C577" s="17">
        <v>12</v>
      </c>
      <c r="D577" s="17">
        <v>-10</v>
      </c>
      <c r="E577" s="17">
        <v>-2</v>
      </c>
      <c r="F577" s="17">
        <v>-235</v>
      </c>
      <c r="G577" s="17">
        <v>-48</v>
      </c>
      <c r="H577" s="18">
        <f t="shared" si="44"/>
        <v>72.093023255813947</v>
      </c>
      <c r="I577" s="18">
        <v>-0.5</v>
      </c>
      <c r="J577" s="18">
        <v>-2.58</v>
      </c>
      <c r="S577" s="19">
        <v>5</v>
      </c>
      <c r="T577" s="20">
        <v>4</v>
      </c>
      <c r="AE577" s="23">
        <f t="shared" ref="AE577" si="49">(B574+B575+B576)/3</f>
        <v>38</v>
      </c>
      <c r="AF577" s="24">
        <f t="shared" ref="AF577" si="50">(B577-AE577)/AE577</f>
        <v>-0.18421052631578946</v>
      </c>
    </row>
    <row r="578" spans="1:32" x14ac:dyDescent="0.4">
      <c r="A578" s="16">
        <v>45033</v>
      </c>
      <c r="B578" s="17">
        <v>33</v>
      </c>
      <c r="C578" s="17">
        <v>17</v>
      </c>
      <c r="D578" s="17">
        <v>-12</v>
      </c>
      <c r="E578" s="17">
        <v>-9</v>
      </c>
      <c r="F578" s="17">
        <v>-294</v>
      </c>
      <c r="G578" s="17">
        <v>-160</v>
      </c>
      <c r="H578" s="18">
        <f t="shared" si="44"/>
        <v>66</v>
      </c>
      <c r="I578" s="18">
        <v>0.65</v>
      </c>
      <c r="J578" s="18">
        <v>-1.45</v>
      </c>
      <c r="S578" s="19">
        <v>2</v>
      </c>
      <c r="T578" s="20">
        <v>1</v>
      </c>
      <c r="AE578" s="23">
        <f t="shared" ref="AE578" si="51">(B575+B576+B577)/3</f>
        <v>38.333333333333336</v>
      </c>
      <c r="AF578" s="24">
        <f t="shared" ref="AF578" si="52">(B578-AE578)/AE578</f>
        <v>-0.13913043478260875</v>
      </c>
    </row>
    <row r="579" spans="1:32" x14ac:dyDescent="0.4">
      <c r="A579" s="16">
        <v>45034</v>
      </c>
      <c r="B579" s="17">
        <v>17</v>
      </c>
      <c r="C579" s="17">
        <v>10</v>
      </c>
      <c r="D579" s="17">
        <v>-10</v>
      </c>
      <c r="E579" s="17">
        <v>-4</v>
      </c>
      <c r="F579" s="17">
        <v>-226</v>
      </c>
      <c r="G579" s="17">
        <v>-89</v>
      </c>
      <c r="H579" s="18">
        <f t="shared" si="44"/>
        <v>62.962962962962962</v>
      </c>
      <c r="I579" s="18">
        <v>1.5</v>
      </c>
      <c r="J579" s="18">
        <v>-0.8</v>
      </c>
      <c r="S579" s="19">
        <v>2</v>
      </c>
      <c r="T579" s="20">
        <v>1</v>
      </c>
      <c r="AE579" s="23">
        <f t="shared" ref="AE579" si="53">(B576+B577+B578)/3</f>
        <v>31.666666666666668</v>
      </c>
      <c r="AF579" s="24">
        <f t="shared" ref="AF579" si="54">(B579-AE579)/AE579</f>
        <v>-0.4631578947368421</v>
      </c>
    </row>
    <row r="580" spans="1:32" x14ac:dyDescent="0.4">
      <c r="A580" s="16">
        <v>45035</v>
      </c>
      <c r="B580" s="17">
        <v>27</v>
      </c>
      <c r="C580" s="17">
        <v>17</v>
      </c>
      <c r="D580" s="17">
        <v>-9</v>
      </c>
      <c r="E580" s="17">
        <v>-7</v>
      </c>
      <c r="F580" s="17">
        <v>-107</v>
      </c>
      <c r="G580" s="17">
        <v>-49</v>
      </c>
      <c r="H580" s="18">
        <f t="shared" si="44"/>
        <v>61.363636363636367</v>
      </c>
      <c r="I580" s="18">
        <v>3.54</v>
      </c>
      <c r="J580" s="18">
        <v>1.43</v>
      </c>
      <c r="S580" s="19">
        <v>2</v>
      </c>
      <c r="T580" s="20">
        <v>1</v>
      </c>
      <c r="AE580" s="23">
        <f t="shared" ref="AE580" si="55">(B577+B578+B579)/3</f>
        <v>27</v>
      </c>
      <c r="AF580" s="24">
        <f t="shared" ref="AF580" si="56">(B580-AE580)/AE580</f>
        <v>0</v>
      </c>
    </row>
    <row r="581" spans="1:32" x14ac:dyDescent="0.4">
      <c r="A581" s="16">
        <v>45036</v>
      </c>
      <c r="B581" s="17">
        <v>33</v>
      </c>
      <c r="C581" s="17">
        <v>13</v>
      </c>
      <c r="D581" s="17">
        <v>-12</v>
      </c>
      <c r="E581" s="17">
        <v>-8</v>
      </c>
      <c r="F581" s="17">
        <v>-241</v>
      </c>
      <c r="G581" s="17">
        <v>-106</v>
      </c>
      <c r="H581" s="18">
        <f t="shared" si="44"/>
        <v>71.739130434782609</v>
      </c>
      <c r="I581" s="18">
        <v>1.47</v>
      </c>
      <c r="J581" s="18">
        <v>0.85</v>
      </c>
      <c r="S581" s="19">
        <v>3</v>
      </c>
      <c r="T581" s="20">
        <v>2</v>
      </c>
      <c r="AE581" s="23">
        <f t="shared" ref="AE581" si="57">(B578+B579+B580)/3</f>
        <v>25.666666666666668</v>
      </c>
      <c r="AF581" s="24">
        <f t="shared" ref="AF581" si="58">(B581-AE581)/AE581</f>
        <v>0.28571428571428564</v>
      </c>
    </row>
    <row r="582" spans="1:32" x14ac:dyDescent="0.4">
      <c r="A582" s="16">
        <v>45037</v>
      </c>
      <c r="B582" s="17">
        <v>11</v>
      </c>
      <c r="C582" s="17">
        <v>12</v>
      </c>
      <c r="D582" s="17">
        <v>-40</v>
      </c>
      <c r="E582" s="17">
        <v>-29</v>
      </c>
      <c r="F582" s="17">
        <v>-1037</v>
      </c>
      <c r="G582" s="17">
        <v>-865</v>
      </c>
      <c r="H582" s="18">
        <f t="shared" si="44"/>
        <v>47.826086956521742</v>
      </c>
      <c r="I582" s="18">
        <v>1.1000000000000001</v>
      </c>
      <c r="J582" s="18">
        <v>-1.1499999999999999</v>
      </c>
      <c r="S582" s="19">
        <v>2</v>
      </c>
      <c r="T582" s="20">
        <v>1</v>
      </c>
      <c r="AE582" s="23">
        <f t="shared" ref="AE582" si="59">(B579+B580+B581)/3</f>
        <v>25.666666666666668</v>
      </c>
      <c r="AF582" s="24">
        <f t="shared" ref="AF582" si="60">(B582-AE582)/AE582</f>
        <v>-0.5714285714285714</v>
      </c>
    </row>
    <row r="583" spans="1:32" x14ac:dyDescent="0.4">
      <c r="A583" s="16">
        <v>45040</v>
      </c>
      <c r="B583" s="17">
        <v>35</v>
      </c>
      <c r="C583" s="17">
        <v>11</v>
      </c>
      <c r="D583" s="17">
        <v>-40</v>
      </c>
      <c r="E583" s="17">
        <v>-22</v>
      </c>
      <c r="F583" s="17">
        <v>-472</v>
      </c>
      <c r="G583" s="17">
        <v>-225</v>
      </c>
      <c r="H583" s="18">
        <f t="shared" si="44"/>
        <v>76.08695652173914</v>
      </c>
      <c r="I583" s="18">
        <v>4.67</v>
      </c>
      <c r="J583" s="18">
        <v>0.32</v>
      </c>
      <c r="S583" s="19">
        <v>3</v>
      </c>
      <c r="T583" s="20">
        <v>2</v>
      </c>
      <c r="AE583" s="23">
        <f t="shared" ref="AE583" si="61">(B580+B581+B582)/3</f>
        <v>23.666666666666668</v>
      </c>
      <c r="AF583" s="24">
        <f t="shared" ref="AF583" si="62">(B583-AE583)/AE583</f>
        <v>0.47887323943661964</v>
      </c>
    </row>
    <row r="584" spans="1:32" x14ac:dyDescent="0.4">
      <c r="A584" s="16">
        <v>45041</v>
      </c>
      <c r="B584" s="17">
        <v>29</v>
      </c>
      <c r="C584" s="17">
        <v>9</v>
      </c>
      <c r="D584" s="17">
        <v>-72</v>
      </c>
      <c r="E584" s="17">
        <v>-44</v>
      </c>
      <c r="F584" s="17">
        <v>-1327</v>
      </c>
      <c r="G584" s="17">
        <v>-542</v>
      </c>
      <c r="H584" s="18">
        <f t="shared" si="44"/>
        <v>76.31578947368422</v>
      </c>
      <c r="I584" s="18">
        <v>1.62</v>
      </c>
      <c r="J584" s="18">
        <v>0.68</v>
      </c>
      <c r="S584" s="19">
        <v>2</v>
      </c>
      <c r="T584" s="20">
        <v>1</v>
      </c>
      <c r="AE584" s="23">
        <f t="shared" ref="AE584" si="63">(B581+B582+B583)/3</f>
        <v>26.333333333333332</v>
      </c>
      <c r="AF584" s="24">
        <f t="shared" ref="AF584" si="64">(B584-AE584)/AE584</f>
        <v>0.10126582278481018</v>
      </c>
    </row>
    <row r="585" spans="1:32" x14ac:dyDescent="0.4">
      <c r="A585" s="16">
        <v>45042</v>
      </c>
      <c r="B585" s="17">
        <v>51</v>
      </c>
      <c r="C585" s="17">
        <v>16</v>
      </c>
      <c r="D585" s="17">
        <v>-61</v>
      </c>
      <c r="E585" s="17">
        <v>-30</v>
      </c>
      <c r="F585" s="17">
        <v>-532</v>
      </c>
      <c r="G585" s="17">
        <v>-260</v>
      </c>
      <c r="H585" s="18">
        <f t="shared" si="44"/>
        <v>76.119402985074629</v>
      </c>
      <c r="I585" s="18">
        <v>3.54</v>
      </c>
      <c r="J585" s="18">
        <v>1.83</v>
      </c>
      <c r="S585" s="19">
        <v>3</v>
      </c>
      <c r="T585" s="20">
        <v>2</v>
      </c>
      <c r="AE585" s="23">
        <f t="shared" ref="AE585" si="65">(B582+B583+B584)/3</f>
        <v>25</v>
      </c>
      <c r="AF585" s="24">
        <f t="shared" ref="AF585" si="66">(B585-AE585)/AE585</f>
        <v>1.04</v>
      </c>
    </row>
    <row r="586" spans="1:32" x14ac:dyDescent="0.4">
      <c r="A586" s="16">
        <v>45043</v>
      </c>
      <c r="B586" s="17">
        <v>34</v>
      </c>
      <c r="C586" s="17">
        <v>18</v>
      </c>
      <c r="D586" s="17">
        <v>-56</v>
      </c>
      <c r="E586" s="17">
        <v>-30</v>
      </c>
      <c r="F586" s="17">
        <v>-407</v>
      </c>
      <c r="G586" s="17">
        <v>-226</v>
      </c>
      <c r="H586" s="18">
        <f t="shared" si="44"/>
        <v>65.384615384615387</v>
      </c>
      <c r="I586" s="18">
        <v>1.77</v>
      </c>
      <c r="J586" s="18">
        <v>0.21</v>
      </c>
      <c r="S586" s="19">
        <v>2</v>
      </c>
      <c r="T586" s="20">
        <v>1</v>
      </c>
      <c r="AE586" s="23">
        <f t="shared" ref="AE586" si="67">(B583+B584+B585)/3</f>
        <v>38.333333333333336</v>
      </c>
      <c r="AF586" s="24">
        <f t="shared" ref="AF586" si="68">(B586-AE586)/AE586</f>
        <v>-0.11304347826086962</v>
      </c>
    </row>
    <row r="587" spans="1:32" x14ac:dyDescent="0.4">
      <c r="A587" s="16">
        <v>45044</v>
      </c>
      <c r="B587" s="17">
        <v>92</v>
      </c>
      <c r="C587" s="17">
        <v>25</v>
      </c>
      <c r="D587" s="17">
        <v>-27</v>
      </c>
      <c r="E587" s="17">
        <v>-11</v>
      </c>
      <c r="F587" s="17">
        <v>-287</v>
      </c>
      <c r="G587" s="17">
        <v>-93</v>
      </c>
      <c r="H587" s="18">
        <f t="shared" si="44"/>
        <v>78.632478632478637</v>
      </c>
      <c r="I587" s="18">
        <v>2.6</v>
      </c>
      <c r="J587" s="18">
        <v>1.56</v>
      </c>
      <c r="S587" s="19">
        <v>2</v>
      </c>
      <c r="T587" s="20">
        <v>1</v>
      </c>
      <c r="AE587" s="23">
        <f t="shared" ref="AE587" si="69">(B584+B585+B586)/3</f>
        <v>38</v>
      </c>
      <c r="AF587" s="24">
        <f t="shared" ref="AF587" si="70">(B587-AE587)/AE587</f>
        <v>1.4210526315789473</v>
      </c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18"/>
  <sheetViews>
    <sheetView zoomScale="85" zoomScaleNormal="85" workbookViewId="0">
      <selection activeCell="H382" sqref="H382:AF382"/>
    </sheetView>
  </sheetViews>
  <sheetFormatPr defaultColWidth="9" defaultRowHeight="14.15" x14ac:dyDescent="0.35"/>
  <cols>
    <col min="1" max="1" width="27.85546875" customWidth="1"/>
    <col min="2" max="2" width="20.2109375" hidden="1" customWidth="1"/>
    <col min="3" max="3" width="26.140625" customWidth="1"/>
    <col min="4" max="4" width="24.78515625" customWidth="1"/>
    <col min="5" max="5" width="29.640625" customWidth="1"/>
    <col min="6" max="7" width="24.78515625" hidden="1" customWidth="1"/>
    <col min="8" max="8" width="26.140625" customWidth="1"/>
    <col min="9" max="9" width="24.78515625" hidden="1" customWidth="1"/>
    <col min="10" max="10" width="32.2109375" hidden="1" customWidth="1"/>
    <col min="11" max="11" width="31.2109375" hidden="1" customWidth="1"/>
    <col min="12" max="12" width="20.2109375" hidden="1" customWidth="1"/>
    <col min="13" max="15" width="24.78515625" customWidth="1"/>
    <col min="16" max="16" width="24" customWidth="1"/>
    <col min="17" max="17" width="25" customWidth="1"/>
    <col min="18" max="18" width="20.2109375" customWidth="1"/>
    <col min="19" max="19" width="23.78515625" customWidth="1"/>
    <col min="20" max="20" width="26" customWidth="1"/>
    <col min="21" max="21" width="24.78515625" customWidth="1"/>
    <col min="22" max="22" width="22.140625" customWidth="1"/>
    <col min="23" max="23" width="20.140625" customWidth="1"/>
    <col min="24" max="24" width="32.2109375" customWidth="1"/>
    <col min="25" max="25" width="19.140625" customWidth="1"/>
    <col min="26" max="26" width="29.5703125" customWidth="1"/>
    <col min="27" max="27" width="23.78515625" customWidth="1"/>
  </cols>
  <sheetData>
    <row r="2" spans="1:27" ht="21.9" x14ac:dyDescent="0.35">
      <c r="A2" s="1">
        <v>44305</v>
      </c>
      <c r="B2" s="1">
        <v>44306</v>
      </c>
      <c r="C2" s="2">
        <v>44307</v>
      </c>
      <c r="D2" s="1">
        <v>44308</v>
      </c>
      <c r="E2" s="1">
        <v>44309</v>
      </c>
      <c r="F2" s="1">
        <v>44312</v>
      </c>
      <c r="G2" s="2">
        <v>44313</v>
      </c>
      <c r="H2" s="1">
        <v>44314</v>
      </c>
      <c r="I2" s="1">
        <v>44315</v>
      </c>
      <c r="J2" s="1">
        <v>44316</v>
      </c>
      <c r="K2" s="1">
        <v>44322</v>
      </c>
      <c r="L2" s="1">
        <v>44323</v>
      </c>
      <c r="M2" s="1">
        <v>44326</v>
      </c>
      <c r="N2" s="2">
        <v>44327</v>
      </c>
      <c r="O2" s="1">
        <v>44328</v>
      </c>
      <c r="P2" s="1">
        <v>44329</v>
      </c>
      <c r="Q2" s="1">
        <v>44330</v>
      </c>
      <c r="R2" s="2">
        <v>44333</v>
      </c>
      <c r="S2" s="1">
        <v>44334</v>
      </c>
      <c r="T2" s="1">
        <v>44335</v>
      </c>
      <c r="U2" s="2">
        <v>44336</v>
      </c>
      <c r="V2" s="1">
        <v>44337</v>
      </c>
      <c r="W2" s="1">
        <v>44340</v>
      </c>
      <c r="X2" s="1">
        <v>44341</v>
      </c>
      <c r="Y2" s="1">
        <v>44342</v>
      </c>
      <c r="Z2" s="1">
        <v>44343</v>
      </c>
      <c r="AA2" s="1">
        <v>44344</v>
      </c>
    </row>
    <row r="3" spans="1:27" ht="28.3" x14ac:dyDescent="0.35">
      <c r="A3" s="3" t="s">
        <v>29</v>
      </c>
      <c r="B3" s="3" t="s">
        <v>30</v>
      </c>
      <c r="C3" s="4">
        <v>-0.1</v>
      </c>
      <c r="D3" s="3" t="s">
        <v>31</v>
      </c>
      <c r="E3" s="3" t="s">
        <v>32</v>
      </c>
      <c r="F3" s="3" t="s">
        <v>33</v>
      </c>
      <c r="G3" s="5" t="s">
        <v>34</v>
      </c>
      <c r="H3" s="5" t="s">
        <v>35</v>
      </c>
      <c r="I3" s="4">
        <v>-6.2799999999999995E-2</v>
      </c>
      <c r="J3" s="3" t="s">
        <v>36</v>
      </c>
      <c r="K3" s="3" t="s">
        <v>37</v>
      </c>
      <c r="L3" s="8">
        <v>4.4600000000000001E-2</v>
      </c>
      <c r="M3" s="3" t="s">
        <v>38</v>
      </c>
      <c r="N3" s="5" t="s">
        <v>39</v>
      </c>
      <c r="O3" s="8">
        <v>3.27E-2</v>
      </c>
      <c r="P3" s="4">
        <v>-8.9899999999999994E-2</v>
      </c>
      <c r="Q3" s="8">
        <v>1.0699999999999999E-2</v>
      </c>
      <c r="R3" s="8">
        <v>3.7199999999999997E-2</v>
      </c>
      <c r="S3" s="3" t="s">
        <v>40</v>
      </c>
      <c r="T3" s="7">
        <v>-3.7699999999999997E-2</v>
      </c>
      <c r="U3" s="9" t="s">
        <v>41</v>
      </c>
      <c r="V3" s="8">
        <v>6.9999999999999999E-4</v>
      </c>
      <c r="W3" s="4">
        <v>-6.0199999999999997E-2</v>
      </c>
      <c r="X3" s="8">
        <v>1.2999999999999999E-3</v>
      </c>
      <c r="Y3" s="8">
        <v>6.5000000000000002E-2</v>
      </c>
      <c r="Z3" s="7">
        <v>-8.3000000000000001E-3</v>
      </c>
      <c r="AA3" s="8">
        <v>1.34E-2</v>
      </c>
    </row>
    <row r="4" spans="1:27" ht="28.3" x14ac:dyDescent="0.35">
      <c r="A4" s="6"/>
      <c r="B4" s="6" t="s">
        <v>42</v>
      </c>
      <c r="C4" s="3" t="s">
        <v>43</v>
      </c>
      <c r="D4" s="3" t="s">
        <v>44</v>
      </c>
      <c r="E4" s="7">
        <v>-2.5999999999999999E-2</v>
      </c>
      <c r="F4" s="8">
        <v>1.29E-2</v>
      </c>
      <c r="G4" s="3" t="s">
        <v>45</v>
      </c>
      <c r="H4" s="3" t="s">
        <v>46</v>
      </c>
      <c r="I4" s="7">
        <v>-4.02E-2</v>
      </c>
      <c r="J4" s="8">
        <v>4.6300000000000001E-2</v>
      </c>
      <c r="K4" s="5" t="s">
        <v>47</v>
      </c>
      <c r="L4" s="9" t="s">
        <v>48</v>
      </c>
      <c r="M4" s="8">
        <v>1.84E-2</v>
      </c>
      <c r="N4" s="7">
        <v>-9.7999999999999997E-3</v>
      </c>
      <c r="O4" s="3" t="s">
        <v>49</v>
      </c>
      <c r="P4" s="4">
        <v>-5.0299999999999997E-2</v>
      </c>
      <c r="Q4" s="7">
        <v>-4.7E-2</v>
      </c>
      <c r="R4" s="8">
        <v>3.4299999999999997E-2</v>
      </c>
      <c r="S4" s="8">
        <v>3.2599999999999997E-2</v>
      </c>
      <c r="T4" s="8">
        <v>4.0099999999999997E-2</v>
      </c>
      <c r="U4" s="8">
        <v>7.4999999999999997E-3</v>
      </c>
      <c r="V4" s="7">
        <v>-2.1299999999999999E-2</v>
      </c>
      <c r="W4" s="8">
        <v>7.4999999999999997E-3</v>
      </c>
      <c r="X4" s="8">
        <v>6.0400000000000002E-2</v>
      </c>
      <c r="Y4" s="7">
        <v>-2.8E-3</v>
      </c>
      <c r="Z4" s="8">
        <v>6.8900000000000003E-2</v>
      </c>
      <c r="AA4" s="7">
        <v>-7.4999999999999997E-3</v>
      </c>
    </row>
    <row r="5" spans="1:27" ht="28.3" x14ac:dyDescent="0.35">
      <c r="A5" s="6"/>
      <c r="B5" s="6"/>
      <c r="C5" s="6" t="s">
        <v>50</v>
      </c>
      <c r="D5" s="3" t="s">
        <v>51</v>
      </c>
      <c r="E5" s="8">
        <v>4.4000000000000003E-3</v>
      </c>
      <c r="F5" s="5" t="s">
        <v>52</v>
      </c>
      <c r="G5" s="3" t="s">
        <v>53</v>
      </c>
      <c r="H5" s="5" t="s">
        <v>54</v>
      </c>
      <c r="I5" s="3" t="s">
        <v>55</v>
      </c>
      <c r="J5" s="3" t="s">
        <v>56</v>
      </c>
      <c r="K5" s="7">
        <v>-3.3399999999999999E-2</v>
      </c>
      <c r="L5" s="7">
        <v>-3.85E-2</v>
      </c>
      <c r="M5" s="3" t="s">
        <v>57</v>
      </c>
      <c r="N5" s="5" t="s">
        <v>58</v>
      </c>
      <c r="O5" s="3" t="s">
        <v>59</v>
      </c>
      <c r="P5" s="8">
        <v>6.4699999999999994E-2</v>
      </c>
      <c r="Q5" s="4">
        <v>-7.1999999999999995E-2</v>
      </c>
      <c r="R5" s="7">
        <v>-1.3299999999999999E-2</v>
      </c>
      <c r="S5" s="8">
        <v>2.6100000000000002E-2</v>
      </c>
      <c r="T5" s="7">
        <v>-2.58E-2</v>
      </c>
      <c r="U5" s="4">
        <v>-7.17E-2</v>
      </c>
      <c r="V5" s="8">
        <v>7.2800000000000004E-2</v>
      </c>
      <c r="W5" s="8">
        <v>1.6000000000000001E-3</v>
      </c>
      <c r="X5" s="8">
        <v>5.6300000000000003E-2</v>
      </c>
      <c r="Y5" s="7">
        <v>-4.9099999999999998E-2</v>
      </c>
      <c r="Z5" s="8">
        <v>2.24E-2</v>
      </c>
      <c r="AA5" s="8">
        <v>3.9E-2</v>
      </c>
    </row>
    <row r="6" spans="1:27" ht="28.3" x14ac:dyDescent="0.35">
      <c r="A6" s="6"/>
      <c r="B6" s="6"/>
      <c r="C6" s="6"/>
      <c r="D6" s="6" t="s">
        <v>60</v>
      </c>
      <c r="E6" s="3" t="s">
        <v>61</v>
      </c>
      <c r="F6" s="3" t="s">
        <v>44</v>
      </c>
      <c r="G6" s="7">
        <v>-2.86E-2</v>
      </c>
      <c r="H6" s="3" t="s">
        <v>62</v>
      </c>
      <c r="I6" s="10" t="s">
        <v>63</v>
      </c>
      <c r="J6" s="3" t="s">
        <v>64</v>
      </c>
      <c r="K6" s="3" t="s">
        <v>65</v>
      </c>
      <c r="L6" s="7">
        <v>-2.1000000000000001E-2</v>
      </c>
      <c r="M6" s="3" t="s">
        <v>66</v>
      </c>
      <c r="N6" s="3" t="s">
        <v>67</v>
      </c>
      <c r="O6" s="8">
        <v>3.39E-2</v>
      </c>
      <c r="P6" s="4">
        <v>-7.1900000000000006E-2</v>
      </c>
      <c r="Q6" s="8">
        <v>4.0399999999999998E-2</v>
      </c>
      <c r="R6" s="4">
        <v>-9.3899999999999997E-2</v>
      </c>
      <c r="S6" s="5" t="s">
        <v>68</v>
      </c>
      <c r="T6" s="3" t="s">
        <v>69</v>
      </c>
      <c r="U6" s="4">
        <v>-5.3100000000000001E-2</v>
      </c>
      <c r="V6" s="7">
        <v>-1.44E-2</v>
      </c>
      <c r="W6" s="7">
        <v>-4.8800000000000003E-2</v>
      </c>
      <c r="X6" s="8">
        <v>3.5900000000000001E-2</v>
      </c>
      <c r="Y6" s="7">
        <v>-4.1300000000000003E-2</v>
      </c>
      <c r="Z6" s="8">
        <v>2.41E-2</v>
      </c>
      <c r="AA6" s="7">
        <v>-2.52E-2</v>
      </c>
    </row>
    <row r="7" spans="1:27" ht="28.3" x14ac:dyDescent="0.35">
      <c r="A7" s="6"/>
      <c r="B7" s="6"/>
      <c r="C7" s="6"/>
      <c r="D7" s="6"/>
      <c r="E7" s="6"/>
      <c r="F7" s="6"/>
      <c r="G7" s="6" t="s">
        <v>70</v>
      </c>
      <c r="H7" s="3" t="s">
        <v>71</v>
      </c>
      <c r="I7" s="3" t="s">
        <v>72</v>
      </c>
      <c r="J7" s="3" t="s">
        <v>73</v>
      </c>
      <c r="K7" s="3" t="s">
        <v>74</v>
      </c>
      <c r="L7" s="5" t="s">
        <v>75</v>
      </c>
      <c r="M7" s="3" t="s">
        <v>76</v>
      </c>
      <c r="N7" s="4">
        <v>-6.4000000000000001E-2</v>
      </c>
      <c r="O7" s="3" t="s">
        <v>77</v>
      </c>
      <c r="P7" s="8">
        <v>2.0299999999999999E-2</v>
      </c>
      <c r="Q7" s="4">
        <v>-7.4899999999999994E-2</v>
      </c>
      <c r="R7" s="8">
        <v>1.2999999999999999E-3</v>
      </c>
      <c r="S7" s="8">
        <v>6.6199999999999995E-2</v>
      </c>
      <c r="T7" s="8">
        <v>1.37E-2</v>
      </c>
      <c r="U7" s="4">
        <v>-6.0100000000000001E-2</v>
      </c>
      <c r="V7" s="7">
        <v>-2.1399999999999999E-2</v>
      </c>
      <c r="W7" s="7">
        <v>-2.0299999999999999E-2</v>
      </c>
      <c r="X7" s="8">
        <v>5.5E-2</v>
      </c>
      <c r="Y7" s="8">
        <v>1.2999999999999999E-3</v>
      </c>
      <c r="Z7" s="3" t="s">
        <v>78</v>
      </c>
      <c r="AA7" s="3" t="s">
        <v>79</v>
      </c>
    </row>
    <row r="8" spans="1:27" ht="28.3" x14ac:dyDescent="0.35">
      <c r="A8" s="6"/>
      <c r="B8" s="6"/>
      <c r="C8" s="6"/>
      <c r="D8" s="6"/>
      <c r="E8" s="6"/>
      <c r="F8" s="6"/>
      <c r="G8" s="6" t="s">
        <v>80</v>
      </c>
      <c r="H8" s="3" t="s">
        <v>81</v>
      </c>
      <c r="I8" s="3" t="s">
        <v>82</v>
      </c>
      <c r="J8" s="3" t="s">
        <v>83</v>
      </c>
      <c r="K8" s="5" t="s">
        <v>84</v>
      </c>
      <c r="L8" s="9" t="s">
        <v>85</v>
      </c>
      <c r="M8" s="8">
        <v>0</v>
      </c>
      <c r="N8" s="7">
        <v>-4.4400000000000002E-2</v>
      </c>
      <c r="O8" s="3" t="s">
        <v>86</v>
      </c>
      <c r="P8" s="3" t="s">
        <v>87</v>
      </c>
      <c r="Q8" s="3" t="s">
        <v>88</v>
      </c>
      <c r="R8" s="8">
        <v>5.8900000000000001E-2</v>
      </c>
      <c r="S8" s="7">
        <v>-2.7799999999999998E-2</v>
      </c>
      <c r="T8" s="3" t="s">
        <v>89</v>
      </c>
      <c r="U8" s="4">
        <v>-6.9699999999999998E-2</v>
      </c>
      <c r="V8" s="8">
        <v>3.1800000000000002E-2</v>
      </c>
      <c r="W8" s="3" t="s">
        <v>90</v>
      </c>
      <c r="X8" s="3" t="s">
        <v>91</v>
      </c>
      <c r="Y8" s="7">
        <v>-4.1999999999999997E-3</v>
      </c>
      <c r="Z8" s="8">
        <v>2.9499999999999998E-2</v>
      </c>
      <c r="AA8" s="3" t="s">
        <v>92</v>
      </c>
    </row>
    <row r="9" spans="1:27" ht="23.15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 t="s">
        <v>93</v>
      </c>
      <c r="M9" s="11" t="s">
        <v>94</v>
      </c>
      <c r="N9" s="5" t="s">
        <v>95</v>
      </c>
      <c r="O9" s="11" t="s">
        <v>96</v>
      </c>
      <c r="P9" s="7">
        <v>-2.47E-2</v>
      </c>
      <c r="Q9" s="11" t="s">
        <v>97</v>
      </c>
      <c r="R9" s="8">
        <v>3.3000000000000002E-2</v>
      </c>
      <c r="S9" s="7">
        <v>-1.26E-2</v>
      </c>
      <c r="T9" s="6"/>
      <c r="U9" s="6"/>
      <c r="V9" s="6"/>
      <c r="W9" s="6"/>
      <c r="X9" s="6"/>
      <c r="Y9" s="6"/>
      <c r="Z9" s="6"/>
      <c r="AA9" s="6"/>
    </row>
    <row r="10" spans="1:27" ht="23.15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12"/>
      <c r="N10" s="11" t="s">
        <v>98</v>
      </c>
      <c r="O10" s="11" t="s">
        <v>72</v>
      </c>
      <c r="P10" s="11" t="s">
        <v>99</v>
      </c>
      <c r="Q10" s="5" t="s">
        <v>100</v>
      </c>
      <c r="R10" s="4">
        <v>-7.0300000000000001E-2</v>
      </c>
      <c r="S10" s="11" t="s">
        <v>101</v>
      </c>
      <c r="T10" s="7">
        <v>-3.4599999999999999E-2</v>
      </c>
      <c r="U10" s="7">
        <v>-1.95E-2</v>
      </c>
      <c r="V10" s="8">
        <v>4.4699999999999997E-2</v>
      </c>
      <c r="W10" s="6"/>
      <c r="X10" s="6"/>
      <c r="Y10" s="6"/>
      <c r="Z10" s="6"/>
      <c r="AA10" s="6"/>
    </row>
    <row r="11" spans="1:27" ht="23.15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 t="s">
        <v>102</v>
      </c>
      <c r="O11" s="11" t="s">
        <v>103</v>
      </c>
      <c r="P11" s="5" t="s">
        <v>104</v>
      </c>
      <c r="Q11" s="11" t="s">
        <v>105</v>
      </c>
      <c r="R11" s="13" t="s">
        <v>106</v>
      </c>
      <c r="S11" s="8">
        <v>0</v>
      </c>
      <c r="T11" s="7">
        <v>-6.4000000000000003E-3</v>
      </c>
      <c r="U11" s="7">
        <v>-2.9000000000000001E-2</v>
      </c>
      <c r="V11" s="8">
        <v>1.66E-2</v>
      </c>
      <c r="W11" s="6"/>
      <c r="X11" s="6"/>
      <c r="Y11" s="6"/>
      <c r="Z11" s="6"/>
      <c r="AA11" s="6"/>
    </row>
    <row r="12" spans="1:27" ht="28.3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 t="s">
        <v>107</v>
      </c>
      <c r="Q12" s="3" t="s">
        <v>108</v>
      </c>
      <c r="R12" s="3" t="s">
        <v>30</v>
      </c>
      <c r="S12" s="3" t="s">
        <v>109</v>
      </c>
      <c r="T12" s="5" t="s">
        <v>110</v>
      </c>
      <c r="U12" s="3" t="s">
        <v>111</v>
      </c>
      <c r="V12" s="7">
        <v>-4.3799999999999999E-2</v>
      </c>
      <c r="W12" s="7">
        <v>-1.23E-2</v>
      </c>
      <c r="X12" s="3" t="s">
        <v>112</v>
      </c>
      <c r="Y12" s="3" t="s">
        <v>113</v>
      </c>
      <c r="Z12" s="3" t="s">
        <v>114</v>
      </c>
      <c r="AA12" s="7">
        <v>-3.6999999999999998E-2</v>
      </c>
    </row>
    <row r="13" spans="1:27" ht="23.15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115</v>
      </c>
      <c r="Q13" s="11" t="s">
        <v>116</v>
      </c>
      <c r="R13" s="11" t="s">
        <v>117</v>
      </c>
      <c r="S13" s="5" t="s">
        <v>118</v>
      </c>
      <c r="T13" s="11" t="s">
        <v>119</v>
      </c>
      <c r="U13" s="4">
        <v>-7.6600000000000001E-2</v>
      </c>
      <c r="V13" s="11" t="s">
        <v>120</v>
      </c>
      <c r="W13" s="11" t="s">
        <v>121</v>
      </c>
      <c r="X13" s="8">
        <v>1.35E-2</v>
      </c>
      <c r="Y13" s="4">
        <v>-7.4800000000000005E-2</v>
      </c>
      <c r="Z13" s="7">
        <v>-2.69E-2</v>
      </c>
      <c r="AA13" s="6"/>
    </row>
    <row r="14" spans="1:27" ht="23.15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 t="s">
        <v>122</v>
      </c>
      <c r="S14" s="14" t="s">
        <v>123</v>
      </c>
      <c r="T14" s="8">
        <v>1.21E-2</v>
      </c>
      <c r="U14" s="14" t="s">
        <v>96</v>
      </c>
      <c r="V14" s="8">
        <v>5.9799999999999999E-2</v>
      </c>
      <c r="W14" s="14" t="s">
        <v>97</v>
      </c>
      <c r="X14" s="14" t="s">
        <v>124</v>
      </c>
      <c r="Y14" s="5" t="s">
        <v>125</v>
      </c>
      <c r="Z14" s="14" t="s">
        <v>126</v>
      </c>
      <c r="AA14" s="4">
        <v>-5.7200000000000001E-2</v>
      </c>
    </row>
    <row r="15" spans="1:27" ht="23.15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 t="s">
        <v>50</v>
      </c>
      <c r="T15" s="11" t="s">
        <v>127</v>
      </c>
      <c r="U15" s="11" t="s">
        <v>128</v>
      </c>
      <c r="V15" s="7">
        <v>-4.1000000000000002E-2</v>
      </c>
      <c r="W15" s="4">
        <v>-8.3099999999999993E-2</v>
      </c>
      <c r="X15" s="8">
        <v>0.03</v>
      </c>
      <c r="Y15" s="11" t="s">
        <v>129</v>
      </c>
      <c r="Z15" s="7">
        <v>4.5100000000000001E-2</v>
      </c>
      <c r="AA15" s="7">
        <v>-1.1299999999999999E-2</v>
      </c>
    </row>
    <row r="16" spans="1:27" ht="23.15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 t="s">
        <v>115</v>
      </c>
      <c r="X16" s="11" t="s">
        <v>130</v>
      </c>
      <c r="Y16" s="11" t="s">
        <v>44</v>
      </c>
      <c r="Z16" s="11" t="s">
        <v>131</v>
      </c>
      <c r="AA16" s="7">
        <v>-2.1700000000000001E-2</v>
      </c>
    </row>
    <row r="17" spans="1:27" ht="23.15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 t="s">
        <v>132</v>
      </c>
      <c r="X17" s="11" t="s">
        <v>133</v>
      </c>
      <c r="Y17" s="11" t="s">
        <v>134</v>
      </c>
      <c r="Z17" s="7">
        <v>-1.89E-2</v>
      </c>
      <c r="AA17" s="11" t="s">
        <v>106</v>
      </c>
    </row>
    <row r="18" spans="1:27" ht="23.15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 t="s">
        <v>135</v>
      </c>
      <c r="Y18" s="11" t="s">
        <v>136</v>
      </c>
      <c r="Z18" s="11" t="s">
        <v>44</v>
      </c>
      <c r="AA18" s="11" t="s">
        <v>137</v>
      </c>
    </row>
  </sheetData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</vt:lpstr>
      <vt:lpstr>情绪数据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gao'guang</cp:lastModifiedBy>
  <cp:lastPrinted>2019-12-05T14:49:00Z</cp:lastPrinted>
  <dcterms:created xsi:type="dcterms:W3CDTF">2019-06-23T12:32:00Z</dcterms:created>
  <dcterms:modified xsi:type="dcterms:W3CDTF">2023-04-29T08:08:43Z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5D6C3DAACE7F42E281BA3518FDAA2DA9</vt:lpwstr>
  </property>
</Properties>
</file>